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Administrator\Desktop\LuxDev Assignments\"/>
    </mc:Choice>
  </mc:AlternateContent>
  <xr:revisionPtr revIDLastSave="0" documentId="13_ncr:1_{07B5FD51-F068-4D4C-9C8C-9357969F3B86}" xr6:coauthVersionLast="47" xr6:coauthVersionMax="47" xr10:uidLastSave="{00000000-0000-0000-0000-000000000000}"/>
  <bookViews>
    <workbookView xWindow="-120" yWindow="-120" windowWidth="20730" windowHeight="11040" firstSheet="1" activeTab="1" xr2:uid="{F2CE50C7-B44E-404A-AB2C-5F663808F046}"/>
  </bookViews>
  <sheets>
    <sheet name="Sheet1" sheetId="3" r:id="rId1"/>
    <sheet name="Product Categories" sheetId="6" r:id="rId2"/>
    <sheet name="Trend Analysis" sheetId="7" r:id="rId3"/>
    <sheet name="Product Performance" sheetId="8" r:id="rId4"/>
    <sheet name="Jumia data" sheetId="1" r:id="rId5"/>
    <sheet name="Dashboard Visualization" sheetId="4" r:id="rId6"/>
  </sheets>
  <definedNames>
    <definedName name="_xlnm._FilterDatabase" localSheetId="4" hidden="1">'Jumia data'!$A$1:$K$110</definedName>
    <definedName name="Slicer_Dicount_category">#N/A</definedName>
    <definedName name="Slicer_Rating_category">#N/A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1" l="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2" i="1"/>
  <c r="M2" i="1"/>
  <c r="M3" i="1"/>
  <c r="K4" i="4" l="1"/>
  <c r="I4" i="4"/>
  <c r="F4" i="4" l="1"/>
  <c r="N4" i="4"/>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2" i="1"/>
  <c r="G3" i="1"/>
  <c r="H3" i="1" s="1"/>
  <c r="J3" i="1" s="1"/>
  <c r="G4" i="1"/>
  <c r="H4" i="1" s="1"/>
  <c r="J4" i="1" s="1"/>
  <c r="G5" i="1"/>
  <c r="H5" i="1" s="1"/>
  <c r="J5" i="1" s="1"/>
  <c r="G6" i="1"/>
  <c r="H6" i="1" s="1"/>
  <c r="J6" i="1" s="1"/>
  <c r="G7" i="1"/>
  <c r="H7" i="1" s="1"/>
  <c r="J7" i="1" s="1"/>
  <c r="G8" i="1"/>
  <c r="H8" i="1" s="1"/>
  <c r="J8" i="1" s="1"/>
  <c r="G9" i="1"/>
  <c r="H9" i="1" s="1"/>
  <c r="J9" i="1" s="1"/>
  <c r="G10" i="1"/>
  <c r="H10" i="1" s="1"/>
  <c r="J10" i="1" s="1"/>
  <c r="G11" i="1"/>
  <c r="H11" i="1" s="1"/>
  <c r="J11" i="1" s="1"/>
  <c r="G12" i="1"/>
  <c r="H12" i="1" s="1"/>
  <c r="J12" i="1" s="1"/>
  <c r="G13" i="1"/>
  <c r="H13" i="1" s="1"/>
  <c r="J13" i="1" s="1"/>
  <c r="G14" i="1"/>
  <c r="H14" i="1" s="1"/>
  <c r="J14" i="1" s="1"/>
  <c r="G15" i="1"/>
  <c r="H15" i="1" s="1"/>
  <c r="J15" i="1" s="1"/>
  <c r="G16" i="1"/>
  <c r="H16" i="1" s="1"/>
  <c r="J16" i="1" s="1"/>
  <c r="G17" i="1"/>
  <c r="H17" i="1" s="1"/>
  <c r="J17" i="1" s="1"/>
  <c r="G18" i="1"/>
  <c r="H18" i="1" s="1"/>
  <c r="J18" i="1" s="1"/>
  <c r="G19" i="1"/>
  <c r="H19" i="1" s="1"/>
  <c r="J19" i="1" s="1"/>
  <c r="G20" i="1"/>
  <c r="H20" i="1" s="1"/>
  <c r="J20" i="1" s="1"/>
  <c r="G21" i="1"/>
  <c r="H21" i="1" s="1"/>
  <c r="J21" i="1" s="1"/>
  <c r="G22" i="1"/>
  <c r="H22" i="1" s="1"/>
  <c r="J22" i="1" s="1"/>
  <c r="G23" i="1"/>
  <c r="H23" i="1" s="1"/>
  <c r="J23" i="1" s="1"/>
  <c r="G24" i="1"/>
  <c r="H24" i="1" s="1"/>
  <c r="J24" i="1" s="1"/>
  <c r="G25" i="1"/>
  <c r="H25" i="1" s="1"/>
  <c r="J25" i="1" s="1"/>
  <c r="G26" i="1"/>
  <c r="H26" i="1" s="1"/>
  <c r="J26" i="1" s="1"/>
  <c r="G27" i="1"/>
  <c r="H27" i="1" s="1"/>
  <c r="J27" i="1" s="1"/>
  <c r="G28" i="1"/>
  <c r="H28" i="1" s="1"/>
  <c r="J28" i="1" s="1"/>
  <c r="G29" i="1"/>
  <c r="H29" i="1" s="1"/>
  <c r="J29" i="1" s="1"/>
  <c r="G30" i="1"/>
  <c r="H30" i="1" s="1"/>
  <c r="J30" i="1" s="1"/>
  <c r="G31" i="1"/>
  <c r="H31" i="1" s="1"/>
  <c r="J31" i="1" s="1"/>
  <c r="G32" i="1"/>
  <c r="H32" i="1" s="1"/>
  <c r="J32" i="1" s="1"/>
  <c r="G33" i="1"/>
  <c r="H33" i="1" s="1"/>
  <c r="J33" i="1" s="1"/>
  <c r="G34" i="1"/>
  <c r="H34" i="1" s="1"/>
  <c r="J34" i="1" s="1"/>
  <c r="G35" i="1"/>
  <c r="H35" i="1" s="1"/>
  <c r="J35" i="1" s="1"/>
  <c r="G36" i="1"/>
  <c r="H36" i="1" s="1"/>
  <c r="J36" i="1" s="1"/>
  <c r="G37" i="1"/>
  <c r="H37" i="1" s="1"/>
  <c r="J37" i="1" s="1"/>
  <c r="G38" i="1"/>
  <c r="H38" i="1" s="1"/>
  <c r="J38" i="1" s="1"/>
  <c r="G39" i="1"/>
  <c r="H39" i="1" s="1"/>
  <c r="J39" i="1" s="1"/>
  <c r="G40" i="1"/>
  <c r="H40" i="1" s="1"/>
  <c r="J40" i="1" s="1"/>
  <c r="G41" i="1"/>
  <c r="H41" i="1" s="1"/>
  <c r="J41" i="1" s="1"/>
  <c r="G42" i="1"/>
  <c r="H42" i="1" s="1"/>
  <c r="J42" i="1" s="1"/>
  <c r="G43" i="1"/>
  <c r="H43" i="1" s="1"/>
  <c r="J43" i="1" s="1"/>
  <c r="G44" i="1"/>
  <c r="H44" i="1" s="1"/>
  <c r="J44" i="1" s="1"/>
  <c r="G45" i="1"/>
  <c r="H45" i="1" s="1"/>
  <c r="J45" i="1" s="1"/>
  <c r="G46" i="1"/>
  <c r="H46" i="1" s="1"/>
  <c r="J46" i="1" s="1"/>
  <c r="G47" i="1"/>
  <c r="H47" i="1" s="1"/>
  <c r="J47" i="1" s="1"/>
  <c r="G48" i="1"/>
  <c r="H48" i="1" s="1"/>
  <c r="J48" i="1" s="1"/>
  <c r="G49" i="1"/>
  <c r="H49" i="1" s="1"/>
  <c r="J49" i="1" s="1"/>
  <c r="G50" i="1"/>
  <c r="H50" i="1" s="1"/>
  <c r="J50" i="1" s="1"/>
  <c r="G51" i="1"/>
  <c r="H51" i="1" s="1"/>
  <c r="J51" i="1" s="1"/>
  <c r="G52" i="1"/>
  <c r="H52" i="1" s="1"/>
  <c r="J52" i="1" s="1"/>
  <c r="G53" i="1"/>
  <c r="H53" i="1" s="1"/>
  <c r="J53" i="1" s="1"/>
  <c r="G54" i="1"/>
  <c r="H54" i="1" s="1"/>
  <c r="J54" i="1" s="1"/>
  <c r="G55" i="1"/>
  <c r="H55" i="1" s="1"/>
  <c r="J55" i="1" s="1"/>
  <c r="G56" i="1"/>
  <c r="H56" i="1" s="1"/>
  <c r="J56" i="1" s="1"/>
  <c r="G57" i="1"/>
  <c r="H57" i="1" s="1"/>
  <c r="J57" i="1" s="1"/>
  <c r="G58" i="1"/>
  <c r="H58" i="1" s="1"/>
  <c r="J58" i="1" s="1"/>
  <c r="G59" i="1"/>
  <c r="H59" i="1" s="1"/>
  <c r="J59" i="1" s="1"/>
  <c r="G60" i="1"/>
  <c r="H60" i="1" s="1"/>
  <c r="J60" i="1" s="1"/>
  <c r="G61" i="1"/>
  <c r="H61" i="1" s="1"/>
  <c r="J61" i="1" s="1"/>
  <c r="G62" i="1"/>
  <c r="H62" i="1" s="1"/>
  <c r="J62" i="1" s="1"/>
  <c r="G63" i="1"/>
  <c r="H63" i="1" s="1"/>
  <c r="J63" i="1" s="1"/>
  <c r="G64" i="1"/>
  <c r="H64" i="1" s="1"/>
  <c r="J64" i="1" s="1"/>
  <c r="G65" i="1"/>
  <c r="H65" i="1" s="1"/>
  <c r="J65" i="1" s="1"/>
  <c r="G66" i="1"/>
  <c r="H66" i="1" s="1"/>
  <c r="J66" i="1" s="1"/>
  <c r="G67" i="1"/>
  <c r="H67" i="1" s="1"/>
  <c r="J67" i="1" s="1"/>
  <c r="G68" i="1"/>
  <c r="H68" i="1" s="1"/>
  <c r="J68" i="1" s="1"/>
  <c r="G69" i="1"/>
  <c r="H69" i="1" s="1"/>
  <c r="J69" i="1" s="1"/>
  <c r="G70" i="1"/>
  <c r="H70" i="1" s="1"/>
  <c r="J70" i="1" s="1"/>
  <c r="G71" i="1"/>
  <c r="H71" i="1" s="1"/>
  <c r="J71" i="1" s="1"/>
  <c r="G72" i="1"/>
  <c r="H72" i="1" s="1"/>
  <c r="J72" i="1" s="1"/>
  <c r="G73" i="1"/>
  <c r="H73" i="1" s="1"/>
  <c r="J73" i="1" s="1"/>
  <c r="G74" i="1"/>
  <c r="H74" i="1" s="1"/>
  <c r="J74" i="1" s="1"/>
  <c r="G75" i="1"/>
  <c r="H75" i="1" s="1"/>
  <c r="J75" i="1" s="1"/>
  <c r="G76" i="1"/>
  <c r="H76" i="1" s="1"/>
  <c r="J76" i="1" s="1"/>
  <c r="G77" i="1"/>
  <c r="H77" i="1" s="1"/>
  <c r="J77" i="1" s="1"/>
  <c r="G78" i="1"/>
  <c r="H78" i="1" s="1"/>
  <c r="J78" i="1" s="1"/>
  <c r="G79" i="1"/>
  <c r="H79" i="1" s="1"/>
  <c r="J79" i="1" s="1"/>
  <c r="G80" i="1"/>
  <c r="H80" i="1" s="1"/>
  <c r="J80" i="1" s="1"/>
  <c r="G81" i="1"/>
  <c r="H81" i="1" s="1"/>
  <c r="J81" i="1" s="1"/>
  <c r="G82" i="1"/>
  <c r="H82" i="1" s="1"/>
  <c r="J82" i="1" s="1"/>
  <c r="G83" i="1"/>
  <c r="H83" i="1" s="1"/>
  <c r="J83" i="1" s="1"/>
  <c r="G84" i="1"/>
  <c r="H84" i="1" s="1"/>
  <c r="J84" i="1" s="1"/>
  <c r="G85" i="1"/>
  <c r="H85" i="1" s="1"/>
  <c r="J85" i="1" s="1"/>
  <c r="G86" i="1"/>
  <c r="H86" i="1" s="1"/>
  <c r="J86" i="1" s="1"/>
  <c r="G87" i="1"/>
  <c r="H87" i="1" s="1"/>
  <c r="J87" i="1" s="1"/>
  <c r="G88" i="1"/>
  <c r="H88" i="1" s="1"/>
  <c r="J88" i="1" s="1"/>
  <c r="G89" i="1"/>
  <c r="H89" i="1" s="1"/>
  <c r="J89" i="1" s="1"/>
  <c r="G90" i="1"/>
  <c r="H90" i="1" s="1"/>
  <c r="J90" i="1" s="1"/>
  <c r="G91" i="1"/>
  <c r="H91" i="1" s="1"/>
  <c r="J91" i="1" s="1"/>
  <c r="G92" i="1"/>
  <c r="H92" i="1" s="1"/>
  <c r="J92" i="1" s="1"/>
  <c r="G93" i="1"/>
  <c r="H93" i="1" s="1"/>
  <c r="J93" i="1" s="1"/>
  <c r="G94" i="1"/>
  <c r="H94" i="1" s="1"/>
  <c r="J94" i="1" s="1"/>
  <c r="G95" i="1"/>
  <c r="H95" i="1" s="1"/>
  <c r="J95" i="1" s="1"/>
  <c r="G96" i="1"/>
  <c r="H96" i="1" s="1"/>
  <c r="J96" i="1" s="1"/>
  <c r="G97" i="1"/>
  <c r="H97" i="1" s="1"/>
  <c r="J97" i="1" s="1"/>
  <c r="G98" i="1"/>
  <c r="H98" i="1" s="1"/>
  <c r="J98" i="1" s="1"/>
  <c r="G99" i="1"/>
  <c r="H99" i="1" s="1"/>
  <c r="J99" i="1" s="1"/>
  <c r="G100" i="1"/>
  <c r="H100" i="1" s="1"/>
  <c r="J100" i="1" s="1"/>
  <c r="G101" i="1"/>
  <c r="H101" i="1" s="1"/>
  <c r="J101" i="1" s="1"/>
  <c r="G102" i="1"/>
  <c r="H102" i="1" s="1"/>
  <c r="J102" i="1" s="1"/>
  <c r="G103" i="1"/>
  <c r="H103" i="1" s="1"/>
  <c r="J103" i="1" s="1"/>
  <c r="G104" i="1"/>
  <c r="H104" i="1" s="1"/>
  <c r="J104" i="1" s="1"/>
  <c r="G105" i="1"/>
  <c r="H105" i="1" s="1"/>
  <c r="J105" i="1" s="1"/>
  <c r="G106" i="1"/>
  <c r="H106" i="1" s="1"/>
  <c r="J106" i="1" s="1"/>
  <c r="G107" i="1"/>
  <c r="H107" i="1" s="1"/>
  <c r="J107" i="1" s="1"/>
  <c r="G108" i="1"/>
  <c r="H108" i="1" s="1"/>
  <c r="J108" i="1" s="1"/>
  <c r="G109" i="1"/>
  <c r="H109" i="1" s="1"/>
  <c r="J109" i="1" s="1"/>
  <c r="G110" i="1"/>
  <c r="H110" i="1" s="1"/>
  <c r="J110" i="1" s="1"/>
  <c r="G2" i="1"/>
  <c r="H2" i="1" s="1"/>
  <c r="J2" i="1" s="1"/>
</calcChain>
</file>

<file path=xl/sharedStrings.xml><?xml version="1.0" encoding="utf-8"?>
<sst xmlns="http://schemas.openxmlformats.org/spreadsheetml/2006/main" count="264" uniqueCount="152">
  <si>
    <t>Product</t>
  </si>
  <si>
    <t>Current price</t>
  </si>
  <si>
    <t>Discount</t>
  </si>
  <si>
    <t>Review</t>
  </si>
  <si>
    <t>115  Piece Set Of Multifunctional Precision Screwdrivers</t>
  </si>
  <si>
    <t>Metal Decorative Hooks Key Hangers Entryway Wall Hooks Towel Hooks - Home</t>
  </si>
  <si>
    <t>Portable Mini Cordless Car Vacuum Cleaner - Blue</t>
  </si>
  <si>
    <t>Weighing Scale Digital Bathroom Body Fat Scale USB-Black</t>
  </si>
  <si>
    <t>Portable Home Small Air Humidifier 3-Speed Fan - Green</t>
  </si>
  <si>
    <t>220V 60W Electric Soldering Iron Kits With Tools, Tips, And Multimeter</t>
  </si>
  <si>
    <t>137 Pieces Cake Decorating Tool Set Baking Supplies</t>
  </si>
  <si>
    <t>Desk Foldable Fan Adjustable Fan Strong Wind 3 Gear Usb</t>
  </si>
  <si>
    <t>LASA FOLDING TABLE SERVING STAND</t>
  </si>
  <si>
    <t>13 In 1 Home Repair Tools Box Kit Set</t>
  </si>
  <si>
    <t>Genebre 115 In 1 Screwdriver Repairing Tool Set For IPhone Cellphone Hand Tool</t>
  </si>
  <si>
    <t>100 Pcs Crochet Hook Tool Set Knitting Hook Set With Box</t>
  </si>
  <si>
    <t>40cm Gold DIY Acrylic Wall Sticker Clock</t>
  </si>
  <si>
    <t>LASA Digital Thermometer And Hydrometer</t>
  </si>
  <si>
    <t>Multifunction Laser Level With Adjustment Tripod</t>
  </si>
  <si>
    <t>Anti-Skid Absorbent Insulation Coaster  For Home Office</t>
  </si>
  <si>
    <t>Peacock  Throw Pillow Cushion Case For Home Car</t>
  </si>
  <si>
    <t>LASA Aluminum Folding Truck Hand Cart - 68kg Max</t>
  </si>
  <si>
    <t>LED Wall Digital Alarm Clock Study Home 12 / 24H Clock Calendar</t>
  </si>
  <si>
    <t>3D Waterproof EVA Plastic Shower Curtain 1.8*2Mtrs</t>
  </si>
  <si>
    <t>3PCS Single Head Knitting Crochet Sweater Needle Set</t>
  </si>
  <si>
    <t>4pcs Bathroom/Kitchen Towel Rack,Roll Paper Holder,Towel Bars,Hook</t>
  </si>
  <si>
    <t>LED Romantic Spaceship Starry Sky Projector,Children's Bedroom Night Light-Blue</t>
  </si>
  <si>
    <t>Foldable Overbed Table/Desk</t>
  </si>
  <si>
    <t>LASA 3 Tier Bamboo Shoe Bench Storage Shelf</t>
  </si>
  <si>
    <t>Electronic Digital Display Vernier Caliper</t>
  </si>
  <si>
    <t>Portable Wardrobe Nonwoven With 3 Hanging Rods And 6 Storage Shelves</t>
  </si>
  <si>
    <t>12 Litre Black Insulated Lunch Box</t>
  </si>
  <si>
    <t>52 Pieces Cake Decorating Tool Set Gift Kit Baking Supplies</t>
  </si>
  <si>
    <t>MultiFunctional Storage Rack Multi-layer Bookshelf</t>
  </si>
  <si>
    <t>Exfoliate And Exfoliate Face Towel - Black</t>
  </si>
  <si>
    <t>12 Litre Insulated Lunch Box Grey</t>
  </si>
  <si>
    <t>LED Eye Protection  Desk Lamp , Study, Reading, USB Fan - Double Pen Holder</t>
  </si>
  <si>
    <t>53Pcs/Set Yarn Knitting Crochet Hooks With Bag - Fortune Cat</t>
  </si>
  <si>
    <t>53 Pieces/Set Yarn Knitting Crochet Hooks With Bag - Pansies</t>
  </si>
  <si>
    <t>DIY File Folder, Office Drawer File Holder, Pen Holder, Desktop Storage Rack</t>
  </si>
  <si>
    <t>Classic Black Cat Cotton Hemp Pillow Case For Home Car</t>
  </si>
  <si>
    <t>Punch-free Great Load Bearing Bathroom Storage Rack Wall Shelf-White</t>
  </si>
  <si>
    <t>1/2/3 Seater Elastic Sofa Cover,Living Room/Home Decor Chair Cover-Grey</t>
  </si>
  <si>
    <t>LASA Stainless Steel Double Wall Mount Soap Dispenser - 500ml</t>
  </si>
  <si>
    <t>4M Float Switch Water Level Controller -Water Tank</t>
  </si>
  <si>
    <t>Modern Sofa Throw Pillow Cover-45x45cm-Blue&amp;Red</t>
  </si>
  <si>
    <t>Balloon Insert, Birthday Party Balloon Set, PU Leather</t>
  </si>
  <si>
    <t>Shower Cap Wide Elastic Band Cover Reusable Bashroom Cap</t>
  </si>
  <si>
    <t>Christmas Elk Fence Yard Lawn Decorations Cute For Holidays</t>
  </si>
  <si>
    <t>60W Hot Melt Glue Sprayer - Efficient And Stable Glue Dispensing</t>
  </si>
  <si>
    <t>Car Phone Charging Stand</t>
  </si>
  <si>
    <t>2pcs Solar Street Light Flood Light Outdoor</t>
  </si>
  <si>
    <t>Creative Owl Shape Keychain Black</t>
  </si>
  <si>
    <t>Brush &amp; Paintbrush Cleaning Tool Pink</t>
  </si>
  <si>
    <t>Pen Grips For Kids Pen Grip Posture Correction Tool For Kids</t>
  </si>
  <si>
    <t>Pilates Cloth Bag Waterproof Durable High Capacity Purple</t>
  </si>
  <si>
    <t>Multi-purpose Rice Drainage Basket And Fruit And Vegetable Drainage Sieve</t>
  </si>
  <si>
    <t>Cute Christmas Fence Garden Decorations For Holiday Home</t>
  </si>
  <si>
    <t>Simple Metal Dog Art Sculpture Decoration For Home Office</t>
  </si>
  <si>
    <t>Christmas Fence Garden Decorations Outdoor For Holiday Home</t>
  </si>
  <si>
    <t>Angle Measuring Tool Full Metal Multi Angle Measuring Tool</t>
  </si>
  <si>
    <t>12V 19500rpm Handheld Electric Angle Grinder Tool - UK - Yellow/Black</t>
  </si>
  <si>
    <t>5 Pieces/set Of Stainless Steel Induction Cooker Pots</t>
  </si>
  <si>
    <t>Mythco 120COB Solar Wall Ligt With Motion Sensor And Remote Control 3 Modes</t>
  </si>
  <si>
    <t>5-PCS Stainless Steel Cooking Pot Set With Steamed Slices</t>
  </si>
  <si>
    <t>120W Cordless Vacuum Cleaners Handheld Electric Vacuum Cleaner</t>
  </si>
  <si>
    <t>Intelligent  LED Body Sensor Wireless Lighting Night Light USB</t>
  </si>
  <si>
    <t>VIC Wireless Vacuum Cleaner Dual Use For Home And Car 120W High Power Powerful</t>
  </si>
  <si>
    <t>Artificial Potted Flowers Room Decorative Flowers (2 Pieces)</t>
  </si>
  <si>
    <t>380ML USB Rechargeable Portable Small Blenders And Juicers</t>
  </si>
  <si>
    <t>32PCS Portable Cordless Drill Set With Cyclic Battery Drive -26 Variable Speed</t>
  </si>
  <si>
    <t>Agapeon Toothbrush Holder And Toothpaste Dispenser</t>
  </si>
  <si>
    <t>Large Lazy Inflatable Sofa Chairs PVC Lounger Seat Bag</t>
  </si>
  <si>
    <t>Watercolour Gold Foil Textured Print Pillow Cover</t>
  </si>
  <si>
    <t>Wrought Iron Bathroom Shelf Wall Mounted Free Punch Toilet Rack</t>
  </si>
  <si>
    <t>7-piece Set Of Storage Bags, Travel Storage Bags, Shoe Bags</t>
  </si>
  <si>
    <t>Electric LED UV Mosquito Killer Lamp, Outdoor/Indoor Fly Killer Trap Light -USB</t>
  </si>
  <si>
    <t>2PCS/LOT Solar LED Outdoor Intelligent Light Controlled Wall Lamp</t>
  </si>
  <si>
    <t>3PCS Rotary Scraper Thermomix For Kitchen</t>
  </si>
  <si>
    <t>Cushion Silicone Butt Cushion Summer Ice Cushion Honeycomb Gel Cushion</t>
  </si>
  <si>
    <t>7PCS Silicone Thumb Knife Finger Protector Vegetable Harvesting Knife</t>
  </si>
  <si>
    <t>Memory Foam Neck Pillow Cover, With Pillow Core - 50*30cm</t>
  </si>
  <si>
    <t>Bedroom Simple Floor Hanging Clothes Rack Single Pole Hat Rack - White</t>
  </si>
  <si>
    <t>5m Waterproof Spherical LED String Lights Outdoor Ball Chain Lights Party Lighting Decoration Adjustable</t>
  </si>
  <si>
    <t>2 Pairs Cowhide Split Leather Work Gloves.32â„‰ Or Above Welding Gloves</t>
  </si>
  <si>
    <t>Household Pineapple Peeler Peeler</t>
  </si>
  <si>
    <t>Office Chair Lumbar Back Support Spine Posture Correction Pillow Car Cushion</t>
  </si>
  <si>
    <t>Cartoon Car Decoration Cute Individuality For Car Home Desk</t>
  </si>
  <si>
    <t>Outdoor Portable Water Bottle With Medicine Box - 600ML - Black</t>
  </si>
  <si>
    <t>Wall-Mounted Toothbrush Toothpaste Holder With Multiple Slots</t>
  </si>
  <si>
    <t>Multifunctional Hanging Storage Box Storage Bag (4 Layers)</t>
  </si>
  <si>
    <t>Wall Clock With Hidden Safe Box</t>
  </si>
  <si>
    <t>Portable Wine Table With Folding Round Table</t>
  </si>
  <si>
    <t>Sewing Machine Needle Threader Stitch Insertion Tool Automatic Quick Sewing</t>
  </si>
  <si>
    <t>6 Layers Steel Pipe Assembling Dustproof Storage Shoe Cabinet</t>
  </si>
  <si>
    <t>2PCS Ice Silk Square Cushion Cover Pillowcases - 65x65cm</t>
  </si>
  <si>
    <t>Wall Mount Automatic Toothpaste Dispenser Toothbrush Holder Toothpaste Squeezer</t>
  </si>
  <si>
    <t>Portable Soap Dispenser Kitchen Detergent Press Box Kitchen Tools</t>
  </si>
  <si>
    <t>4 Piece Coloured Stainless Steel Kitchenware Set</t>
  </si>
  <si>
    <t>Metal Wall Clock Silver Dial Crystal Jewelry Round Home Decoration Wall Clock</t>
  </si>
  <si>
    <t>Baby Early Education Shape And Color Cognitive Training Toys</t>
  </si>
  <si>
    <t>8in1 Screwdriver With LED Light</t>
  </si>
  <si>
    <t>Konka Healty Electric Kettle, 24-hour Heat Preservation,1.5L,800W, White</t>
  </si>
  <si>
    <t>9pcs Gas Mask, For Painting, Dust, Formaldehyde Grinding, Polishing</t>
  </si>
  <si>
    <t>24 Grid Wall-mounted Sundries Organiser Fabric Closet Bag Storage Rack</t>
  </si>
  <si>
    <t>1PC Refrigerator Food Seal Pocket Fridge Bags</t>
  </si>
  <si>
    <t>LED Solar Street Light-fake Camera</t>
  </si>
  <si>
    <t>Cartoon Embroidered Mini Towel Bear Cotton Wash Cloth Hand 4pcs</t>
  </si>
  <si>
    <t>Shower Nozzle Cleaning Unclogging Needle Mini Crevice Small Hole Cleaning Brush</t>
  </si>
  <si>
    <t>Thickening Multipurpose Non Stick Easy To Clean Heat Resistant Spoon Pad</t>
  </si>
  <si>
    <t>6 In 1 Bottle Can Opener Multifunctional Easy Opener</t>
  </si>
  <si>
    <t>Wall-mounted Sticker Punch-free Plug Fixer</t>
  </si>
  <si>
    <t>Black Simple Water Cup Wine Coaster Anti Slip Absorbent</t>
  </si>
  <si>
    <t>Ratings</t>
  </si>
  <si>
    <t>Old price</t>
  </si>
  <si>
    <t>Not Provided</t>
  </si>
  <si>
    <t>% discount</t>
  </si>
  <si>
    <t>Discount amount</t>
  </si>
  <si>
    <t>Rating category</t>
  </si>
  <si>
    <t>Row Labels</t>
  </si>
  <si>
    <t>Grand Total</t>
  </si>
  <si>
    <t>0.01-0.11</t>
  </si>
  <si>
    <t>0.11-0.21</t>
  </si>
  <si>
    <t>0.21-0.31</t>
  </si>
  <si>
    <t>0.31-0.41</t>
  </si>
  <si>
    <t>0.41-0.51</t>
  </si>
  <si>
    <t>0.51-0.61</t>
  </si>
  <si>
    <t>0.61-0.71</t>
  </si>
  <si>
    <t>Average</t>
  </si>
  <si>
    <t>Excellent</t>
  </si>
  <si>
    <t>Poor</t>
  </si>
  <si>
    <t>Unclassified</t>
  </si>
  <si>
    <t>Sum of Review</t>
  </si>
  <si>
    <t>Total number of products</t>
  </si>
  <si>
    <t>Average rating</t>
  </si>
  <si>
    <t>Total number of reviews</t>
  </si>
  <si>
    <t>Count of Rating category</t>
  </si>
  <si>
    <t>Average of Ratings</t>
  </si>
  <si>
    <t>Top products by rating</t>
  </si>
  <si>
    <t>Top products by review count</t>
  </si>
  <si>
    <t>Top products by discount percentage</t>
  </si>
  <si>
    <t>Average of % discount</t>
  </si>
  <si>
    <t>Reviews and ratings overview</t>
  </si>
  <si>
    <t>Average discount %</t>
  </si>
  <si>
    <t>Count of Review2</t>
  </si>
  <si>
    <t>Discounted price categories</t>
  </si>
  <si>
    <t>High discounted price</t>
  </si>
  <si>
    <t>Low discounted price</t>
  </si>
  <si>
    <t>Medium discounted price</t>
  </si>
  <si>
    <t>Count of Discounted price categories</t>
  </si>
  <si>
    <t>Sum of Discount amount</t>
  </si>
  <si>
    <t>Discount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</si>
</sst>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Ksh-441]#,##0.00"/>
  </numFmts>
  <fonts count="8" x14ac:knownFonts="1">
    <font>
      <sz val="11"/>
      <color theme="1"/>
      <name val="Aptos Narrow"/>
      <family val="2"/>
      <scheme val="minor"/>
    </font>
    <font>
      <sz val="11"/>
      <color theme="1"/>
      <name val="Aptos Narrow"/>
      <family val="2"/>
      <scheme val="minor"/>
    </font>
    <font>
      <b/>
      <sz val="11"/>
      <color theme="1"/>
      <name val="Aptos Narrow"/>
      <family val="2"/>
      <scheme val="minor"/>
    </font>
    <font>
      <sz val="18"/>
      <color theme="1"/>
      <name val="Candara"/>
      <family val="2"/>
    </font>
    <font>
      <sz val="16"/>
      <color theme="1"/>
      <name val="Candara"/>
      <family val="2"/>
    </font>
    <font>
      <b/>
      <sz val="16"/>
      <color theme="9" tint="-0.249977111117893"/>
      <name val="Candara"/>
      <family val="2"/>
    </font>
    <font>
      <b/>
      <sz val="16"/>
      <color theme="6" tint="-0.499984740745262"/>
      <name val="Candara"/>
      <family val="2"/>
    </font>
    <font>
      <b/>
      <sz val="18"/>
      <color theme="6" tint="-0.499984740745262"/>
      <name val="Candara"/>
      <family val="2"/>
    </font>
  </fonts>
  <fills count="5">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rgb="FFF0FAEC"/>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5">
    <xf numFmtId="0" fontId="0" fillId="0" borderId="0" xfId="0"/>
    <xf numFmtId="164" fontId="0" fillId="0" borderId="0" xfId="0" applyNumberFormat="1"/>
    <xf numFmtId="1" fontId="0" fillId="0" borderId="0" xfId="0" applyNumberFormat="1"/>
    <xf numFmtId="9" fontId="0" fillId="0" borderId="0" xfId="1" applyFont="1"/>
    <xf numFmtId="49" fontId="0" fillId="0" borderId="0" xfId="0" applyNumberFormat="1"/>
    <xf numFmtId="1" fontId="0" fillId="0" borderId="0" xfId="1" applyNumberFormat="1" applyFont="1"/>
    <xf numFmtId="0" fontId="0" fillId="2" borderId="0" xfId="0" applyFill="1"/>
    <xf numFmtId="9" fontId="0" fillId="2" borderId="0" xfId="1" applyFont="1" applyFill="1"/>
    <xf numFmtId="0" fontId="0" fillId="0" borderId="0" xfId="0" pivotButton="1"/>
    <xf numFmtId="9" fontId="0" fillId="0" borderId="0" xfId="0" applyNumberFormat="1" applyAlignment="1">
      <alignment horizontal="left"/>
    </xf>
    <xf numFmtId="0" fontId="0" fillId="0" borderId="0" xfId="0" applyAlignment="1">
      <alignment horizontal="left"/>
    </xf>
    <xf numFmtId="3" fontId="0" fillId="0" borderId="0" xfId="0" applyNumberFormat="1"/>
    <xf numFmtId="9" fontId="0" fillId="0" borderId="0" xfId="0" applyNumberFormat="1"/>
    <xf numFmtId="0" fontId="4" fillId="4" borderId="0" xfId="0" applyFont="1" applyFill="1"/>
    <xf numFmtId="0" fontId="5" fillId="4" borderId="0" xfId="0" applyFont="1" applyFill="1"/>
    <xf numFmtId="0" fontId="7" fillId="4" borderId="0" xfId="0" applyFont="1" applyFill="1"/>
    <xf numFmtId="2" fontId="7" fillId="4" borderId="0" xfId="0" applyNumberFormat="1" applyFont="1" applyFill="1"/>
    <xf numFmtId="0" fontId="3" fillId="4" borderId="0" xfId="0" applyFont="1" applyFill="1"/>
    <xf numFmtId="166" fontId="0" fillId="0" borderId="0" xfId="0" applyNumberFormat="1"/>
    <xf numFmtId="0" fontId="2" fillId="3" borderId="0" xfId="0" applyFont="1" applyFill="1" applyAlignment="1">
      <alignment horizontal="center" vertical="center"/>
    </xf>
    <xf numFmtId="49" fontId="7" fillId="4" borderId="0" xfId="0" applyNumberFormat="1" applyFont="1" applyFill="1" applyAlignment="1">
      <alignment horizontal="center"/>
    </xf>
    <xf numFmtId="1" fontId="7" fillId="4" borderId="0" xfId="0" applyNumberFormat="1" applyFont="1" applyFill="1" applyAlignment="1">
      <alignment horizontal="center"/>
    </xf>
    <xf numFmtId="0" fontId="6" fillId="4" borderId="0" xfId="0" applyFont="1" applyFill="1" applyAlignment="1">
      <alignment horizontal="center" vertical="center"/>
    </xf>
    <xf numFmtId="9" fontId="7" fillId="4" borderId="0" xfId="0" applyNumberFormat="1" applyFont="1" applyFill="1" applyAlignment="1">
      <alignment horizontal="center"/>
    </xf>
    <xf numFmtId="0" fontId="0" fillId="0" borderId="0" xfId="0" applyNumberFormat="1"/>
  </cellXfs>
  <cellStyles count="2">
    <cellStyle name="Normal" xfId="0" builtinId="0"/>
    <cellStyle name="Percent" xfId="1" builtinId="5"/>
  </cellStyles>
  <dxfs count="4">
    <dxf>
      <font>
        <color rgb="FF9C0006"/>
      </font>
      <fill>
        <patternFill>
          <bgColor rgb="FFFFC7CE"/>
        </patternFill>
      </fill>
    </dxf>
    <dxf>
      <font>
        <color rgb="FF9C0006"/>
      </font>
      <fill>
        <patternFill>
          <bgColor rgb="FFFFC7CE"/>
        </patternFill>
      </fill>
    </dxf>
    <dxf>
      <numFmt numFmtId="13" formatCode="0%"/>
    </dxf>
    <dxf>
      <numFmt numFmtId="164" formatCode="0.0"/>
    </dxf>
  </dxfs>
  <tableStyles count="0" defaultTableStyle="TableStyleMedium2" defaultPivotStyle="PivotStyleLight16"/>
  <colors>
    <mruColors>
      <color rgb="FFFFFF4F"/>
      <color rgb="FFFFFF85"/>
      <color rgb="FFFFFFAB"/>
      <color rgb="FFF0FAEC"/>
      <color rgb="FFE5F6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 data.xlsx]Product Categories!PivotTable58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 Category</a:t>
            </a:r>
          </a:p>
        </c:rich>
      </c:tx>
      <c:layout>
        <c:manualLayout>
          <c:xMode val="edge"/>
          <c:yMode val="edge"/>
          <c:x val="0.63777583145416428"/>
          <c:y val="5.1018265575087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64955295222239"/>
          <c:y val="3.4299247612215991E-2"/>
          <c:w val="0.76441237583937371"/>
          <c:h val="0.83111777389569319"/>
        </c:manualLayout>
      </c:layout>
      <c:barChart>
        <c:barDir val="bar"/>
        <c:grouping val="clustered"/>
        <c:varyColors val="0"/>
        <c:ser>
          <c:idx val="0"/>
          <c:order val="0"/>
          <c:tx>
            <c:strRef>
              <c:f>'Product Categories'!$B$3</c:f>
              <c:strCache>
                <c:ptCount val="1"/>
                <c:pt idx="0">
                  <c:v>Total</c:v>
                </c:pt>
              </c:strCache>
            </c:strRef>
          </c:tx>
          <c:spPr>
            <a:solidFill>
              <a:schemeClr val="accent1"/>
            </a:solidFill>
            <a:ln>
              <a:noFill/>
            </a:ln>
            <a:effectLst/>
          </c:spPr>
          <c:invertIfNegative val="0"/>
          <c:cat>
            <c:strRef>
              <c:f>'Product Categories'!$A$4:$A$8</c:f>
              <c:strCache>
                <c:ptCount val="4"/>
                <c:pt idx="0">
                  <c:v>Unclassified</c:v>
                </c:pt>
                <c:pt idx="1">
                  <c:v>Excellent</c:v>
                </c:pt>
                <c:pt idx="2">
                  <c:v>Average</c:v>
                </c:pt>
                <c:pt idx="3">
                  <c:v>Poor</c:v>
                </c:pt>
              </c:strCache>
            </c:strRef>
          </c:cat>
          <c:val>
            <c:numRef>
              <c:f>'Product Categories'!$B$4:$B$8</c:f>
              <c:numCache>
                <c:formatCode>General</c:formatCode>
                <c:ptCount val="4"/>
                <c:pt idx="0">
                  <c:v>52</c:v>
                </c:pt>
                <c:pt idx="1">
                  <c:v>23</c:v>
                </c:pt>
                <c:pt idx="2">
                  <c:v>22</c:v>
                </c:pt>
                <c:pt idx="3">
                  <c:v>12</c:v>
                </c:pt>
              </c:numCache>
            </c:numRef>
          </c:val>
          <c:extLst>
            <c:ext xmlns:c16="http://schemas.microsoft.com/office/drawing/2014/chart" uri="{C3380CC4-5D6E-409C-BE32-E72D297353CC}">
              <c16:uniqueId val="{00000000-E468-4D0A-B382-12234D06AC09}"/>
            </c:ext>
          </c:extLst>
        </c:ser>
        <c:dLbls>
          <c:showLegendKey val="0"/>
          <c:showVal val="0"/>
          <c:showCatName val="0"/>
          <c:showSerName val="0"/>
          <c:showPercent val="0"/>
          <c:showBubbleSize val="0"/>
        </c:dLbls>
        <c:gapWidth val="45"/>
        <c:axId val="969094703"/>
        <c:axId val="969081743"/>
      </c:barChart>
      <c:catAx>
        <c:axId val="96909470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081743"/>
        <c:crosses val="autoZero"/>
        <c:auto val="1"/>
        <c:lblAlgn val="ctr"/>
        <c:lblOffset val="100"/>
        <c:noMultiLvlLbl val="0"/>
      </c:catAx>
      <c:valAx>
        <c:axId val="96908174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094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 data.xlsx]Trend Analysis!PivotTable74</c:name>
    <c:fmtId val="4"/>
  </c:pivotSource>
  <c:chart>
    <c:title>
      <c:tx>
        <c:rich>
          <a:bodyPr rot="0" spcFirstLastPara="1" vertOverflow="ellipsis" vert="horz" wrap="square" anchor="ctr" anchorCtr="1"/>
          <a:lstStyle/>
          <a:p>
            <a:pPr>
              <a:defRPr sz="1200" b="1" i="0" u="none" strike="noStrike" kern="1200" spc="0" baseline="0">
                <a:solidFill>
                  <a:schemeClr val="tx1">
                    <a:lumMod val="95000"/>
                    <a:lumOff val="5000"/>
                  </a:schemeClr>
                </a:solidFill>
                <a:latin typeface="Candara" panose="020E0502030303020204" pitchFamily="34" charset="0"/>
                <a:ea typeface="+mn-ea"/>
                <a:cs typeface="+mn-cs"/>
              </a:defRPr>
            </a:pPr>
            <a:r>
              <a:rPr lang="en-US" sz="1200" b="1"/>
              <a:t>Reviews</a:t>
            </a:r>
            <a:r>
              <a:rPr lang="en-US" sz="1200" b="1" baseline="0"/>
              <a:t> &amp; ratings by % discount</a:t>
            </a:r>
            <a:endParaRPr lang="en-US" sz="1200" b="1"/>
          </a:p>
        </c:rich>
      </c:tx>
      <c:layout>
        <c:manualLayout>
          <c:xMode val="edge"/>
          <c:yMode val="edge"/>
          <c:x val="0.4520362698300236"/>
          <c:y val="1.8827244489071988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95000"/>
                  <a:lumOff val="5000"/>
                </a:schemeClr>
              </a:solidFill>
              <a:latin typeface="Candara" panose="020E0502030303020204" pitchFamily="34" charset="0"/>
              <a:ea typeface="+mn-ea"/>
              <a:cs typeface="+mn-cs"/>
            </a:defRPr>
          </a:pPr>
          <a:endParaRPr lang="en-US"/>
        </a:p>
      </c:txPr>
    </c:title>
    <c:autoTitleDeleted val="0"/>
    <c:pivotFmts>
      <c:pivotFmt>
        <c:idx val="0"/>
        <c:spPr>
          <a:gradFill flip="none" rotWithShape="1">
            <a:gsLst>
              <a:gs pos="48000">
                <a:srgbClr val="FFFF3A"/>
              </a:gs>
              <a:gs pos="19000">
                <a:srgbClr val="FFFF00"/>
              </a:gs>
              <a:gs pos="85000">
                <a:srgbClr val="FFFF85"/>
              </a:gs>
            </a:gsLst>
            <a:path path="circle">
              <a:fillToRect l="100000" t="100000"/>
            </a:path>
            <a:tileRect r="-100000" b="-100000"/>
          </a:gra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Candara" panose="020E0502030303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3">
                <a:lumMod val="60000"/>
                <a:lumOff val="40000"/>
              </a:schemeClr>
            </a:solidFill>
            <a:round/>
          </a:ln>
          <a:effectLst/>
        </c:spPr>
        <c:marker>
          <c:symbol val="circle"/>
          <c:size val="5"/>
          <c:spPr>
            <a:solidFill>
              <a:schemeClr val="accent6">
                <a:lumMod val="75000"/>
              </a:schemeClr>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Candara" panose="020E0502030303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48000">
                <a:srgbClr val="FFFF3A"/>
              </a:gs>
              <a:gs pos="19000">
                <a:srgbClr val="FFFF00"/>
              </a:gs>
              <a:gs pos="85000">
                <a:srgbClr val="FFFF85"/>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Candara" panose="020E0502030303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3">
                <a:lumMod val="60000"/>
                <a:lumOff val="40000"/>
              </a:schemeClr>
            </a:solidFill>
            <a:round/>
          </a:ln>
          <a:effectLst/>
        </c:spPr>
        <c:marker>
          <c:symbol val="circle"/>
          <c:size val="5"/>
          <c:spPr>
            <a:solidFill>
              <a:schemeClr val="accent6">
                <a:lumMod val="75000"/>
              </a:schemeClr>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Candara" panose="020E0502030303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242633456808789E-2"/>
          <c:y val="0.143139140961515"/>
          <c:w val="0.85954698131475082"/>
          <c:h val="0.5498967727404962"/>
        </c:manualLayout>
      </c:layout>
      <c:barChart>
        <c:barDir val="col"/>
        <c:grouping val="clustered"/>
        <c:varyColors val="0"/>
        <c:ser>
          <c:idx val="0"/>
          <c:order val="0"/>
          <c:tx>
            <c:strRef>
              <c:f>'Trend Analysis'!$B$3</c:f>
              <c:strCache>
                <c:ptCount val="1"/>
                <c:pt idx="0">
                  <c:v>Sum of Review</c:v>
                </c:pt>
              </c:strCache>
            </c:strRef>
          </c:tx>
          <c:spPr>
            <a:gradFill flip="none" rotWithShape="1">
              <a:gsLst>
                <a:gs pos="48000">
                  <a:srgbClr val="FFFF3A"/>
                </a:gs>
                <a:gs pos="19000">
                  <a:srgbClr val="FFFF00"/>
                </a:gs>
                <a:gs pos="85000">
                  <a:srgbClr val="FFFF85"/>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Candara" panose="020E0502030303020204" pitchFamily="34" charset="0"/>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'Trend Analysis'!$A$4:$A$10</c:f>
              <c:strCache>
                <c:ptCount val="6"/>
                <c:pt idx="0">
                  <c:v>0.01-0.11</c:v>
                </c:pt>
                <c:pt idx="1">
                  <c:v>0.11-0.21</c:v>
                </c:pt>
                <c:pt idx="2">
                  <c:v>0.21-0.31</c:v>
                </c:pt>
                <c:pt idx="3">
                  <c:v>0.31-0.41</c:v>
                </c:pt>
                <c:pt idx="4">
                  <c:v>0.41-0.51</c:v>
                </c:pt>
                <c:pt idx="5">
                  <c:v>0.51-0.61</c:v>
                </c:pt>
              </c:strCache>
            </c:strRef>
          </c:cat>
          <c:val>
            <c:numRef>
              <c:f>'Trend Analysis'!$B$4:$B$10</c:f>
              <c:numCache>
                <c:formatCode>0</c:formatCode>
                <c:ptCount val="6"/>
                <c:pt idx="0">
                  <c:v>15</c:v>
                </c:pt>
                <c:pt idx="1">
                  <c:v>35</c:v>
                </c:pt>
                <c:pt idx="2">
                  <c:v>192</c:v>
                </c:pt>
                <c:pt idx="3">
                  <c:v>147</c:v>
                </c:pt>
                <c:pt idx="4">
                  <c:v>258</c:v>
                </c:pt>
                <c:pt idx="5">
                  <c:v>76</c:v>
                </c:pt>
              </c:numCache>
            </c:numRef>
          </c:val>
          <c:extLst>
            <c:ext xmlns:c16="http://schemas.microsoft.com/office/drawing/2014/chart" uri="{C3380CC4-5D6E-409C-BE32-E72D297353CC}">
              <c16:uniqueId val="{00000000-1201-4351-8CDA-F7309B1B7FF3}"/>
            </c:ext>
          </c:extLst>
        </c:ser>
        <c:dLbls>
          <c:showLegendKey val="0"/>
          <c:showVal val="1"/>
          <c:showCatName val="0"/>
          <c:showSerName val="0"/>
          <c:showPercent val="0"/>
          <c:showBubbleSize val="0"/>
        </c:dLbls>
        <c:gapWidth val="50"/>
        <c:overlap val="-27"/>
        <c:axId val="830067696"/>
        <c:axId val="830075856"/>
      </c:barChart>
      <c:lineChart>
        <c:grouping val="standard"/>
        <c:varyColors val="0"/>
        <c:ser>
          <c:idx val="1"/>
          <c:order val="1"/>
          <c:tx>
            <c:strRef>
              <c:f>'Trend Analysis'!$C$3</c:f>
              <c:strCache>
                <c:ptCount val="1"/>
                <c:pt idx="0">
                  <c:v>Average of Ratings</c:v>
                </c:pt>
              </c:strCache>
            </c:strRef>
          </c:tx>
          <c:spPr>
            <a:ln w="28575" cap="rnd">
              <a:solidFill>
                <a:schemeClr val="accent3">
                  <a:lumMod val="60000"/>
                  <a:lumOff val="40000"/>
                </a:schemeClr>
              </a:solidFill>
              <a:round/>
            </a:ln>
            <a:effectLst/>
          </c:spPr>
          <c:marker>
            <c:symbol val="circle"/>
            <c:size val="5"/>
            <c:spPr>
              <a:solidFill>
                <a:schemeClr val="accent6">
                  <a:lumMod val="75000"/>
                </a:schemeClr>
              </a:solidFill>
              <a:ln w="9525">
                <a:solidFill>
                  <a:schemeClr val="accent6">
                    <a:lumMod val="5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Candara" panose="020E0502030303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'Trend Analysis'!$A$4:$A$10</c:f>
              <c:strCache>
                <c:ptCount val="6"/>
                <c:pt idx="0">
                  <c:v>0.01-0.11</c:v>
                </c:pt>
                <c:pt idx="1">
                  <c:v>0.11-0.21</c:v>
                </c:pt>
                <c:pt idx="2">
                  <c:v>0.21-0.31</c:v>
                </c:pt>
                <c:pt idx="3">
                  <c:v>0.31-0.41</c:v>
                </c:pt>
                <c:pt idx="4">
                  <c:v>0.41-0.51</c:v>
                </c:pt>
                <c:pt idx="5">
                  <c:v>0.51-0.61</c:v>
                </c:pt>
              </c:strCache>
            </c:strRef>
          </c:cat>
          <c:val>
            <c:numRef>
              <c:f>'Trend Analysis'!$C$4:$C$10</c:f>
              <c:numCache>
                <c:formatCode>0.0</c:formatCode>
                <c:ptCount val="6"/>
                <c:pt idx="0">
                  <c:v>4</c:v>
                </c:pt>
                <c:pt idx="1">
                  <c:v>3.75</c:v>
                </c:pt>
                <c:pt idx="2">
                  <c:v>4.26</c:v>
                </c:pt>
                <c:pt idx="3">
                  <c:v>4.3083333333333327</c:v>
                </c:pt>
                <c:pt idx="4">
                  <c:v>3.5190476190476185</c:v>
                </c:pt>
                <c:pt idx="5">
                  <c:v>3.8333333333333339</c:v>
                </c:pt>
              </c:numCache>
            </c:numRef>
          </c:val>
          <c:smooth val="0"/>
          <c:extLst>
            <c:ext xmlns:c16="http://schemas.microsoft.com/office/drawing/2014/chart" uri="{C3380CC4-5D6E-409C-BE32-E72D297353CC}">
              <c16:uniqueId val="{00000001-1201-4351-8CDA-F7309B1B7FF3}"/>
            </c:ext>
          </c:extLst>
        </c:ser>
        <c:dLbls>
          <c:showLegendKey val="0"/>
          <c:showVal val="1"/>
          <c:showCatName val="0"/>
          <c:showSerName val="0"/>
          <c:showPercent val="0"/>
          <c:showBubbleSize val="0"/>
        </c:dLbls>
        <c:marker val="1"/>
        <c:smooth val="0"/>
        <c:axId val="830076336"/>
        <c:axId val="830064816"/>
      </c:lineChart>
      <c:catAx>
        <c:axId val="830067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1560000" spcFirstLastPara="1" vertOverflow="ellipsis" wrap="square" anchor="ctr" anchorCtr="1"/>
          <a:lstStyle/>
          <a:p>
            <a:pPr>
              <a:defRPr sz="900" b="0" i="0" u="none" strike="noStrike" kern="1200" baseline="0">
                <a:solidFill>
                  <a:schemeClr val="tx1">
                    <a:lumMod val="95000"/>
                    <a:lumOff val="5000"/>
                  </a:schemeClr>
                </a:solidFill>
                <a:latin typeface="Candara" panose="020E0502030303020204" pitchFamily="34" charset="0"/>
                <a:ea typeface="+mn-ea"/>
                <a:cs typeface="+mn-cs"/>
              </a:defRPr>
            </a:pPr>
            <a:endParaRPr lang="en-US"/>
          </a:p>
        </c:txPr>
        <c:crossAx val="830075856"/>
        <c:crosses val="autoZero"/>
        <c:auto val="1"/>
        <c:lblAlgn val="ctr"/>
        <c:lblOffset val="100"/>
        <c:noMultiLvlLbl val="0"/>
      </c:catAx>
      <c:valAx>
        <c:axId val="83007585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Candara" panose="020E0502030303020204" pitchFamily="34" charset="0"/>
                <a:ea typeface="+mn-ea"/>
                <a:cs typeface="+mn-cs"/>
              </a:defRPr>
            </a:pPr>
            <a:endParaRPr lang="en-US"/>
          </a:p>
        </c:txPr>
        <c:crossAx val="830067696"/>
        <c:crosses val="autoZero"/>
        <c:crossBetween val="between"/>
      </c:valAx>
      <c:valAx>
        <c:axId val="830064816"/>
        <c:scaling>
          <c:orientation val="minMax"/>
          <c:min val="2.5"/>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Candara" panose="020E0502030303020204" pitchFamily="34" charset="0"/>
                <a:ea typeface="+mn-ea"/>
                <a:cs typeface="+mn-cs"/>
              </a:defRPr>
            </a:pPr>
            <a:endParaRPr lang="en-US"/>
          </a:p>
        </c:txPr>
        <c:crossAx val="830076336"/>
        <c:crosses val="max"/>
        <c:crossBetween val="between"/>
      </c:valAx>
      <c:catAx>
        <c:axId val="830076336"/>
        <c:scaling>
          <c:orientation val="minMax"/>
        </c:scaling>
        <c:delete val="1"/>
        <c:axPos val="b"/>
        <c:numFmt formatCode="General" sourceLinked="1"/>
        <c:majorTickMark val="none"/>
        <c:minorTickMark val="none"/>
        <c:tickLblPos val="nextTo"/>
        <c:crossAx val="830064816"/>
        <c:crosses val="autoZero"/>
        <c:auto val="1"/>
        <c:lblAlgn val="ctr"/>
        <c:lblOffset val="100"/>
        <c:noMultiLvlLbl val="0"/>
      </c:catAx>
      <c:spPr>
        <a:noFill/>
        <a:ln>
          <a:noFill/>
        </a:ln>
        <a:effectLst/>
      </c:spPr>
    </c:plotArea>
    <c:legend>
      <c:legendPos val="r"/>
      <c:layout>
        <c:manualLayout>
          <c:xMode val="edge"/>
          <c:yMode val="edge"/>
          <c:x val="0.31670023590570401"/>
          <c:y val="0.81742053847092278"/>
          <c:w val="0.63904308836395451"/>
          <c:h val="0.140871894970955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Candara" panose="020E0502030303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6">
          <a:lumMod val="75000"/>
        </a:schemeClr>
      </a:solidFill>
      <a:round/>
    </a:ln>
    <a:effectLst/>
  </c:spPr>
  <c:txPr>
    <a:bodyPr/>
    <a:lstStyle/>
    <a:p>
      <a:pPr>
        <a:defRPr>
          <a:solidFill>
            <a:schemeClr val="tx1">
              <a:lumMod val="95000"/>
              <a:lumOff val="5000"/>
            </a:schemeClr>
          </a:solidFill>
          <a:latin typeface="Candara" panose="020E0502030303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 data.xlsx]Trend Analysis!PivotTable2</c:name>
    <c:fmtId val="11"/>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Candara" panose="020E0502030303020204" pitchFamily="34" charset="0"/>
                <a:ea typeface="+mn-ea"/>
                <a:cs typeface="+mn-cs"/>
              </a:defRPr>
            </a:pPr>
            <a:r>
              <a:rPr lang="en-US" sz="1200" b="1"/>
              <a:t>Number of reviews by ratings</a:t>
            </a:r>
          </a:p>
        </c:rich>
      </c:tx>
      <c:layout>
        <c:manualLayout>
          <c:xMode val="edge"/>
          <c:yMode val="edge"/>
          <c:x val="0.37418816621654521"/>
          <c:y val="2.2996233894258974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Candara" panose="020E0502030303020204" pitchFamily="34" charset="0"/>
              <a:ea typeface="+mn-ea"/>
              <a:cs typeface="+mn-cs"/>
            </a:defRPr>
          </a:pPr>
          <a:endParaRPr lang="en-US"/>
        </a:p>
      </c:txPr>
    </c:title>
    <c:autoTitleDeleted val="0"/>
    <c:pivotFmts>
      <c:pivotFmt>
        <c:idx val="0"/>
        <c:spPr>
          <a:solidFill>
            <a:schemeClr val="accent1"/>
          </a:solidFill>
          <a:ln w="28575" cap="rnd">
            <a:solidFill>
              <a:schemeClr val="accent3">
                <a:lumMod val="60000"/>
                <a:lumOff val="40000"/>
              </a:schemeClr>
            </a:solidFill>
            <a:round/>
          </a:ln>
          <a:effectLst/>
        </c:spPr>
        <c:marker>
          <c:symbol val="circle"/>
          <c:size val="5"/>
          <c:spPr>
            <a:solidFill>
              <a:schemeClr val="accent6">
                <a:lumMod val="75000"/>
              </a:schemeClr>
            </a:solidFill>
            <a:ln w="9525">
              <a:solidFill>
                <a:schemeClr val="accent6">
                  <a:lumMod val="75000"/>
                </a:schemeClr>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FF4F"/>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lumMod val="60000"/>
                <a:lumOff val="40000"/>
              </a:schemeClr>
            </a:solidFill>
            <a:round/>
          </a:ln>
          <a:effectLst/>
        </c:spPr>
        <c:marker>
          <c:symbol val="circle"/>
          <c:size val="5"/>
          <c:spPr>
            <a:solidFill>
              <a:schemeClr val="accent6">
                <a:lumMod val="75000"/>
              </a:schemeClr>
            </a:solidFill>
            <a:ln w="9525">
              <a:solidFill>
                <a:schemeClr val="accent6">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FFFF4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664157061699819E-2"/>
          <c:y val="3.8059736203860599E-2"/>
          <c:w val="0.87720920466338714"/>
          <c:h val="0.60713822164634479"/>
        </c:manualLayout>
      </c:layout>
      <c:lineChart>
        <c:grouping val="standard"/>
        <c:varyColors val="0"/>
        <c:ser>
          <c:idx val="0"/>
          <c:order val="0"/>
          <c:tx>
            <c:strRef>
              <c:f>'Trend Analysis'!$B$20</c:f>
              <c:strCache>
                <c:ptCount val="1"/>
                <c:pt idx="0">
                  <c:v>Sum of Review</c:v>
                </c:pt>
              </c:strCache>
            </c:strRef>
          </c:tx>
          <c:spPr>
            <a:ln w="28575" cap="rnd">
              <a:solidFill>
                <a:schemeClr val="accent3">
                  <a:lumMod val="60000"/>
                  <a:lumOff val="40000"/>
                </a:schemeClr>
              </a:solidFill>
              <a:round/>
            </a:ln>
            <a:effectLst/>
          </c:spPr>
          <c:marker>
            <c:symbol val="circle"/>
            <c:size val="5"/>
            <c:spPr>
              <a:solidFill>
                <a:schemeClr val="accent6">
                  <a:lumMod val="75000"/>
                </a:schemeClr>
              </a:solidFill>
              <a:ln w="9525">
                <a:solidFill>
                  <a:schemeClr val="accent6">
                    <a:lumMod val="75000"/>
                  </a:schemeClr>
                </a:solidFill>
              </a:ln>
              <a:effectLst/>
            </c:spPr>
          </c:marker>
          <c:cat>
            <c:strRef>
              <c:f>'Trend Analysis'!$A$21:$A$44</c:f>
              <c:strCache>
                <c:ptCount val="23"/>
                <c:pt idx="0">
                  <c:v>2</c:v>
                </c:pt>
                <c:pt idx="1">
                  <c:v>2.1</c:v>
                </c:pt>
                <c:pt idx="2">
                  <c:v>2.2</c:v>
                </c:pt>
                <c:pt idx="3">
                  <c:v>2.3</c:v>
                </c:pt>
                <c:pt idx="4">
                  <c:v>2.5</c:v>
                </c:pt>
                <c:pt idx="5">
                  <c:v>2.6</c:v>
                </c:pt>
                <c:pt idx="6">
                  <c:v>2.7</c:v>
                </c:pt>
                <c:pt idx="7">
                  <c:v>2.8</c:v>
                </c:pt>
                <c:pt idx="8">
                  <c:v>2.9</c:v>
                </c:pt>
                <c:pt idx="9">
                  <c:v>3</c:v>
                </c:pt>
                <c:pt idx="10">
                  <c:v>3.3</c:v>
                </c:pt>
                <c:pt idx="11">
                  <c:v>3.8</c:v>
                </c:pt>
                <c:pt idx="12">
                  <c:v>4</c:v>
                </c:pt>
                <c:pt idx="13">
                  <c:v>4.1</c:v>
                </c:pt>
                <c:pt idx="14">
                  <c:v>4.2</c:v>
                </c:pt>
                <c:pt idx="15">
                  <c:v>4.3</c:v>
                </c:pt>
                <c:pt idx="16">
                  <c:v>4.4</c:v>
                </c:pt>
                <c:pt idx="17">
                  <c:v>4.5</c:v>
                </c:pt>
                <c:pt idx="18">
                  <c:v>4.6</c:v>
                </c:pt>
                <c:pt idx="19">
                  <c:v>4.7</c:v>
                </c:pt>
                <c:pt idx="20">
                  <c:v>4.8</c:v>
                </c:pt>
                <c:pt idx="21">
                  <c:v>5</c:v>
                </c:pt>
                <c:pt idx="22">
                  <c:v>Not Provided</c:v>
                </c:pt>
              </c:strCache>
            </c:strRef>
          </c:cat>
          <c:val>
            <c:numRef>
              <c:f>'Trend Analysis'!$B$21:$B$44</c:f>
              <c:numCache>
                <c:formatCode>0</c:formatCode>
                <c:ptCount val="23"/>
                <c:pt idx="0">
                  <c:v>1</c:v>
                </c:pt>
                <c:pt idx="1">
                  <c:v>20</c:v>
                </c:pt>
                <c:pt idx="2">
                  <c:v>12</c:v>
                </c:pt>
                <c:pt idx="3">
                  <c:v>13</c:v>
                </c:pt>
                <c:pt idx="4">
                  <c:v>6</c:v>
                </c:pt>
                <c:pt idx="5">
                  <c:v>17</c:v>
                </c:pt>
                <c:pt idx="6">
                  <c:v>15</c:v>
                </c:pt>
                <c:pt idx="7">
                  <c:v>69</c:v>
                </c:pt>
                <c:pt idx="8">
                  <c:v>16</c:v>
                </c:pt>
                <c:pt idx="9">
                  <c:v>26</c:v>
                </c:pt>
                <c:pt idx="10">
                  <c:v>13</c:v>
                </c:pt>
                <c:pt idx="11">
                  <c:v>30</c:v>
                </c:pt>
                <c:pt idx="12">
                  <c:v>24</c:v>
                </c:pt>
                <c:pt idx="13">
                  <c:v>46</c:v>
                </c:pt>
                <c:pt idx="14">
                  <c:v>9</c:v>
                </c:pt>
                <c:pt idx="15">
                  <c:v>61</c:v>
                </c:pt>
                <c:pt idx="16">
                  <c:v>14</c:v>
                </c:pt>
                <c:pt idx="17">
                  <c:v>42</c:v>
                </c:pt>
                <c:pt idx="18">
                  <c:v>177</c:v>
                </c:pt>
                <c:pt idx="19">
                  <c:v>78</c:v>
                </c:pt>
                <c:pt idx="20">
                  <c:v>22</c:v>
                </c:pt>
                <c:pt idx="21">
                  <c:v>12</c:v>
                </c:pt>
                <c:pt idx="22">
                  <c:v>0</c:v>
                </c:pt>
              </c:numCache>
            </c:numRef>
          </c:val>
          <c:smooth val="0"/>
          <c:extLst>
            <c:ext xmlns:c16="http://schemas.microsoft.com/office/drawing/2014/chart" uri="{C3380CC4-5D6E-409C-BE32-E72D297353CC}">
              <c16:uniqueId val="{00000000-47F4-4B18-895F-B8B2ADB1658D}"/>
            </c:ext>
          </c:extLst>
        </c:ser>
        <c:dLbls>
          <c:showLegendKey val="0"/>
          <c:showVal val="0"/>
          <c:showCatName val="0"/>
          <c:showSerName val="0"/>
          <c:showPercent val="0"/>
          <c:showBubbleSize val="0"/>
        </c:dLbls>
        <c:marker val="1"/>
        <c:smooth val="0"/>
        <c:axId val="1119006592"/>
        <c:axId val="1118994592"/>
      </c:lineChart>
      <c:lineChart>
        <c:grouping val="standard"/>
        <c:varyColors val="0"/>
        <c:ser>
          <c:idx val="1"/>
          <c:order val="1"/>
          <c:tx>
            <c:strRef>
              <c:f>'Trend Analysis'!$C$20</c:f>
              <c:strCache>
                <c:ptCount val="1"/>
                <c:pt idx="0">
                  <c:v>Count of Review2</c:v>
                </c:pt>
              </c:strCache>
            </c:strRef>
          </c:tx>
          <c:spPr>
            <a:ln w="28575" cap="rnd">
              <a:solidFill>
                <a:srgbClr val="FFFF4F"/>
              </a:solidFill>
              <a:round/>
            </a:ln>
            <a:effectLst/>
          </c:spPr>
          <c:marker>
            <c:symbol val="none"/>
          </c:marker>
          <c:cat>
            <c:strRef>
              <c:f>'Trend Analysis'!$A$21:$A$44</c:f>
              <c:strCache>
                <c:ptCount val="23"/>
                <c:pt idx="0">
                  <c:v>2</c:v>
                </c:pt>
                <c:pt idx="1">
                  <c:v>2.1</c:v>
                </c:pt>
                <c:pt idx="2">
                  <c:v>2.2</c:v>
                </c:pt>
                <c:pt idx="3">
                  <c:v>2.3</c:v>
                </c:pt>
                <c:pt idx="4">
                  <c:v>2.5</c:v>
                </c:pt>
                <c:pt idx="5">
                  <c:v>2.6</c:v>
                </c:pt>
                <c:pt idx="6">
                  <c:v>2.7</c:v>
                </c:pt>
                <c:pt idx="7">
                  <c:v>2.8</c:v>
                </c:pt>
                <c:pt idx="8">
                  <c:v>2.9</c:v>
                </c:pt>
                <c:pt idx="9">
                  <c:v>3</c:v>
                </c:pt>
                <c:pt idx="10">
                  <c:v>3.3</c:v>
                </c:pt>
                <c:pt idx="11">
                  <c:v>3.8</c:v>
                </c:pt>
                <c:pt idx="12">
                  <c:v>4</c:v>
                </c:pt>
                <c:pt idx="13">
                  <c:v>4.1</c:v>
                </c:pt>
                <c:pt idx="14">
                  <c:v>4.2</c:v>
                </c:pt>
                <c:pt idx="15">
                  <c:v>4.3</c:v>
                </c:pt>
                <c:pt idx="16">
                  <c:v>4.4</c:v>
                </c:pt>
                <c:pt idx="17">
                  <c:v>4.5</c:v>
                </c:pt>
                <c:pt idx="18">
                  <c:v>4.6</c:v>
                </c:pt>
                <c:pt idx="19">
                  <c:v>4.7</c:v>
                </c:pt>
                <c:pt idx="20">
                  <c:v>4.8</c:v>
                </c:pt>
                <c:pt idx="21">
                  <c:v>5</c:v>
                </c:pt>
                <c:pt idx="22">
                  <c:v>Not Provided</c:v>
                </c:pt>
              </c:strCache>
            </c:strRef>
          </c:cat>
          <c:val>
            <c:numRef>
              <c:f>'Trend Analysis'!$C$21:$C$44</c:f>
              <c:numCache>
                <c:formatCode>General</c:formatCode>
                <c:ptCount val="23"/>
                <c:pt idx="0">
                  <c:v>1</c:v>
                </c:pt>
                <c:pt idx="1">
                  <c:v>2</c:v>
                </c:pt>
                <c:pt idx="2">
                  <c:v>2</c:v>
                </c:pt>
                <c:pt idx="3">
                  <c:v>2</c:v>
                </c:pt>
                <c:pt idx="4">
                  <c:v>1</c:v>
                </c:pt>
                <c:pt idx="5">
                  <c:v>1</c:v>
                </c:pt>
                <c:pt idx="6">
                  <c:v>1</c:v>
                </c:pt>
                <c:pt idx="7">
                  <c:v>1</c:v>
                </c:pt>
                <c:pt idx="8">
                  <c:v>1</c:v>
                </c:pt>
                <c:pt idx="9">
                  <c:v>5</c:v>
                </c:pt>
                <c:pt idx="10">
                  <c:v>1</c:v>
                </c:pt>
                <c:pt idx="11">
                  <c:v>3</c:v>
                </c:pt>
                <c:pt idx="12">
                  <c:v>4</c:v>
                </c:pt>
                <c:pt idx="13">
                  <c:v>3</c:v>
                </c:pt>
                <c:pt idx="14">
                  <c:v>1</c:v>
                </c:pt>
                <c:pt idx="15">
                  <c:v>4</c:v>
                </c:pt>
                <c:pt idx="16">
                  <c:v>1</c:v>
                </c:pt>
                <c:pt idx="17">
                  <c:v>4</c:v>
                </c:pt>
                <c:pt idx="18">
                  <c:v>5</c:v>
                </c:pt>
                <c:pt idx="19">
                  <c:v>4</c:v>
                </c:pt>
                <c:pt idx="20">
                  <c:v>3</c:v>
                </c:pt>
                <c:pt idx="21">
                  <c:v>7</c:v>
                </c:pt>
                <c:pt idx="22">
                  <c:v>52</c:v>
                </c:pt>
              </c:numCache>
            </c:numRef>
          </c:val>
          <c:smooth val="0"/>
          <c:extLst>
            <c:ext xmlns:c16="http://schemas.microsoft.com/office/drawing/2014/chart" uri="{C3380CC4-5D6E-409C-BE32-E72D297353CC}">
              <c16:uniqueId val="{00000001-47F4-4B18-895F-B8B2ADB1658D}"/>
            </c:ext>
          </c:extLst>
        </c:ser>
        <c:dLbls>
          <c:showLegendKey val="0"/>
          <c:showVal val="0"/>
          <c:showCatName val="0"/>
          <c:showSerName val="0"/>
          <c:showPercent val="0"/>
          <c:showBubbleSize val="0"/>
        </c:dLbls>
        <c:marker val="1"/>
        <c:smooth val="0"/>
        <c:axId val="1119006112"/>
        <c:axId val="1118995072"/>
      </c:lineChart>
      <c:catAx>
        <c:axId val="1119006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460000" spcFirstLastPara="1" vertOverflow="ellipsis" wrap="square" anchor="ctr" anchorCtr="1"/>
          <a:lstStyle/>
          <a:p>
            <a:pPr>
              <a:defRPr sz="9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1118994592"/>
        <c:crosses val="autoZero"/>
        <c:auto val="1"/>
        <c:lblAlgn val="ctr"/>
        <c:lblOffset val="100"/>
        <c:noMultiLvlLbl val="0"/>
      </c:catAx>
      <c:valAx>
        <c:axId val="111899459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1119006592"/>
        <c:crosses val="autoZero"/>
        <c:crossBetween val="between"/>
      </c:valAx>
      <c:valAx>
        <c:axId val="1118995072"/>
        <c:scaling>
          <c:orientation val="minMax"/>
          <c:max val="55"/>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1119006112"/>
        <c:crosses val="max"/>
        <c:crossBetween val="between"/>
      </c:valAx>
      <c:catAx>
        <c:axId val="1119006112"/>
        <c:scaling>
          <c:orientation val="minMax"/>
        </c:scaling>
        <c:delete val="1"/>
        <c:axPos val="b"/>
        <c:numFmt formatCode="General" sourceLinked="1"/>
        <c:majorTickMark val="out"/>
        <c:minorTickMark val="none"/>
        <c:tickLblPos val="nextTo"/>
        <c:crossAx val="1118995072"/>
        <c:crosses val="autoZero"/>
        <c:auto val="1"/>
        <c:lblAlgn val="ctr"/>
        <c:lblOffset val="100"/>
        <c:noMultiLvlLbl val="0"/>
      </c:catAx>
      <c:spPr>
        <a:noFill/>
        <a:ln>
          <a:noFill/>
        </a:ln>
        <a:effectLst/>
      </c:spPr>
    </c:plotArea>
    <c:legend>
      <c:legendPos val="r"/>
      <c:layout>
        <c:manualLayout>
          <c:xMode val="edge"/>
          <c:yMode val="edge"/>
          <c:x val="0.13977097575432124"/>
          <c:y val="0.86857384856872555"/>
          <c:w val="0.8053206474190725"/>
          <c:h val="0.118567632242956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6">
          <a:lumMod val="75000"/>
        </a:schemeClr>
      </a:solidFill>
      <a:round/>
    </a:ln>
    <a:effectLst/>
  </c:spPr>
  <c:txPr>
    <a:bodyPr/>
    <a:lstStyle/>
    <a:p>
      <a:pPr>
        <a:defRPr>
          <a:latin typeface="Candara" panose="020E0502030303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 data.xlsx]Product Categories!PivotTable59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ndara" panose="020E0502030303020204" pitchFamily="34" charset="0"/>
                <a:ea typeface="+mn-ea"/>
                <a:cs typeface="+mn-cs"/>
              </a:defRPr>
            </a:pPr>
            <a:r>
              <a:rPr lang="en-US" sz="1200" b="1"/>
              <a:t>Price bands effect on  reviews</a:t>
            </a:r>
          </a:p>
        </c:rich>
      </c:tx>
      <c:layout>
        <c:manualLayout>
          <c:xMode val="edge"/>
          <c:yMode val="edge"/>
          <c:x val="0.21276274709853174"/>
          <c:y val="9.678497374530482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ndara" panose="020E0502030303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4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FFFF4F"/>
            </a:solidFill>
            <a:round/>
          </a:ln>
          <a:effectLst/>
        </c:spPr>
        <c:marker>
          <c:symbol val="none"/>
        </c:marker>
        <c:dLbl>
          <c:idx val="0"/>
          <c:spPr>
            <a:solidFill>
              <a:srgbClr val="FFFF00"/>
            </a:solid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763216722158233E-2"/>
          <c:y val="0.15832245568234452"/>
          <c:w val="0.87447356655568353"/>
          <c:h val="0.4638937779836344"/>
        </c:manualLayout>
      </c:layout>
      <c:barChart>
        <c:barDir val="col"/>
        <c:grouping val="clustered"/>
        <c:varyColors val="0"/>
        <c:ser>
          <c:idx val="0"/>
          <c:order val="0"/>
          <c:tx>
            <c:strRef>
              <c:f>'Product Categories'!$B$16</c:f>
              <c:strCache>
                <c:ptCount val="1"/>
                <c:pt idx="0">
                  <c:v>Count of Discounted price categories</c:v>
                </c:pt>
              </c:strCache>
            </c:strRef>
          </c:tx>
          <c:spPr>
            <a:solidFill>
              <a:schemeClr val="accent6">
                <a:lumMod val="75000"/>
              </a:schemeClr>
            </a:solidFill>
            <a:ln>
              <a:noFill/>
            </a:ln>
            <a:effectLst/>
          </c:spPr>
          <c:invertIfNegative val="0"/>
          <c:cat>
            <c:strRef>
              <c:f>'Product Categories'!$A$17:$A$20</c:f>
              <c:strCache>
                <c:ptCount val="3"/>
                <c:pt idx="0">
                  <c:v>Low discounted price</c:v>
                </c:pt>
                <c:pt idx="1">
                  <c:v>Medium discounted price</c:v>
                </c:pt>
                <c:pt idx="2">
                  <c:v>High discounted price</c:v>
                </c:pt>
              </c:strCache>
            </c:strRef>
          </c:cat>
          <c:val>
            <c:numRef>
              <c:f>'Product Categories'!$B$17:$B$20</c:f>
              <c:numCache>
                <c:formatCode>General</c:formatCode>
                <c:ptCount val="3"/>
                <c:pt idx="0">
                  <c:v>28</c:v>
                </c:pt>
                <c:pt idx="1">
                  <c:v>53</c:v>
                </c:pt>
                <c:pt idx="2">
                  <c:v>28</c:v>
                </c:pt>
              </c:numCache>
            </c:numRef>
          </c:val>
          <c:extLst>
            <c:ext xmlns:c16="http://schemas.microsoft.com/office/drawing/2014/chart" uri="{C3380CC4-5D6E-409C-BE32-E72D297353CC}">
              <c16:uniqueId val="{00000000-CEA8-4A80-B025-C80137C01B80}"/>
            </c:ext>
          </c:extLst>
        </c:ser>
        <c:dLbls>
          <c:showLegendKey val="0"/>
          <c:showVal val="0"/>
          <c:showCatName val="0"/>
          <c:showSerName val="0"/>
          <c:showPercent val="0"/>
          <c:showBubbleSize val="0"/>
        </c:dLbls>
        <c:gapWidth val="60"/>
        <c:axId val="969120623"/>
        <c:axId val="969119183"/>
      </c:barChart>
      <c:lineChart>
        <c:grouping val="standard"/>
        <c:varyColors val="0"/>
        <c:ser>
          <c:idx val="1"/>
          <c:order val="1"/>
          <c:tx>
            <c:strRef>
              <c:f>'Product Categories'!$C$16</c:f>
              <c:strCache>
                <c:ptCount val="1"/>
                <c:pt idx="0">
                  <c:v>Sum of Review</c:v>
                </c:pt>
              </c:strCache>
            </c:strRef>
          </c:tx>
          <c:spPr>
            <a:ln w="28575" cap="rnd">
              <a:solidFill>
                <a:srgbClr val="FFFF4F"/>
              </a:solidFill>
              <a:round/>
            </a:ln>
            <a:effectLst/>
          </c:spPr>
          <c:marker>
            <c:symbol val="none"/>
          </c:marker>
          <c:dLbls>
            <c:spPr>
              <a:solidFill>
                <a:srgbClr val="FFFF00"/>
              </a:solid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Candara" panose="020E0502030303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Categories'!$A$17:$A$20</c:f>
              <c:strCache>
                <c:ptCount val="3"/>
                <c:pt idx="0">
                  <c:v>Low discounted price</c:v>
                </c:pt>
                <c:pt idx="1">
                  <c:v>Medium discounted price</c:v>
                </c:pt>
                <c:pt idx="2">
                  <c:v>High discounted price</c:v>
                </c:pt>
              </c:strCache>
            </c:strRef>
          </c:cat>
          <c:val>
            <c:numRef>
              <c:f>'Product Categories'!$C$17:$C$20</c:f>
              <c:numCache>
                <c:formatCode>0</c:formatCode>
                <c:ptCount val="3"/>
                <c:pt idx="0">
                  <c:v>238</c:v>
                </c:pt>
                <c:pt idx="1">
                  <c:v>237</c:v>
                </c:pt>
                <c:pt idx="2">
                  <c:v>248</c:v>
                </c:pt>
              </c:numCache>
            </c:numRef>
          </c:val>
          <c:smooth val="0"/>
          <c:extLst>
            <c:ext xmlns:c16="http://schemas.microsoft.com/office/drawing/2014/chart" uri="{C3380CC4-5D6E-409C-BE32-E72D297353CC}">
              <c16:uniqueId val="{00000002-CEA8-4A80-B025-C80137C01B80}"/>
            </c:ext>
          </c:extLst>
        </c:ser>
        <c:dLbls>
          <c:showLegendKey val="0"/>
          <c:showVal val="0"/>
          <c:showCatName val="0"/>
          <c:showSerName val="0"/>
          <c:showPercent val="0"/>
          <c:showBubbleSize val="0"/>
        </c:dLbls>
        <c:marker val="1"/>
        <c:smooth val="0"/>
        <c:axId val="426051712"/>
        <c:axId val="545279647"/>
      </c:lineChart>
      <c:catAx>
        <c:axId val="969120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820000" spcFirstLastPara="1" vertOverflow="ellipsis" vert="horz" wrap="square" anchor="t" anchorCtr="1"/>
          <a:lstStyle/>
          <a:p>
            <a:pPr>
              <a:defRPr sz="9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969119183"/>
        <c:crosses val="autoZero"/>
        <c:auto val="1"/>
        <c:lblAlgn val="ctr"/>
        <c:lblOffset val="100"/>
        <c:noMultiLvlLbl val="0"/>
      </c:catAx>
      <c:valAx>
        <c:axId val="9691191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969120623"/>
        <c:crosses val="autoZero"/>
        <c:crossBetween val="between"/>
      </c:valAx>
      <c:valAx>
        <c:axId val="545279647"/>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ndara" panose="020E0502030303020204" pitchFamily="34" charset="0"/>
                <a:ea typeface="+mn-ea"/>
                <a:cs typeface="+mn-cs"/>
              </a:defRPr>
            </a:pPr>
            <a:endParaRPr lang="en-US"/>
          </a:p>
        </c:txPr>
        <c:crossAx val="426051712"/>
        <c:crosses val="max"/>
        <c:crossBetween val="between"/>
      </c:valAx>
      <c:catAx>
        <c:axId val="426051712"/>
        <c:scaling>
          <c:orientation val="minMax"/>
        </c:scaling>
        <c:delete val="1"/>
        <c:axPos val="b"/>
        <c:numFmt formatCode="General" sourceLinked="1"/>
        <c:majorTickMark val="out"/>
        <c:minorTickMark val="none"/>
        <c:tickLblPos val="nextTo"/>
        <c:crossAx val="545279647"/>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6">
          <a:lumMod val="75000"/>
        </a:schemeClr>
      </a:solidFill>
      <a:round/>
    </a:ln>
    <a:effectLst/>
  </c:spPr>
  <c:txPr>
    <a:bodyPr/>
    <a:lstStyle/>
    <a:p>
      <a:pPr>
        <a:defRPr>
          <a:latin typeface="Candara" panose="020E0502030303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361949</xdr:colOff>
      <xdr:row>0</xdr:row>
      <xdr:rowOff>180974</xdr:rowOff>
    </xdr:from>
    <xdr:to>
      <xdr:col>9</xdr:col>
      <xdr:colOff>542925</xdr:colOff>
      <xdr:row>10</xdr:row>
      <xdr:rowOff>152400</xdr:rowOff>
    </xdr:to>
    <xdr:graphicFrame macro="">
      <xdr:nvGraphicFramePr>
        <xdr:cNvPr id="2" name="Chart 1">
          <a:extLst>
            <a:ext uri="{FF2B5EF4-FFF2-40B4-BE49-F238E27FC236}">
              <a16:creationId xmlns:a16="http://schemas.microsoft.com/office/drawing/2014/main" id="{459F0A12-EE6C-392E-6FD2-9B0C1BFE69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323850</xdr:colOff>
      <xdr:row>17</xdr:row>
      <xdr:rowOff>85726</xdr:rowOff>
    </xdr:from>
    <xdr:to>
      <xdr:col>9</xdr:col>
      <xdr:colOff>247650</xdr:colOff>
      <xdr:row>24</xdr:row>
      <xdr:rowOff>0</xdr:rowOff>
    </xdr:to>
    <mc:AlternateContent xmlns:mc="http://schemas.openxmlformats.org/markup-compatibility/2006" xmlns:a14="http://schemas.microsoft.com/office/drawing/2010/main">
      <mc:Choice Requires="a14">
        <xdr:graphicFrame macro="">
          <xdr:nvGraphicFramePr>
            <xdr:cNvPr id="4" name="Dicount category">
              <a:extLst>
                <a:ext uri="{FF2B5EF4-FFF2-40B4-BE49-F238E27FC236}">
                  <a16:creationId xmlns:a16="http://schemas.microsoft.com/office/drawing/2014/main" id="{A2179FDC-056D-3BF6-39F2-2F96A89CA659}"/>
                </a:ext>
              </a:extLst>
            </xdr:cNvPr>
            <xdr:cNvGraphicFramePr/>
          </xdr:nvGraphicFramePr>
          <xdr:xfrm>
            <a:off x="0" y="0"/>
            <a:ext cx="0" cy="0"/>
          </xdr:xfrm>
          <a:graphic>
            <a:graphicData uri="http://schemas.microsoft.com/office/drawing/2010/slicer">
              <sle:slicer xmlns:sle="http://schemas.microsoft.com/office/drawing/2010/slicer" name="Dicount category"/>
            </a:graphicData>
          </a:graphic>
        </xdr:graphicFrame>
      </mc:Choice>
      <mc:Fallback xmlns="">
        <xdr:sp macro="" textlink="">
          <xdr:nvSpPr>
            <xdr:cNvPr id="0" name=""/>
            <xdr:cNvSpPr>
              <a:spLocks noTextEdit="1"/>
            </xdr:cNvSpPr>
          </xdr:nvSpPr>
          <xdr:spPr>
            <a:xfrm>
              <a:off x="5724525" y="3324226"/>
              <a:ext cx="1752600" cy="12477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47624</xdr:colOff>
      <xdr:row>16</xdr:row>
      <xdr:rowOff>76200</xdr:rowOff>
    </xdr:from>
    <xdr:to>
      <xdr:col>12</xdr:col>
      <xdr:colOff>457199</xdr:colOff>
      <xdr:row>24</xdr:row>
      <xdr:rowOff>85725</xdr:rowOff>
    </xdr:to>
    <mc:AlternateContent xmlns:mc="http://schemas.openxmlformats.org/markup-compatibility/2006" xmlns:a14="http://schemas.microsoft.com/office/drawing/2010/main">
      <mc:Choice Requires="a14">
        <xdr:graphicFrame macro="">
          <xdr:nvGraphicFramePr>
            <xdr:cNvPr id="5" name="Rating category">
              <a:extLst>
                <a:ext uri="{FF2B5EF4-FFF2-40B4-BE49-F238E27FC236}">
                  <a16:creationId xmlns:a16="http://schemas.microsoft.com/office/drawing/2014/main" id="{D37AC5B8-506B-5768-9BAC-81DD68151BD0}"/>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mlns="">
        <xdr:sp macro="" textlink="">
          <xdr:nvSpPr>
            <xdr:cNvPr id="0" name=""/>
            <xdr:cNvSpPr>
              <a:spLocks noTextEdit="1"/>
            </xdr:cNvSpPr>
          </xdr:nvSpPr>
          <xdr:spPr>
            <a:xfrm>
              <a:off x="7886699" y="3124200"/>
              <a:ext cx="1628775" cy="1533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504820</xdr:colOff>
      <xdr:row>4</xdr:row>
      <xdr:rowOff>261936</xdr:rowOff>
    </xdr:from>
    <xdr:to>
      <xdr:col>8</xdr:col>
      <xdr:colOff>297656</xdr:colOff>
      <xdr:row>15</xdr:row>
      <xdr:rowOff>178593</xdr:rowOff>
    </xdr:to>
    <xdr:graphicFrame macro="">
      <xdr:nvGraphicFramePr>
        <xdr:cNvPr id="2" name="Chart 1">
          <a:extLst>
            <a:ext uri="{FF2B5EF4-FFF2-40B4-BE49-F238E27FC236}">
              <a16:creationId xmlns:a16="http://schemas.microsoft.com/office/drawing/2014/main" id="{2E2EDCCF-19BC-DC0E-94B2-85C7A99911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366710</xdr:colOff>
      <xdr:row>4</xdr:row>
      <xdr:rowOff>261937</xdr:rowOff>
    </xdr:from>
    <xdr:to>
      <xdr:col>14</xdr:col>
      <xdr:colOff>523879</xdr:colOff>
      <xdr:row>15</xdr:row>
      <xdr:rowOff>178594</xdr:rowOff>
    </xdr:to>
    <xdr:graphicFrame macro="">
      <xdr:nvGraphicFramePr>
        <xdr:cNvPr id="3" name="Chart 7">
          <a:extLst>
            <a:ext uri="{FF2B5EF4-FFF2-40B4-BE49-F238E27FC236}">
              <a16:creationId xmlns:a16="http://schemas.microsoft.com/office/drawing/2014/main" id="{D75E61F9-37F3-9484-EA9B-5B8BB1000A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3</xdr:row>
      <xdr:rowOff>128590</xdr:rowOff>
    </xdr:from>
    <xdr:to>
      <xdr:col>2</xdr:col>
      <xdr:colOff>452437</xdr:colOff>
      <xdr:row>8</xdr:row>
      <xdr:rowOff>30958</xdr:rowOff>
    </xdr:to>
    <mc:AlternateContent xmlns:mc="http://schemas.openxmlformats.org/markup-compatibility/2006">
      <mc:Choice xmlns:a14="http://schemas.microsoft.com/office/drawing/2010/main" Requires="a14">
        <xdr:graphicFrame macro="">
          <xdr:nvGraphicFramePr>
            <xdr:cNvPr id="4" name="Dicount category 1">
              <a:extLst>
                <a:ext uri="{FF2B5EF4-FFF2-40B4-BE49-F238E27FC236}">
                  <a16:creationId xmlns:a16="http://schemas.microsoft.com/office/drawing/2014/main" id="{C70ECB6C-FAC6-4D55-B778-9B5CE0502802}"/>
                </a:ext>
              </a:extLst>
            </xdr:cNvPr>
            <xdr:cNvGraphicFramePr/>
          </xdr:nvGraphicFramePr>
          <xdr:xfrm>
            <a:off x="0" y="0"/>
            <a:ext cx="0" cy="0"/>
          </xdr:xfrm>
          <a:graphic>
            <a:graphicData uri="http://schemas.microsoft.com/office/drawing/2010/slicer">
              <sle:slicer xmlns:sle="http://schemas.microsoft.com/office/drawing/2010/slicer" name="Dicount category 1"/>
            </a:graphicData>
          </a:graphic>
        </xdr:graphicFrame>
      </mc:Choice>
      <mc:Fallback>
        <xdr:sp macro="" textlink="">
          <xdr:nvSpPr>
            <xdr:cNvPr id="0" name=""/>
            <xdr:cNvSpPr>
              <a:spLocks noTextEdit="1"/>
            </xdr:cNvSpPr>
          </xdr:nvSpPr>
          <xdr:spPr>
            <a:xfrm>
              <a:off x="0" y="938215"/>
              <a:ext cx="1666875" cy="12477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7143</xdr:colOff>
      <xdr:row>8</xdr:row>
      <xdr:rowOff>154783</xdr:rowOff>
    </xdr:from>
    <xdr:to>
      <xdr:col>2</xdr:col>
      <xdr:colOff>464343</xdr:colOff>
      <xdr:row>14</xdr:row>
      <xdr:rowOff>116683</xdr:rowOff>
    </xdr:to>
    <mc:AlternateContent xmlns:mc="http://schemas.openxmlformats.org/markup-compatibility/2006">
      <mc:Choice xmlns:a14="http://schemas.microsoft.com/office/drawing/2010/main" Requires="a14">
        <xdr:graphicFrame macro="">
          <xdr:nvGraphicFramePr>
            <xdr:cNvPr id="5" name="Rating category 1">
              <a:extLst>
                <a:ext uri="{FF2B5EF4-FFF2-40B4-BE49-F238E27FC236}">
                  <a16:creationId xmlns:a16="http://schemas.microsoft.com/office/drawing/2014/main" id="{833A8188-B5D1-4F5D-BB97-D4506F86239F}"/>
                </a:ext>
              </a:extLst>
            </xdr:cNvPr>
            <xdr:cNvGraphicFramePr/>
          </xdr:nvGraphicFramePr>
          <xdr:xfrm>
            <a:off x="0" y="0"/>
            <a:ext cx="0" cy="0"/>
          </xdr:xfrm>
          <a:graphic>
            <a:graphicData uri="http://schemas.microsoft.com/office/drawing/2010/slicer">
              <sle:slicer xmlns:sle="http://schemas.microsoft.com/office/drawing/2010/slicer" name="Rating category 1"/>
            </a:graphicData>
          </a:graphic>
        </xdr:graphicFrame>
      </mc:Choice>
      <mc:Fallback>
        <xdr:sp macro="" textlink="">
          <xdr:nvSpPr>
            <xdr:cNvPr id="0" name=""/>
            <xdr:cNvSpPr>
              <a:spLocks noTextEdit="1"/>
            </xdr:cNvSpPr>
          </xdr:nvSpPr>
          <xdr:spPr>
            <a:xfrm>
              <a:off x="7143" y="2309814"/>
              <a:ext cx="1671638" cy="1533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571501</xdr:colOff>
      <xdr:row>4</xdr:row>
      <xdr:rowOff>261937</xdr:rowOff>
    </xdr:from>
    <xdr:to>
      <xdr:col>19</xdr:col>
      <xdr:colOff>571502</xdr:colOff>
      <xdr:row>15</xdr:row>
      <xdr:rowOff>178593</xdr:rowOff>
    </xdr:to>
    <xdr:graphicFrame macro="">
      <xdr:nvGraphicFramePr>
        <xdr:cNvPr id="6" name="Chart 2">
          <a:extLst>
            <a:ext uri="{FF2B5EF4-FFF2-40B4-BE49-F238E27FC236}">
              <a16:creationId xmlns:a16="http://schemas.microsoft.com/office/drawing/2014/main" id="{A3CF1262-18E4-EC9C-D767-CFE915D376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053.935128472222" createdVersion="8" refreshedVersion="8" minRefreshableVersion="3" recordCount="109" xr:uid="{4C160863-DA93-43A2-971F-1C68D260A293}">
  <cacheSource type="worksheet">
    <worksheetSource ref="A1:K110" sheet="Jumia data"/>
  </cacheSource>
  <cacheFields count="11">
    <cacheField name="Product" numFmtId="49">
      <sharedItems count="109">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Christmas Fence Garden Decorations Outdoor For Holiday Home"/>
        <s v="Angle Measuring Tool Full Metal Multi Angle Measuring Tool"/>
        <s v="12V 19500rpm Handheld Electric Angle Grinder Tool - UK - Yellow/Black"/>
        <s v="Simple Metal Dog Art Sculpture Decoration For Home Office"/>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haredItems>
    </cacheField>
    <cacheField name="Current price" numFmtId="0">
      <sharedItems containsSemiMixedTypes="0" containsString="0" containsNumber="1" containsInteger="1" minValue="38" maxValue="3750"/>
    </cacheField>
    <cacheField name="Old price" numFmtId="0">
      <sharedItems containsSemiMixedTypes="0" containsString="0" containsNumber="1" containsInteger="1" minValue="80" maxValue="6143"/>
    </cacheField>
    <cacheField name="Discount" numFmtId="9">
      <sharedItems containsSemiMixedTypes="0" containsString="0" containsNumber="1" minValue="0.01" maxValue="0.64" count="46">
        <n v="0.38"/>
        <n v="0.47"/>
        <n v="0.25"/>
        <n v="0.37"/>
        <n v="0.26"/>
        <n v="0.09"/>
        <n v="0.24"/>
        <n v="0.55000000000000004"/>
        <n v="0.45"/>
        <n v="0.2"/>
        <n v="0.34"/>
        <n v="0.42"/>
        <n v="0.33"/>
        <n v="0.51"/>
        <n v="0.46"/>
        <n v="0.49"/>
        <n v="0.19"/>
        <n v="0.53"/>
        <n v="0.35"/>
        <n v="0.23"/>
        <n v="0.54"/>
        <n v="0.18"/>
        <n v="0.32"/>
        <n v="0.3"/>
        <n v="0.52"/>
        <n v="0.48"/>
        <n v="0.27"/>
        <n v="0.4"/>
        <n v="0.41"/>
        <n v="0.5"/>
        <n v="0.02"/>
        <n v="0.61"/>
        <n v="0.22"/>
        <n v="0.03"/>
        <n v="0.13"/>
        <n v="0.39"/>
        <n v="0.28999999999999998"/>
        <n v="0.43"/>
        <n v="0.04"/>
        <n v="0.36"/>
        <n v="0.14000000000000001"/>
        <n v="0.11"/>
        <n v="0.08"/>
        <n v="0.21"/>
        <n v="0.01"/>
        <n v="0.64"/>
      </sharedItems>
      <fieldGroup base="3">
        <rangePr startNum="0.01" endNum="0.64" groupInterval="0.1"/>
        <groupItems count="9">
          <s v="&lt;0.01"/>
          <s v="0.01-0.11"/>
          <s v="0.11-0.21"/>
          <s v="0.21-0.31"/>
          <s v="0.31-0.41"/>
          <s v="0.41-0.51"/>
          <s v="0.51-0.61"/>
          <s v="0.61-0.71"/>
          <s v="&gt;0.71"/>
        </groupItems>
      </fieldGroup>
    </cacheField>
    <cacheField name="Review" numFmtId="1">
      <sharedItems containsSemiMixedTypes="0" containsString="0" containsNumber="1" containsInteger="1" minValue="0" maxValue="69"/>
    </cacheField>
    <cacheField name="Ratings" numFmtId="164">
      <sharedItems containsMixedTypes="1" containsNumber="1" minValue="2" maxValue="5" count="23">
        <n v="4.5"/>
        <n v="4.0999999999999996"/>
        <n v="4.5999999999999996"/>
        <n v="4.7"/>
        <n v="4.8"/>
        <n v="4"/>
        <n v="3.8"/>
        <n v="4.2"/>
        <n v="5"/>
        <n v="3.3"/>
        <s v="Not Provided"/>
        <n v="4.4000000000000004"/>
        <n v="4.3"/>
        <n v="2.5"/>
        <n v="3"/>
        <n v="2.1"/>
        <n v="2.8"/>
        <n v="2.7"/>
        <n v="2.9"/>
        <n v="2.2000000000000002"/>
        <n v="2.2999999999999998"/>
        <n v="2.6"/>
        <n v="2"/>
      </sharedItems>
    </cacheField>
    <cacheField name="Discount amount" numFmtId="0">
      <sharedItems containsSemiMixedTypes="0" containsString="0" containsNumber="1" containsInteger="1" minValue="24" maxValue="2585"/>
    </cacheField>
    <cacheField name="% discount" numFmtId="9">
      <sharedItems containsSemiMixedTypes="0" containsString="0" containsNumber="1" minValue="1.2638230647709321E-2" maxValue="0.64014466546112114"/>
    </cacheField>
    <cacheField name="Discounted price categories" numFmtId="9">
      <sharedItems count="3">
        <s v="Medium discounted price"/>
        <s v="High discounted price"/>
        <s v="Low discounted price"/>
      </sharedItems>
    </cacheField>
    <cacheField name="Dicount category" numFmtId="9">
      <sharedItems count="4">
        <s v="Medium Discount"/>
        <s v="High discount"/>
        <s v="Low Discount"/>
        <e v="#VALUE!" u="1"/>
      </sharedItems>
    </cacheField>
    <cacheField name="Rating category" numFmtId="0">
      <sharedItems count="4">
        <s v="Excellent"/>
        <s v="Average"/>
        <s v="Unclassified"/>
        <s v="Poor"/>
      </sharedItems>
    </cacheField>
  </cacheFields>
  <extLst>
    <ext xmlns:x14="http://schemas.microsoft.com/office/spreadsheetml/2009/9/main" uri="{725AE2AE-9491-48be-B2B4-4EB974FC3084}">
      <x14:pivotCacheDefinition pivotCacheId="11929065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
  <r>
    <x v="0"/>
    <n v="950"/>
    <n v="1525"/>
    <x v="0"/>
    <n v="2"/>
    <x v="0"/>
    <n v="575"/>
    <n v="0.37704918032786883"/>
    <x v="0"/>
    <x v="0"/>
    <x v="0"/>
  </r>
  <r>
    <x v="1"/>
    <n v="527"/>
    <n v="999"/>
    <x v="1"/>
    <n v="14"/>
    <x v="1"/>
    <n v="472"/>
    <n v="0.47247247247247248"/>
    <x v="0"/>
    <x v="1"/>
    <x v="1"/>
  </r>
  <r>
    <x v="2"/>
    <n v="2199"/>
    <n v="2923"/>
    <x v="2"/>
    <n v="24"/>
    <x v="2"/>
    <n v="724"/>
    <n v="0.24769072870338693"/>
    <x v="1"/>
    <x v="0"/>
    <x v="0"/>
  </r>
  <r>
    <x v="3"/>
    <n v="1580"/>
    <n v="2499"/>
    <x v="3"/>
    <n v="7"/>
    <x v="3"/>
    <n v="919"/>
    <n v="0.36774709883953582"/>
    <x v="0"/>
    <x v="0"/>
    <x v="0"/>
  </r>
  <r>
    <x v="4"/>
    <n v="1740"/>
    <n v="2356"/>
    <x v="4"/>
    <n v="5"/>
    <x v="4"/>
    <n v="616"/>
    <n v="0.26146010186757218"/>
    <x v="1"/>
    <x v="0"/>
    <x v="0"/>
  </r>
  <r>
    <x v="5"/>
    <n v="2999"/>
    <n v="3290"/>
    <x v="5"/>
    <n v="15"/>
    <x v="5"/>
    <n v="291"/>
    <n v="8.8449848024316116E-2"/>
    <x v="1"/>
    <x v="2"/>
    <x v="1"/>
  </r>
  <r>
    <x v="6"/>
    <n v="2319"/>
    <n v="3032"/>
    <x v="6"/>
    <n v="55"/>
    <x v="2"/>
    <n v="713"/>
    <n v="0.23515831134564644"/>
    <x v="1"/>
    <x v="0"/>
    <x v="0"/>
  </r>
  <r>
    <x v="7"/>
    <n v="988"/>
    <n v="1580"/>
    <x v="3"/>
    <n v="2"/>
    <x v="5"/>
    <n v="592"/>
    <n v="0.37468354430379747"/>
    <x v="0"/>
    <x v="0"/>
    <x v="1"/>
  </r>
  <r>
    <x v="8"/>
    <n v="1274"/>
    <n v="2800"/>
    <x v="7"/>
    <n v="5"/>
    <x v="4"/>
    <n v="1526"/>
    <n v="0.54500000000000004"/>
    <x v="0"/>
    <x v="1"/>
    <x v="0"/>
  </r>
  <r>
    <x v="9"/>
    <n v="1600"/>
    <n v="2929"/>
    <x v="8"/>
    <n v="5"/>
    <x v="6"/>
    <n v="1329"/>
    <n v="0.45373847729600547"/>
    <x v="0"/>
    <x v="1"/>
    <x v="1"/>
  </r>
  <r>
    <x v="10"/>
    <n v="799"/>
    <n v="999"/>
    <x v="9"/>
    <n v="12"/>
    <x v="1"/>
    <n v="200"/>
    <n v="0.20020020020020021"/>
    <x v="0"/>
    <x v="0"/>
    <x v="1"/>
  </r>
  <r>
    <x v="11"/>
    <n v="990"/>
    <n v="1500"/>
    <x v="10"/>
    <n v="39"/>
    <x v="3"/>
    <n v="510"/>
    <n v="0.34"/>
    <x v="0"/>
    <x v="0"/>
    <x v="0"/>
  </r>
  <r>
    <x v="12"/>
    <n v="552"/>
    <n v="1035"/>
    <x v="1"/>
    <n v="12"/>
    <x v="4"/>
    <n v="483"/>
    <n v="0.46666666666666667"/>
    <x v="0"/>
    <x v="1"/>
    <x v="0"/>
  </r>
  <r>
    <x v="13"/>
    <n v="501"/>
    <n v="860"/>
    <x v="11"/>
    <n v="6"/>
    <x v="0"/>
    <n v="359"/>
    <n v="0.41744186046511628"/>
    <x v="2"/>
    <x v="1"/>
    <x v="0"/>
  </r>
  <r>
    <x v="14"/>
    <n v="1680"/>
    <n v="2499"/>
    <x v="12"/>
    <n v="9"/>
    <x v="7"/>
    <n v="819"/>
    <n v="0.32773109243697479"/>
    <x v="1"/>
    <x v="0"/>
    <x v="1"/>
  </r>
  <r>
    <x v="15"/>
    <n v="332"/>
    <n v="684"/>
    <x v="13"/>
    <n v="2"/>
    <x v="8"/>
    <n v="352"/>
    <n v="0.51461988304093564"/>
    <x v="2"/>
    <x v="1"/>
    <x v="0"/>
  </r>
  <r>
    <x v="16"/>
    <n v="195"/>
    <n v="360"/>
    <x v="14"/>
    <n v="2"/>
    <x v="8"/>
    <n v="165"/>
    <n v="0.45833333333333331"/>
    <x v="2"/>
    <x v="1"/>
    <x v="0"/>
  </r>
  <r>
    <x v="17"/>
    <n v="2025"/>
    <n v="3971"/>
    <x v="15"/>
    <n v="3"/>
    <x v="8"/>
    <n v="1946"/>
    <n v="0.49005288340468395"/>
    <x v="1"/>
    <x v="1"/>
    <x v="0"/>
  </r>
  <r>
    <x v="18"/>
    <n v="2999"/>
    <n v="3699"/>
    <x v="16"/>
    <n v="5"/>
    <x v="2"/>
    <n v="700"/>
    <n v="0.18924033522573669"/>
    <x v="1"/>
    <x v="2"/>
    <x v="0"/>
  </r>
  <r>
    <x v="19"/>
    <n v="998"/>
    <n v="1966"/>
    <x v="15"/>
    <n v="44"/>
    <x v="2"/>
    <n v="968"/>
    <n v="0.49237029501525942"/>
    <x v="0"/>
    <x v="1"/>
    <x v="0"/>
  </r>
  <r>
    <x v="20"/>
    <n v="38"/>
    <n v="80"/>
    <x v="17"/>
    <n v="13"/>
    <x v="9"/>
    <n v="42"/>
    <n v="0.52500000000000002"/>
    <x v="2"/>
    <x v="1"/>
    <x v="1"/>
  </r>
  <r>
    <x v="21"/>
    <n v="1860"/>
    <n v="3220"/>
    <x v="11"/>
    <n v="0"/>
    <x v="10"/>
    <n v="1360"/>
    <n v="0.42236024844720499"/>
    <x v="1"/>
    <x v="1"/>
    <x v="2"/>
  </r>
  <r>
    <x v="22"/>
    <n v="880"/>
    <n v="1350"/>
    <x v="18"/>
    <n v="6"/>
    <x v="5"/>
    <n v="470"/>
    <n v="0.34814814814814815"/>
    <x v="0"/>
    <x v="0"/>
    <x v="1"/>
  </r>
  <r>
    <x v="23"/>
    <n v="1650"/>
    <n v="2150"/>
    <x v="19"/>
    <n v="14"/>
    <x v="11"/>
    <n v="500"/>
    <n v="0.23255813953488372"/>
    <x v="0"/>
    <x v="0"/>
    <x v="1"/>
  </r>
  <r>
    <x v="24"/>
    <n v="2048"/>
    <n v="4500"/>
    <x v="20"/>
    <n v="7"/>
    <x v="12"/>
    <n v="2452"/>
    <n v="0.54488888888888887"/>
    <x v="1"/>
    <x v="1"/>
    <x v="1"/>
  </r>
  <r>
    <x v="25"/>
    <n v="420"/>
    <n v="647"/>
    <x v="18"/>
    <n v="49"/>
    <x v="2"/>
    <n v="227"/>
    <n v="0.3508500772797527"/>
    <x v="2"/>
    <x v="0"/>
    <x v="0"/>
  </r>
  <r>
    <x v="26"/>
    <n v="2880"/>
    <n v="3520"/>
    <x v="21"/>
    <n v="12"/>
    <x v="6"/>
    <n v="640"/>
    <n v="0.18181818181818182"/>
    <x v="1"/>
    <x v="2"/>
    <x v="1"/>
  </r>
  <r>
    <x v="27"/>
    <n v="1350"/>
    <n v="1990"/>
    <x v="22"/>
    <n v="13"/>
    <x v="6"/>
    <n v="640"/>
    <n v="0.32160804020100503"/>
    <x v="0"/>
    <x v="0"/>
    <x v="1"/>
  </r>
  <r>
    <x v="28"/>
    <n v="1758"/>
    <n v="2499"/>
    <x v="23"/>
    <n v="20"/>
    <x v="1"/>
    <n v="741"/>
    <n v="0.2965186074429772"/>
    <x v="1"/>
    <x v="0"/>
    <x v="1"/>
  </r>
  <r>
    <x v="29"/>
    <n v="2200"/>
    <n v="4080"/>
    <x v="14"/>
    <n v="0"/>
    <x v="10"/>
    <n v="1880"/>
    <n v="0.46078431372549017"/>
    <x v="1"/>
    <x v="1"/>
    <x v="2"/>
  </r>
  <r>
    <x v="30"/>
    <n v="185"/>
    <n v="382"/>
    <x v="24"/>
    <n v="9"/>
    <x v="12"/>
    <n v="197"/>
    <n v="0.51570680628272247"/>
    <x v="2"/>
    <x v="1"/>
    <x v="1"/>
  </r>
  <r>
    <x v="31"/>
    <n v="980"/>
    <n v="1490"/>
    <x v="10"/>
    <n v="12"/>
    <x v="3"/>
    <n v="510"/>
    <n v="0.34228187919463088"/>
    <x v="0"/>
    <x v="0"/>
    <x v="0"/>
  </r>
  <r>
    <x v="32"/>
    <n v="1820"/>
    <n v="3490"/>
    <x v="25"/>
    <n v="9"/>
    <x v="12"/>
    <n v="1670"/>
    <n v="0.47851002865329512"/>
    <x v="1"/>
    <x v="1"/>
    <x v="1"/>
  </r>
  <r>
    <x v="33"/>
    <n v="1940"/>
    <n v="2650"/>
    <x v="26"/>
    <n v="20"/>
    <x v="3"/>
    <n v="710"/>
    <n v="0.26792452830188679"/>
    <x v="1"/>
    <x v="0"/>
    <x v="0"/>
  </r>
  <r>
    <x v="34"/>
    <n v="1980"/>
    <n v="2699"/>
    <x v="26"/>
    <n v="32"/>
    <x v="0"/>
    <n v="719"/>
    <n v="0.26639496109670247"/>
    <x v="1"/>
    <x v="0"/>
    <x v="0"/>
  </r>
  <r>
    <x v="35"/>
    <n v="1620"/>
    <n v="2690"/>
    <x v="27"/>
    <n v="1"/>
    <x v="8"/>
    <n v="1070"/>
    <n v="0.39776951672862454"/>
    <x v="0"/>
    <x v="0"/>
    <x v="0"/>
  </r>
  <r>
    <x v="36"/>
    <n v="171"/>
    <n v="360"/>
    <x v="17"/>
    <n v="2"/>
    <x v="8"/>
    <n v="189"/>
    <n v="0.52500000000000002"/>
    <x v="2"/>
    <x v="1"/>
    <x v="0"/>
  </r>
  <r>
    <x v="37"/>
    <n v="389"/>
    <n v="656"/>
    <x v="28"/>
    <n v="36"/>
    <x v="12"/>
    <n v="267"/>
    <n v="0.40701219512195119"/>
    <x v="2"/>
    <x v="1"/>
    <x v="1"/>
  </r>
  <r>
    <x v="38"/>
    <n v="1980"/>
    <n v="2200"/>
    <x v="0"/>
    <n v="2"/>
    <x v="0"/>
    <n v="220"/>
    <n v="0.1"/>
    <x v="1"/>
    <x v="2"/>
    <x v="0"/>
  </r>
  <r>
    <x v="39"/>
    <n v="2750"/>
    <n v="4471"/>
    <x v="0"/>
    <n v="0"/>
    <x v="10"/>
    <n v="1721"/>
    <n v="0.38492507269067322"/>
    <x v="1"/>
    <x v="0"/>
    <x v="2"/>
  </r>
  <r>
    <x v="40"/>
    <n v="475"/>
    <n v="931"/>
    <x v="15"/>
    <n v="0"/>
    <x v="10"/>
    <n v="456"/>
    <n v="0.48979591836734693"/>
    <x v="2"/>
    <x v="1"/>
    <x v="2"/>
  </r>
  <r>
    <x v="41"/>
    <n v="238"/>
    <n v="476"/>
    <x v="29"/>
    <n v="0"/>
    <x v="10"/>
    <n v="238"/>
    <n v="0.5"/>
    <x v="2"/>
    <x v="1"/>
    <x v="2"/>
  </r>
  <r>
    <x v="42"/>
    <n v="610"/>
    <n v="1060"/>
    <x v="11"/>
    <n v="0"/>
    <x v="10"/>
    <n v="450"/>
    <n v="0.42452830188679247"/>
    <x v="0"/>
    <x v="1"/>
    <x v="2"/>
  </r>
  <r>
    <x v="43"/>
    <n v="2132"/>
    <n v="2169"/>
    <x v="30"/>
    <n v="0"/>
    <x v="10"/>
    <n v="37"/>
    <n v="1.705855232826187E-2"/>
    <x v="1"/>
    <x v="2"/>
    <x v="2"/>
  </r>
  <r>
    <x v="44"/>
    <n v="999"/>
    <n v="2000"/>
    <x v="29"/>
    <n v="0"/>
    <x v="10"/>
    <n v="1001"/>
    <n v="0.50049999999999994"/>
    <x v="0"/>
    <x v="1"/>
    <x v="2"/>
  </r>
  <r>
    <x v="45"/>
    <n v="1190"/>
    <n v="1785"/>
    <x v="12"/>
    <n v="0"/>
    <x v="10"/>
    <n v="595"/>
    <n v="0.33333333333333331"/>
    <x v="0"/>
    <x v="0"/>
    <x v="2"/>
  </r>
  <r>
    <x v="46"/>
    <n v="671"/>
    <n v="1316"/>
    <x v="15"/>
    <n v="0"/>
    <x v="10"/>
    <n v="645"/>
    <n v="0.49012158054711247"/>
    <x v="0"/>
    <x v="1"/>
    <x v="2"/>
  </r>
  <r>
    <x v="47"/>
    <n v="1200"/>
    <n v="1950"/>
    <x v="0"/>
    <n v="0"/>
    <x v="10"/>
    <n v="750"/>
    <n v="0.38461538461538464"/>
    <x v="0"/>
    <x v="0"/>
    <x v="2"/>
  </r>
  <r>
    <x v="48"/>
    <n v="199"/>
    <n v="504"/>
    <x v="31"/>
    <n v="0"/>
    <x v="10"/>
    <n v="305"/>
    <n v="0.60515873015873012"/>
    <x v="2"/>
    <x v="1"/>
    <x v="2"/>
  </r>
  <r>
    <x v="49"/>
    <n v="299"/>
    <n v="600"/>
    <x v="29"/>
    <n v="0"/>
    <x v="10"/>
    <n v="301"/>
    <n v="0.50166666666666671"/>
    <x v="2"/>
    <x v="1"/>
    <x v="2"/>
  </r>
  <r>
    <x v="50"/>
    <n v="1660"/>
    <n v="1699"/>
    <x v="30"/>
    <n v="0"/>
    <x v="10"/>
    <n v="39"/>
    <n v="2.2954679223072396E-2"/>
    <x v="0"/>
    <x v="2"/>
    <x v="2"/>
  </r>
  <r>
    <x v="51"/>
    <n v="299"/>
    <n v="384"/>
    <x v="32"/>
    <n v="0"/>
    <x v="10"/>
    <n v="85"/>
    <n v="0.22135416666666666"/>
    <x v="2"/>
    <x v="0"/>
    <x v="2"/>
  </r>
  <r>
    <x v="52"/>
    <n v="1459"/>
    <n v="1499"/>
    <x v="33"/>
    <n v="0"/>
    <x v="10"/>
    <n v="40"/>
    <n v="2.6684456304202801E-2"/>
    <x v="0"/>
    <x v="2"/>
    <x v="2"/>
  </r>
  <r>
    <x v="53"/>
    <n v="799"/>
    <n v="1343"/>
    <x v="28"/>
    <n v="0"/>
    <x v="10"/>
    <n v="544"/>
    <n v="0.4050632911392405"/>
    <x v="0"/>
    <x v="1"/>
    <x v="2"/>
  </r>
  <r>
    <x v="54"/>
    <n v="699"/>
    <n v="1343"/>
    <x v="25"/>
    <n v="0"/>
    <x v="10"/>
    <n v="644"/>
    <n v="0.47952345495160087"/>
    <x v="0"/>
    <x v="1"/>
    <x v="2"/>
  </r>
  <r>
    <x v="55"/>
    <n v="799"/>
    <n v="1567"/>
    <x v="15"/>
    <n v="0"/>
    <x v="10"/>
    <n v="768"/>
    <n v="0.49010848755583919"/>
    <x v="0"/>
    <x v="1"/>
    <x v="2"/>
  </r>
  <r>
    <x v="56"/>
    <n v="2799"/>
    <n v="3810"/>
    <x v="26"/>
    <n v="0"/>
    <x v="10"/>
    <n v="1011"/>
    <n v="0.26535433070866143"/>
    <x v="1"/>
    <x v="0"/>
    <x v="2"/>
  </r>
  <r>
    <x v="57"/>
    <n v="399"/>
    <n v="896"/>
    <x v="7"/>
    <n v="0"/>
    <x v="10"/>
    <n v="497"/>
    <n v="0.5546875"/>
    <x v="2"/>
    <x v="1"/>
    <x v="2"/>
  </r>
  <r>
    <x v="58"/>
    <n v="2170"/>
    <n v="2500"/>
    <x v="34"/>
    <n v="6"/>
    <x v="13"/>
    <n v="330"/>
    <n v="0.13200000000000001"/>
    <x v="1"/>
    <x v="2"/>
    <x v="3"/>
  </r>
  <r>
    <x v="59"/>
    <n v="458"/>
    <n v="986"/>
    <x v="20"/>
    <n v="10"/>
    <x v="14"/>
    <n v="528"/>
    <n v="0.53549695740365111"/>
    <x v="2"/>
    <x v="1"/>
    <x v="1"/>
  </r>
  <r>
    <x v="60"/>
    <n v="2115"/>
    <n v="4700"/>
    <x v="7"/>
    <n v="13"/>
    <x v="15"/>
    <n v="2585"/>
    <n v="0.55000000000000004"/>
    <x v="1"/>
    <x v="1"/>
    <x v="3"/>
  </r>
  <r>
    <x v="61"/>
    <n v="445"/>
    <n v="873"/>
    <x v="15"/>
    <n v="69"/>
    <x v="16"/>
    <n v="428"/>
    <n v="0.49026345933562426"/>
    <x v="2"/>
    <x v="1"/>
    <x v="3"/>
  </r>
  <r>
    <x v="62"/>
    <n v="325"/>
    <n v="680"/>
    <x v="24"/>
    <n v="15"/>
    <x v="17"/>
    <n v="355"/>
    <n v="0.5220588235294118"/>
    <x v="2"/>
    <x v="1"/>
    <x v="3"/>
  </r>
  <r>
    <x v="63"/>
    <n v="1220"/>
    <n v="1555"/>
    <x v="32"/>
    <n v="16"/>
    <x v="18"/>
    <n v="335"/>
    <n v="0.21543408360128619"/>
    <x v="0"/>
    <x v="0"/>
    <x v="3"/>
  </r>
  <r>
    <x v="64"/>
    <n v="990"/>
    <n v="1814"/>
    <x v="8"/>
    <n v="6"/>
    <x v="19"/>
    <n v="824"/>
    <n v="0.45424476295479604"/>
    <x v="0"/>
    <x v="1"/>
    <x v="3"/>
  </r>
  <r>
    <x v="65"/>
    <n v="1000"/>
    <n v="2000"/>
    <x v="29"/>
    <n v="7"/>
    <x v="20"/>
    <n v="1000"/>
    <n v="0.5"/>
    <x v="0"/>
    <x v="1"/>
    <x v="3"/>
  </r>
  <r>
    <x v="66"/>
    <n v="3750"/>
    <n v="6143"/>
    <x v="35"/>
    <n v="5"/>
    <x v="14"/>
    <n v="2393"/>
    <n v="0.38954908025394758"/>
    <x v="1"/>
    <x v="0"/>
    <x v="1"/>
  </r>
  <r>
    <x v="67"/>
    <n v="382"/>
    <n v="700"/>
    <x v="8"/>
    <n v="17"/>
    <x v="21"/>
    <n v="318"/>
    <n v="0.45428571428571429"/>
    <x v="2"/>
    <x v="1"/>
    <x v="3"/>
  </r>
  <r>
    <x v="68"/>
    <n v="2300"/>
    <n v="3240"/>
    <x v="36"/>
    <n v="5"/>
    <x v="14"/>
    <n v="940"/>
    <n v="0.29012345679012347"/>
    <x v="1"/>
    <x v="0"/>
    <x v="1"/>
  </r>
  <r>
    <x v="69"/>
    <n v="345"/>
    <n v="602"/>
    <x v="37"/>
    <n v="6"/>
    <x v="20"/>
    <n v="257"/>
    <n v="0.42691029900332228"/>
    <x v="2"/>
    <x v="1"/>
    <x v="3"/>
  </r>
  <r>
    <x v="70"/>
    <n v="509"/>
    <n v="899"/>
    <x v="37"/>
    <n v="5"/>
    <x v="14"/>
    <n v="390"/>
    <n v="0.43381535038932145"/>
    <x v="0"/>
    <x v="1"/>
    <x v="1"/>
  </r>
  <r>
    <x v="71"/>
    <n v="968"/>
    <n v="1814"/>
    <x v="1"/>
    <n v="6"/>
    <x v="19"/>
    <n v="846"/>
    <n v="0.46637265711135611"/>
    <x v="0"/>
    <x v="1"/>
    <x v="3"/>
  </r>
  <r>
    <x v="72"/>
    <n v="1570"/>
    <n v="2988"/>
    <x v="1"/>
    <n v="7"/>
    <x v="15"/>
    <n v="1418"/>
    <n v="0.4745649263721553"/>
    <x v="0"/>
    <x v="1"/>
    <x v="3"/>
  </r>
  <r>
    <x v="73"/>
    <n v="790"/>
    <n v="1485"/>
    <x v="1"/>
    <n v="0"/>
    <x v="10"/>
    <n v="695"/>
    <n v="0.46801346801346799"/>
    <x v="0"/>
    <x v="1"/>
    <x v="2"/>
  </r>
  <r>
    <x v="74"/>
    <n v="690"/>
    <n v="1200"/>
    <x v="37"/>
    <n v="0"/>
    <x v="10"/>
    <n v="510"/>
    <n v="0.42499999999999999"/>
    <x v="0"/>
    <x v="1"/>
    <x v="2"/>
  </r>
  <r>
    <x v="75"/>
    <n v="1732"/>
    <n v="1799"/>
    <x v="38"/>
    <n v="0"/>
    <x v="10"/>
    <n v="67"/>
    <n v="3.7242912729294052E-2"/>
    <x v="1"/>
    <x v="2"/>
    <x v="2"/>
  </r>
  <r>
    <x v="76"/>
    <n v="230"/>
    <n v="450"/>
    <x v="15"/>
    <n v="0"/>
    <x v="10"/>
    <n v="220"/>
    <n v="0.48888888888888887"/>
    <x v="2"/>
    <x v="1"/>
    <x v="2"/>
  </r>
  <r>
    <x v="77"/>
    <n v="1189"/>
    <n v="2199"/>
    <x v="14"/>
    <n v="1"/>
    <x v="14"/>
    <n v="1010"/>
    <n v="0.45929968167348795"/>
    <x v="0"/>
    <x v="1"/>
    <x v="1"/>
  </r>
  <r>
    <x v="78"/>
    <n v="979"/>
    <n v="1920"/>
    <x v="15"/>
    <n v="1"/>
    <x v="8"/>
    <n v="941"/>
    <n v="0.49010416666666667"/>
    <x v="0"/>
    <x v="1"/>
    <x v="0"/>
  </r>
  <r>
    <x v="79"/>
    <n v="1460"/>
    <n v="2290"/>
    <x v="39"/>
    <n v="0"/>
    <x v="10"/>
    <n v="830"/>
    <n v="0.36244541484716158"/>
    <x v="0"/>
    <x v="0"/>
    <x v="2"/>
  </r>
  <r>
    <x v="80"/>
    <n v="1666"/>
    <n v="1699"/>
    <x v="30"/>
    <n v="0"/>
    <x v="10"/>
    <n v="33"/>
    <n v="1.9423190111830489E-2"/>
    <x v="0"/>
    <x v="2"/>
    <x v="2"/>
  </r>
  <r>
    <x v="81"/>
    <n v="330"/>
    <n v="647"/>
    <x v="15"/>
    <n v="1"/>
    <x v="5"/>
    <n v="317"/>
    <n v="0.48995363214837712"/>
    <x v="2"/>
    <x v="1"/>
    <x v="1"/>
  </r>
  <r>
    <x v="82"/>
    <n v="1466"/>
    <n v="1699"/>
    <x v="40"/>
    <n v="0"/>
    <x v="10"/>
    <n v="233"/>
    <n v="0.13713949381989404"/>
    <x v="0"/>
    <x v="2"/>
    <x v="2"/>
  </r>
  <r>
    <x v="83"/>
    <n v="274"/>
    <n v="537"/>
    <x v="15"/>
    <n v="0"/>
    <x v="10"/>
    <n v="263"/>
    <n v="0.48975791433891991"/>
    <x v="2"/>
    <x v="1"/>
    <x v="2"/>
  </r>
  <r>
    <x v="84"/>
    <n v="799"/>
    <n v="900"/>
    <x v="41"/>
    <n v="0"/>
    <x v="10"/>
    <n v="101"/>
    <n v="0.11222222222222222"/>
    <x v="0"/>
    <x v="2"/>
    <x v="2"/>
  </r>
  <r>
    <x v="85"/>
    <n v="1468"/>
    <n v="1699"/>
    <x v="40"/>
    <n v="0"/>
    <x v="10"/>
    <n v="231"/>
    <n v="0.13596233078281342"/>
    <x v="0"/>
    <x v="2"/>
    <x v="2"/>
  </r>
  <r>
    <x v="86"/>
    <n v="630"/>
    <n v="1100"/>
    <x v="37"/>
    <n v="0"/>
    <x v="10"/>
    <n v="470"/>
    <n v="0.42727272727272725"/>
    <x v="0"/>
    <x v="1"/>
    <x v="2"/>
  </r>
  <r>
    <x v="87"/>
    <n v="850"/>
    <n v="1700"/>
    <x v="29"/>
    <n v="0"/>
    <x v="10"/>
    <n v="850"/>
    <n v="0.5"/>
    <x v="0"/>
    <x v="1"/>
    <x v="2"/>
  </r>
  <r>
    <x v="88"/>
    <n v="1300"/>
    <n v="2500"/>
    <x v="25"/>
    <n v="0"/>
    <x v="10"/>
    <n v="1200"/>
    <n v="0.48"/>
    <x v="0"/>
    <x v="1"/>
    <x v="2"/>
  </r>
  <r>
    <x v="89"/>
    <n v="105"/>
    <n v="200"/>
    <x v="25"/>
    <n v="0"/>
    <x v="10"/>
    <n v="95"/>
    <n v="0.47499999999999998"/>
    <x v="2"/>
    <x v="1"/>
    <x v="2"/>
  </r>
  <r>
    <x v="90"/>
    <n v="899"/>
    <n v="1699"/>
    <x v="1"/>
    <n v="0"/>
    <x v="10"/>
    <n v="800"/>
    <n v="0.47086521483225424"/>
    <x v="0"/>
    <x v="1"/>
    <x v="2"/>
  </r>
  <r>
    <x v="91"/>
    <n v="1200"/>
    <n v="2400"/>
    <x v="29"/>
    <n v="0"/>
    <x v="10"/>
    <n v="1200"/>
    <n v="0.5"/>
    <x v="0"/>
    <x v="1"/>
    <x v="2"/>
  </r>
  <r>
    <x v="92"/>
    <n v="1526"/>
    <n v="1660"/>
    <x v="42"/>
    <n v="0"/>
    <x v="10"/>
    <n v="134"/>
    <n v="8.0722891566265054E-2"/>
    <x v="0"/>
    <x v="2"/>
    <x v="2"/>
  </r>
  <r>
    <x v="93"/>
    <n v="1462"/>
    <n v="1499"/>
    <x v="30"/>
    <n v="0"/>
    <x v="10"/>
    <n v="37"/>
    <n v="2.4683122081387593E-2"/>
    <x v="0"/>
    <x v="2"/>
    <x v="2"/>
  </r>
  <r>
    <x v="94"/>
    <n v="248"/>
    <n v="486"/>
    <x v="15"/>
    <n v="0"/>
    <x v="10"/>
    <n v="238"/>
    <n v="0.48971193415637859"/>
    <x v="2"/>
    <x v="1"/>
    <x v="2"/>
  </r>
  <r>
    <x v="95"/>
    <n v="3546"/>
    <n v="3699"/>
    <x v="38"/>
    <n v="0"/>
    <x v="10"/>
    <n v="153"/>
    <n v="4.1362530413625302E-2"/>
    <x v="1"/>
    <x v="2"/>
    <x v="2"/>
  </r>
  <r>
    <x v="96"/>
    <n v="525"/>
    <n v="1029"/>
    <x v="15"/>
    <n v="0"/>
    <x v="10"/>
    <n v="504"/>
    <n v="0.48979591836734693"/>
    <x v="0"/>
    <x v="1"/>
    <x v="2"/>
  </r>
  <r>
    <x v="97"/>
    <n v="1080"/>
    <n v="1874"/>
    <x v="11"/>
    <n v="0"/>
    <x v="10"/>
    <n v="794"/>
    <n v="0.42369263607257202"/>
    <x v="0"/>
    <x v="1"/>
    <x v="2"/>
  </r>
  <r>
    <x v="98"/>
    <n v="3640"/>
    <n v="4588"/>
    <x v="43"/>
    <n v="1"/>
    <x v="8"/>
    <n v="948"/>
    <n v="0.20662598081952921"/>
    <x v="1"/>
    <x v="0"/>
    <x v="0"/>
  </r>
  <r>
    <x v="99"/>
    <n v="1420"/>
    <n v="2420"/>
    <x v="28"/>
    <n v="0"/>
    <x v="10"/>
    <n v="1000"/>
    <n v="0.41322314049586778"/>
    <x v="0"/>
    <x v="1"/>
    <x v="2"/>
  </r>
  <r>
    <x v="100"/>
    <n v="1875"/>
    <n v="1899"/>
    <x v="44"/>
    <n v="0"/>
    <x v="10"/>
    <n v="24"/>
    <n v="1.2638230647709321E-2"/>
    <x v="1"/>
    <x v="2"/>
    <x v="2"/>
  </r>
  <r>
    <x v="101"/>
    <n v="198"/>
    <n v="260"/>
    <x v="6"/>
    <n v="0"/>
    <x v="10"/>
    <n v="62"/>
    <n v="0.23846153846153847"/>
    <x v="2"/>
    <x v="0"/>
    <x v="2"/>
  </r>
  <r>
    <x v="102"/>
    <n v="1150"/>
    <n v="1737"/>
    <x v="10"/>
    <n v="0"/>
    <x v="10"/>
    <n v="587"/>
    <n v="0.3379389752446747"/>
    <x v="0"/>
    <x v="0"/>
    <x v="2"/>
  </r>
  <r>
    <x v="103"/>
    <n v="1190"/>
    <n v="1810"/>
    <x v="10"/>
    <n v="0"/>
    <x v="10"/>
    <n v="620"/>
    <n v="0.34254143646408841"/>
    <x v="0"/>
    <x v="0"/>
    <x v="2"/>
  </r>
  <r>
    <x v="104"/>
    <n v="1658"/>
    <n v="1699"/>
    <x v="30"/>
    <n v="0"/>
    <x v="10"/>
    <n v="41"/>
    <n v="2.4131842260153032E-2"/>
    <x v="0"/>
    <x v="2"/>
    <x v="2"/>
  </r>
  <r>
    <x v="105"/>
    <n v="1768"/>
    <n v="1799"/>
    <x v="30"/>
    <n v="0"/>
    <x v="10"/>
    <n v="31"/>
    <n v="1.7231795441912175E-2"/>
    <x v="1"/>
    <x v="2"/>
    <x v="2"/>
  </r>
  <r>
    <x v="106"/>
    <n v="199"/>
    <n v="553"/>
    <x v="45"/>
    <n v="0"/>
    <x v="10"/>
    <n v="354"/>
    <n v="0.64014466546112114"/>
    <x v="2"/>
    <x v="1"/>
    <x v="2"/>
  </r>
  <r>
    <x v="107"/>
    <n v="450"/>
    <n v="900"/>
    <x v="29"/>
    <n v="1"/>
    <x v="22"/>
    <n v="450"/>
    <n v="0.5"/>
    <x v="2"/>
    <x v="1"/>
    <x v="3"/>
  </r>
  <r>
    <x v="108"/>
    <n v="169"/>
    <n v="320"/>
    <x v="1"/>
    <n v="0"/>
    <x v="10"/>
    <n v="151"/>
    <n v="0.47187499999999999"/>
    <x v="2"/>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44ABA-2D31-4E86-863A-6FEFC88E308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11" firstHeaderRow="1" firstDataRow="1" firstDataCol="1"/>
  <pivotFields count="11">
    <pivotField showAll="0"/>
    <pivotField showAll="0"/>
    <pivotField showAll="0"/>
    <pivotField axis="axisRow" numFmtId="9" showAll="0">
      <items count="10">
        <item x="0"/>
        <item x="1"/>
        <item x="2"/>
        <item x="3"/>
        <item x="4"/>
        <item x="5"/>
        <item x="6"/>
        <item x="7"/>
        <item x="8"/>
        <item t="default"/>
      </items>
    </pivotField>
    <pivotField numFmtId="1" showAll="0"/>
    <pivotField showAll="0"/>
    <pivotField showAll="0"/>
    <pivotField showAll="0"/>
    <pivotField showAll="0"/>
    <pivotField showAll="0">
      <items count="5">
        <item x="1"/>
        <item x="2"/>
        <item x="0"/>
        <item m="1" x="3"/>
        <item t="default"/>
      </items>
    </pivotField>
    <pivotField showAll="0">
      <items count="5">
        <item x="1"/>
        <item x="0"/>
        <item x="3"/>
        <item x="2"/>
        <item t="default"/>
      </items>
    </pivotField>
  </pivotFields>
  <rowFields count="1">
    <field x="3"/>
  </rowFields>
  <rowItems count="8">
    <i>
      <x v="1"/>
    </i>
    <i>
      <x v="2"/>
    </i>
    <i>
      <x v="3"/>
    </i>
    <i>
      <x v="4"/>
    </i>
    <i>
      <x v="5"/>
    </i>
    <i>
      <x v="6"/>
    </i>
    <i>
      <x v="7"/>
    </i>
    <i t="grand">
      <x/>
    </i>
  </rowItems>
  <colItems count="1">
    <i/>
  </colItems>
  <formats count="1">
    <format dxfId="2">
      <pivotArea dataOnly="0" labelOnly="1" fieldPosition="0">
        <references count="1">
          <reference field="3" count="7">
            <x v="1"/>
            <x v="2"/>
            <x v="3"/>
            <x v="4"/>
            <x v="5"/>
            <x v="6"/>
            <x v="7"/>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8BD2ED-709D-4A38-BC7D-B034F29BB1D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C33" firstHeaderRow="0" firstDataRow="1" firstDataCol="1"/>
  <pivotFields count="11">
    <pivotField showAll="0"/>
    <pivotField showAll="0"/>
    <pivotField showAll="0"/>
    <pivotField numFmtId="9" showAll="0"/>
    <pivotField numFmtId="1" showAll="0"/>
    <pivotField showAll="0"/>
    <pivotField dataField="1" showAll="0"/>
    <pivotField numFmtId="9" showAll="0"/>
    <pivotField axis="axisRow" dataField="1"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s>
  <rowFields count="1">
    <field x="8"/>
  </rowFields>
  <rowItems count="4">
    <i>
      <x v="2"/>
    </i>
    <i>
      <x/>
    </i>
    <i>
      <x v="1"/>
    </i>
    <i t="grand">
      <x/>
    </i>
  </rowItems>
  <colFields count="1">
    <field x="-2"/>
  </colFields>
  <colItems count="2">
    <i>
      <x/>
    </i>
    <i i="1">
      <x v="1"/>
    </i>
  </colItems>
  <dataFields count="2">
    <dataField name="Count of Discounted price categories" fld="8" subtotal="count" baseField="0" baseItem="0"/>
    <dataField name="Sum of Discount amount" fld="6" baseField="8" baseItem="1"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C08C9C-3161-418F-9EBF-0D7C9C1E12BC}" name="PivotTable59" cacheId="0"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6:C20" firstHeaderRow="0" firstDataRow="1" firstDataCol="1"/>
  <pivotFields count="11">
    <pivotField showAll="0"/>
    <pivotField showAll="0"/>
    <pivotField showAll="0"/>
    <pivotField numFmtId="9" showAll="0"/>
    <pivotField dataField="1" numFmtId="1" showAll="0"/>
    <pivotField showAll="0"/>
    <pivotField showAll="0"/>
    <pivotField showAll="0"/>
    <pivotField axis="axisRow" dataField="1" showAll="0">
      <items count="4">
        <item x="2"/>
        <item x="0"/>
        <item x="1"/>
        <item t="default"/>
      </items>
    </pivotField>
    <pivotField showAll="0">
      <items count="5">
        <item x="1"/>
        <item x="2"/>
        <item x="0"/>
        <item m="1" x="3"/>
        <item t="default"/>
      </items>
    </pivotField>
    <pivotField showAll="0">
      <items count="5">
        <item x="1"/>
        <item x="0"/>
        <item x="3"/>
        <item x="2"/>
        <item t="default"/>
      </items>
    </pivotField>
  </pivotFields>
  <rowFields count="1">
    <field x="8"/>
  </rowFields>
  <rowItems count="4">
    <i>
      <x/>
    </i>
    <i>
      <x v="1"/>
    </i>
    <i>
      <x v="2"/>
    </i>
    <i t="grand">
      <x/>
    </i>
  </rowItems>
  <colFields count="1">
    <field x="-2"/>
  </colFields>
  <colItems count="2">
    <i>
      <x/>
    </i>
    <i i="1">
      <x v="1"/>
    </i>
  </colItems>
  <dataFields count="2">
    <dataField name="Count of Discounted price categories" fld="8" subtotal="count" baseField="0" baseItem="0"/>
    <dataField name="Sum of Review" fld="4" baseField="0" baseItem="0" numFmtId="1"/>
  </dataFields>
  <chartFormats count="3">
    <chartFormat chart="7" format="4" series="1">
      <pivotArea type="data" outline="0" fieldPosition="0">
        <references count="1">
          <reference field="4294967294" count="1" selected="0">
            <x v="1"/>
          </reference>
        </references>
      </pivotArea>
    </chartFormat>
    <chartFormat chart="7" format="5" series="1">
      <pivotArea type="data" outline="0" fieldPosition="0">
        <references count="1">
          <reference field="4294967294" count="1" selected="0">
            <x v="0"/>
          </reference>
        </references>
      </pivotArea>
    </chartFormat>
    <chartFormat chart="7" format="6"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5C7C34-2383-4D3A-9F02-76037C070648}" name="PivotTable5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1">
    <pivotField showAll="0"/>
    <pivotField showAll="0"/>
    <pivotField showAll="0"/>
    <pivotField numFmtId="9" showAll="0"/>
    <pivotField numFmtId="1" showAll="0"/>
    <pivotField showAll="0"/>
    <pivotField showAll="0"/>
    <pivotField showAll="0"/>
    <pivotField showAll="0"/>
    <pivotField showAll="0">
      <items count="5">
        <item x="1"/>
        <item x="2"/>
        <item x="0"/>
        <item m="1" x="3"/>
        <item t="default"/>
      </items>
    </pivotField>
    <pivotField axis="axisRow" dataField="1" showAll="0" sortType="descending">
      <items count="5">
        <item x="1"/>
        <item x="0"/>
        <item x="3"/>
        <item x="2"/>
        <item t="default"/>
      </items>
      <autoSortScope>
        <pivotArea dataOnly="0" outline="0" fieldPosition="0">
          <references count="1">
            <reference field="4294967294" count="1" selected="0">
              <x v="0"/>
            </reference>
          </references>
        </pivotArea>
      </autoSortScope>
    </pivotField>
  </pivotFields>
  <rowFields count="1">
    <field x="10"/>
  </rowFields>
  <rowItems count="5">
    <i>
      <x v="3"/>
    </i>
    <i>
      <x v="1"/>
    </i>
    <i>
      <x/>
    </i>
    <i>
      <x v="2"/>
    </i>
    <i t="grand">
      <x/>
    </i>
  </rowItems>
  <colItems count="1">
    <i/>
  </colItems>
  <dataFields count="1">
    <dataField name="Count of Rating category" fld="1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F2CD85-DF91-446B-BC48-FA19DF688D3B}"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4">
  <location ref="A20:C44" firstHeaderRow="0" firstDataRow="1" firstDataCol="1"/>
  <pivotFields count="11">
    <pivotField compact="0" outline="0" showAll="0" defaultSubtotal="0"/>
    <pivotField compact="0" outline="0" showAll="0" defaultSubtotal="0"/>
    <pivotField compact="0" outline="0" showAll="0" defaultSubtotal="0"/>
    <pivotField compact="0" numFmtId="9" outline="0" showAll="0" defaultSubtotal="0"/>
    <pivotField dataField="1" compact="0" numFmtId="1" outline="0" showAll="0" defaultSubtotal="0"/>
    <pivotField axis="axisRow" compact="0" outline="0" showAll="0" defaultSubtotal="0">
      <items count="23">
        <item x="22"/>
        <item x="15"/>
        <item x="19"/>
        <item x="20"/>
        <item x="13"/>
        <item x="21"/>
        <item x="17"/>
        <item x="16"/>
        <item x="18"/>
        <item x="14"/>
        <item x="9"/>
        <item x="6"/>
        <item x="5"/>
        <item x="1"/>
        <item x="7"/>
        <item x="12"/>
        <item x="11"/>
        <item x="0"/>
        <item x="2"/>
        <item x="3"/>
        <item x="4"/>
        <item x="8"/>
        <item x="10"/>
      </items>
    </pivotField>
    <pivotField compact="0" outline="0" showAll="0" defaultSubtotal="0"/>
    <pivotField compact="0" numFmtId="165" outline="0" showAll="0" defaultSubtotal="0"/>
    <pivotField compact="0" outline="0" subtotalTop="0" showAll="0" defaultSubtotal="0"/>
    <pivotField compact="0" outline="0" showAll="0" defaultSubtotal="0">
      <items count="4">
        <item x="1"/>
        <item x="2"/>
        <item x="0"/>
        <item m="1" x="3"/>
      </items>
    </pivotField>
    <pivotField compact="0" outline="0" showAll="0" defaultSubtotal="0">
      <items count="4">
        <item x="1"/>
        <item x="0"/>
        <item x="3"/>
        <item x="2"/>
      </items>
    </pivotField>
  </pivotFields>
  <rowFields count="1">
    <field x="5"/>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1">
    <field x="-2"/>
  </colFields>
  <colItems count="2">
    <i>
      <x/>
    </i>
    <i i="1">
      <x v="1"/>
    </i>
  </colItems>
  <dataFields count="2">
    <dataField name="Sum of Review" fld="4" baseField="0" baseItem="0" numFmtId="1"/>
    <dataField name="Count of Review2" fld="4" subtotal="count" baseField="5" baseItem="0"/>
  </dataFields>
  <formats count="1">
    <format dxfId="3">
      <pivotArea dataOnly="0" labelOnly="1" outline="0" fieldPosition="0">
        <references count="1">
          <reference field="5" count="0"/>
        </references>
      </pivotArea>
    </format>
  </formats>
  <chartFormats count="2">
    <chartFormat chart="11"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1"/>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33F27B0-942B-4C4E-A5C5-6D4E9B3931B5}" name="PivotTable7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10" firstHeaderRow="0" firstDataRow="1" firstDataCol="1"/>
  <pivotFields count="11">
    <pivotField showAll="0"/>
    <pivotField showAll="0"/>
    <pivotField showAll="0"/>
    <pivotField axis="axisRow" numFmtId="9" showAll="0">
      <items count="10">
        <item x="0"/>
        <item x="1"/>
        <item x="2"/>
        <item x="3"/>
        <item x="4"/>
        <item x="5"/>
        <item x="6"/>
        <item h="1" x="7"/>
        <item h="1" x="8"/>
        <item t="default"/>
      </items>
    </pivotField>
    <pivotField dataField="1" numFmtId="1" showAll="0"/>
    <pivotField dataField="1" showAll="0"/>
    <pivotField showAll="0"/>
    <pivotField numFmtId="165" showAll="0"/>
    <pivotField showAll="0"/>
    <pivotField showAll="0">
      <items count="5">
        <item x="1"/>
        <item x="2"/>
        <item x="0"/>
        <item m="1" x="3"/>
        <item t="default"/>
      </items>
    </pivotField>
    <pivotField showAll="0">
      <items count="5">
        <item x="1"/>
        <item x="0"/>
        <item x="3"/>
        <item x="2"/>
        <item t="default"/>
      </items>
    </pivotField>
  </pivotFields>
  <rowFields count="1">
    <field x="3"/>
  </rowFields>
  <rowItems count="7">
    <i>
      <x v="1"/>
    </i>
    <i>
      <x v="2"/>
    </i>
    <i>
      <x v="3"/>
    </i>
    <i>
      <x v="4"/>
    </i>
    <i>
      <x v="5"/>
    </i>
    <i>
      <x v="6"/>
    </i>
    <i t="grand">
      <x/>
    </i>
  </rowItems>
  <colFields count="1">
    <field x="-2"/>
  </colFields>
  <colItems count="2">
    <i>
      <x/>
    </i>
    <i i="1">
      <x v="1"/>
    </i>
  </colItems>
  <dataFields count="2">
    <dataField name="Sum of Review" fld="4" baseField="0" baseItem="0" numFmtId="1"/>
    <dataField name="Average of Ratings" fld="5" subtotal="average" baseField="3" baseItem="2" numFmtId="164"/>
  </dataFields>
  <chartFormats count="2">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7FD1F37-10E2-48AC-93CF-6A498CDC3ADE}" name="PivotTable7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15" firstHeaderRow="1" firstDataRow="1" firstDataCol="1"/>
  <pivotFields count="11">
    <pivotField axis="axisRow" showAll="0" measureFilter="1" sortType="descending">
      <items count="110">
        <item x="38"/>
        <item x="11"/>
        <item x="0"/>
        <item x="27"/>
        <item x="31"/>
        <item x="61"/>
        <item x="56"/>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5"/>
        <item x="15"/>
        <item x="64"/>
        <item x="96"/>
        <item x="42"/>
        <item x="78"/>
        <item x="108"/>
        <item x="49"/>
        <item x="46"/>
        <item x="83"/>
        <item x="103"/>
        <item x="44"/>
        <item x="54"/>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7"/>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showAll="0"/>
    <pivotField showAll="0"/>
    <pivotField numFmtId="9" showAll="0"/>
    <pivotField numFmtId="1" showAll="0"/>
    <pivotField dataField="1" showAll="0"/>
    <pivotField showAll="0"/>
    <pivotField numFmtId="9" showAll="0"/>
    <pivotField showAll="0"/>
    <pivotField showAll="0">
      <items count="5">
        <item x="1"/>
        <item x="2"/>
        <item x="0"/>
        <item m="1" x="3"/>
        <item t="default"/>
      </items>
    </pivotField>
    <pivotField showAll="0">
      <items count="5">
        <item x="1"/>
        <item x="0"/>
        <item x="3"/>
        <item x="2"/>
        <item t="default"/>
      </items>
    </pivotField>
  </pivotFields>
  <rowFields count="1">
    <field x="0"/>
  </rowFields>
  <rowItems count="11">
    <i>
      <x v="52"/>
    </i>
    <i>
      <x v="68"/>
    </i>
    <i>
      <x v="65"/>
    </i>
    <i>
      <x v="40"/>
    </i>
    <i>
      <x v="87"/>
    </i>
    <i>
      <x v="44"/>
    </i>
    <i>
      <x v="57"/>
    </i>
    <i>
      <x v="70"/>
    </i>
    <i>
      <x v="90"/>
    </i>
    <i>
      <x v="22"/>
    </i>
    <i t="grand">
      <x/>
    </i>
  </rowItems>
  <colItems count="1">
    <i/>
  </colItems>
  <dataFields count="1">
    <dataField name="Average of Ratings" fld="5" subtotal="average" baseField="0" baseItem="0" numFmtId="164"/>
  </dataFields>
  <pivotTableStyleInfo name="PivotStyleLight18"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B10574D-932C-44DE-8614-FEE4E692F5F5}"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I4:J15" firstHeaderRow="1" firstDataRow="1" firstDataCol="1"/>
  <pivotFields count="11">
    <pivotField axis="axisRow" compact="0" outline="0" showAll="0" measureFilter="1" sortType="descending">
      <items count="110">
        <item x="38"/>
        <item x="11"/>
        <item x="0"/>
        <item x="27"/>
        <item x="31"/>
        <item x="61"/>
        <item x="56"/>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5"/>
        <item x="15"/>
        <item x="64"/>
        <item x="96"/>
        <item x="42"/>
        <item x="78"/>
        <item x="108"/>
        <item x="49"/>
        <item x="46"/>
        <item x="83"/>
        <item x="103"/>
        <item x="44"/>
        <item x="54"/>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104"/>
        <item x="50"/>
        <item x="51"/>
        <item x="4"/>
        <item x="2"/>
        <item x="93"/>
        <item x="26"/>
        <item x="88"/>
        <item x="37"/>
        <item x="89"/>
        <item x="43"/>
        <item x="57"/>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9" outline="0" showAll="0"/>
    <pivotField compact="0" numFmtId="1" outline="0" showAll="0"/>
    <pivotField compact="0" outline="0" showAll="0"/>
    <pivotField compact="0" outline="0" showAll="0"/>
    <pivotField dataField="1" compact="0" numFmtId="9" outline="0" showAll="0"/>
    <pivotField compact="0" outline="0" showAll="0"/>
    <pivotField compact="0" outline="0" showAll="0">
      <items count="5">
        <item x="1"/>
        <item x="2"/>
        <item x="0"/>
        <item m="1" x="3"/>
        <item t="default"/>
      </items>
    </pivotField>
    <pivotField compact="0" outline="0" showAll="0">
      <items count="5">
        <item x="1"/>
        <item x="0"/>
        <item x="3"/>
        <item x="2"/>
        <item t="default"/>
      </items>
    </pivotField>
  </pivotFields>
  <rowFields count="1">
    <field x="0"/>
  </rowFields>
  <rowItems count="11">
    <i>
      <x v="31"/>
    </i>
    <i>
      <x v="53"/>
    </i>
    <i>
      <x v="99"/>
    </i>
    <i>
      <x v="30"/>
    </i>
    <i>
      <x v="70"/>
    </i>
    <i>
      <x v="67"/>
    </i>
    <i>
      <x v="84"/>
    </i>
    <i>
      <x v="20"/>
    </i>
    <i>
      <x v="52"/>
    </i>
    <i>
      <x v="64"/>
    </i>
    <i t="grand">
      <x/>
    </i>
  </rowItems>
  <colItems count="1">
    <i/>
  </colItems>
  <dataFields count="1">
    <dataField name="Average of % discount" fld="7" subtotal="average" baseField="0" baseItem="0" numFmtId="9"/>
  </dataFields>
  <pivotTableStyleInfo name="PivotStyleLight18"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64FC38B-DEC2-4417-9428-3AFBB7E7D949}" name="PivotTable7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F15" firstHeaderRow="1" firstDataRow="1" firstDataCol="1"/>
  <pivotFields count="11">
    <pivotField axis="axisRow" showAll="0" measureFilter="1" sortType="descending">
      <items count="110">
        <item x="38"/>
        <item x="11"/>
        <item x="0"/>
        <item x="27"/>
        <item x="31"/>
        <item x="61"/>
        <item x="56"/>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5"/>
        <item x="15"/>
        <item x="64"/>
        <item x="96"/>
        <item x="42"/>
        <item x="78"/>
        <item x="108"/>
        <item x="49"/>
        <item x="46"/>
        <item x="83"/>
        <item x="103"/>
        <item x="44"/>
        <item x="54"/>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7"/>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showAll="0"/>
    <pivotField showAll="0"/>
    <pivotField numFmtId="9" showAll="0"/>
    <pivotField dataField="1" numFmtId="1" showAll="0"/>
    <pivotField showAll="0"/>
    <pivotField showAll="0"/>
    <pivotField numFmtId="9" showAll="0"/>
    <pivotField showAll="0"/>
    <pivotField showAll="0">
      <items count="5">
        <item x="1"/>
        <item x="2"/>
        <item x="0"/>
        <item m="1" x="3"/>
        <item t="default"/>
      </items>
    </pivotField>
    <pivotField showAll="0">
      <items count="5">
        <item x="1"/>
        <item x="0"/>
        <item x="3"/>
        <item x="2"/>
        <item t="default"/>
      </items>
    </pivotField>
  </pivotFields>
  <rowFields count="1">
    <field x="0"/>
  </rowFields>
  <rowItems count="11">
    <i>
      <x v="5"/>
    </i>
    <i>
      <x v="8"/>
    </i>
    <i>
      <x v="59"/>
    </i>
    <i>
      <x v="18"/>
    </i>
    <i>
      <x v="1"/>
    </i>
    <i>
      <x v="95"/>
    </i>
    <i>
      <x v="27"/>
    </i>
    <i>
      <x v="91"/>
    </i>
    <i>
      <x v="28"/>
    </i>
    <i>
      <x v="26"/>
    </i>
    <i t="grand">
      <x/>
    </i>
  </rowItems>
  <colItems count="1">
    <i/>
  </colItems>
  <dataFields count="1">
    <dataField name="Sum of Review" fld="4" baseField="0" baseItem="0" numFmtId="1"/>
  </dataFields>
  <pivotTableStyleInfo name="PivotStyleLight18"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count_category" xr10:uid="{8D8356C3-DB1A-4110-B56E-6928E4C033B2}" sourceName="Dicount category">
  <pivotTables>
    <pivotTable tabId="7" name="PivotTable2"/>
    <pivotTable tabId="6" name="PivotTable58"/>
    <pivotTable tabId="6" name="PivotTable59"/>
    <pivotTable tabId="8" name="PivotTable1"/>
    <pivotTable tabId="8" name="PivotTable76"/>
    <pivotTable tabId="8" name="PivotTable77"/>
    <pivotTable tabId="3" name="PivotTable1"/>
    <pivotTable tabId="7" name="PivotTable74"/>
  </pivotTables>
  <data>
    <tabular pivotCacheId="1192906563">
      <items count="4">
        <i x="1" s="1"/>
        <i x="2" s="1"/>
        <i x="0" s="1"/>
        <i x="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A0E4649D-EDB5-4D33-A552-42E87604565D}" sourceName="Rating category">
  <pivotTables>
    <pivotTable tabId="7" name="PivotTable2"/>
    <pivotTable tabId="6" name="PivotTable58"/>
    <pivotTable tabId="6" name="PivotTable59"/>
    <pivotTable tabId="8" name="PivotTable1"/>
    <pivotTable tabId="8" name="PivotTable76"/>
    <pivotTable tabId="8" name="PivotTable77"/>
    <pivotTable tabId="3" name="PivotTable1"/>
    <pivotTable tabId="7" name="PivotTable74"/>
  </pivotTables>
  <data>
    <tabular pivotCacheId="1192906563">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count category" xr10:uid="{359C4A19-8730-4DE0-AD65-81793F52E119}" cache="Slicer_Dicount_category" caption="Dicount category" style="SlicerStyleDark3" rowHeight="257175"/>
  <slicer name="Rating category" xr10:uid="{52E04C94-CB0F-47F7-B7C3-222B1D21859C}" cache="Slicer_Rating_category" caption="Rating category" style="SlicerStyleDark3"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count category 1" xr10:uid="{8E0B251F-0950-4449-9613-8CEC2412E036}" cache="Slicer_Dicount_category" caption="Dicount category" style="SlicerStyleDark3" rowHeight="257175"/>
  <slicer name="Rating category 1" xr10:uid="{4DA4AA44-B279-41D0-8724-2BCE5257EC8E}" cache="Slicer_Rating_category" caption="Rating category" style="SlicerStyleDark3"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019BC-5222-46D1-A4F8-4862896B7C58}">
  <dimension ref="A3:A11"/>
  <sheetViews>
    <sheetView workbookViewId="0">
      <selection activeCell="A8" sqref="A8"/>
    </sheetView>
  </sheetViews>
  <sheetFormatPr defaultRowHeight="15" x14ac:dyDescent="0.25"/>
  <cols>
    <col min="1" max="1" width="13.42578125" bestFit="1" customWidth="1"/>
    <col min="2" max="2" width="16" bestFit="1" customWidth="1"/>
    <col min="3" max="3" width="19.42578125" bestFit="1" customWidth="1"/>
  </cols>
  <sheetData>
    <row r="3" spans="1:1" x14ac:dyDescent="0.25">
      <c r="A3" s="8" t="s">
        <v>119</v>
      </c>
    </row>
    <row r="4" spans="1:1" x14ac:dyDescent="0.25">
      <c r="A4" s="9" t="s">
        <v>121</v>
      </c>
    </row>
    <row r="5" spans="1:1" x14ac:dyDescent="0.25">
      <c r="A5" s="9" t="s">
        <v>122</v>
      </c>
    </row>
    <row r="6" spans="1:1" x14ac:dyDescent="0.25">
      <c r="A6" s="9" t="s">
        <v>123</v>
      </c>
    </row>
    <row r="7" spans="1:1" x14ac:dyDescent="0.25">
      <c r="A7" s="9" t="s">
        <v>124</v>
      </c>
    </row>
    <row r="8" spans="1:1" x14ac:dyDescent="0.25">
      <c r="A8" s="9" t="s">
        <v>125</v>
      </c>
    </row>
    <row r="9" spans="1:1" x14ac:dyDescent="0.25">
      <c r="A9" s="9" t="s">
        <v>126</v>
      </c>
    </row>
    <row r="10" spans="1:1" x14ac:dyDescent="0.25">
      <c r="A10" s="9" t="s">
        <v>127</v>
      </c>
    </row>
    <row r="11" spans="1:1" x14ac:dyDescent="0.25">
      <c r="A11" s="9" t="s">
        <v>120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770F9-1332-4CA1-9BC6-4377139A94AF}">
  <dimension ref="A3:C33"/>
  <sheetViews>
    <sheetView tabSelected="1" workbookViewId="0">
      <selection activeCell="G19" sqref="G19"/>
    </sheetView>
  </sheetViews>
  <sheetFormatPr defaultRowHeight="15" x14ac:dyDescent="0.25"/>
  <cols>
    <col min="1" max="1" width="23.7109375" bestFit="1" customWidth="1"/>
    <col min="2" max="2" width="35.42578125" bestFit="1" customWidth="1"/>
    <col min="3" max="3" width="14.42578125" bestFit="1" customWidth="1"/>
    <col min="4" max="4" width="24.28515625" bestFit="1" customWidth="1"/>
    <col min="5" max="5" width="11.28515625" bestFit="1" customWidth="1"/>
  </cols>
  <sheetData>
    <row r="3" spans="1:3" x14ac:dyDescent="0.25">
      <c r="A3" s="8" t="s">
        <v>119</v>
      </c>
      <c r="B3" t="s">
        <v>136</v>
      </c>
    </row>
    <row r="4" spans="1:3" x14ac:dyDescent="0.25">
      <c r="A4" s="10" t="s">
        <v>131</v>
      </c>
      <c r="B4">
        <v>52</v>
      </c>
    </row>
    <row r="5" spans="1:3" x14ac:dyDescent="0.25">
      <c r="A5" s="10" t="s">
        <v>129</v>
      </c>
      <c r="B5">
        <v>23</v>
      </c>
    </row>
    <row r="6" spans="1:3" x14ac:dyDescent="0.25">
      <c r="A6" s="10" t="s">
        <v>128</v>
      </c>
      <c r="B6">
        <v>22</v>
      </c>
    </row>
    <row r="7" spans="1:3" x14ac:dyDescent="0.25">
      <c r="A7" s="10" t="s">
        <v>130</v>
      </c>
      <c r="B7">
        <v>12</v>
      </c>
    </row>
    <row r="8" spans="1:3" x14ac:dyDescent="0.25">
      <c r="A8" s="10" t="s">
        <v>120</v>
      </c>
      <c r="B8">
        <v>109</v>
      </c>
    </row>
    <row r="16" spans="1:3" x14ac:dyDescent="0.25">
      <c r="A16" s="8" t="s">
        <v>119</v>
      </c>
      <c r="B16" t="s">
        <v>149</v>
      </c>
      <c r="C16" t="s">
        <v>132</v>
      </c>
    </row>
    <row r="17" spans="1:3" x14ac:dyDescent="0.25">
      <c r="A17" s="10" t="s">
        <v>147</v>
      </c>
      <c r="B17" s="24">
        <v>28</v>
      </c>
      <c r="C17" s="2">
        <v>238</v>
      </c>
    </row>
    <row r="18" spans="1:3" x14ac:dyDescent="0.25">
      <c r="A18" s="10" t="s">
        <v>148</v>
      </c>
      <c r="B18" s="24">
        <v>53</v>
      </c>
      <c r="C18" s="2">
        <v>237</v>
      </c>
    </row>
    <row r="19" spans="1:3" x14ac:dyDescent="0.25">
      <c r="A19" s="10" t="s">
        <v>146</v>
      </c>
      <c r="B19" s="24">
        <v>28</v>
      </c>
      <c r="C19" s="2">
        <v>248</v>
      </c>
    </row>
    <row r="20" spans="1:3" x14ac:dyDescent="0.25">
      <c r="A20" s="10" t="s">
        <v>120</v>
      </c>
      <c r="B20" s="24">
        <v>109</v>
      </c>
      <c r="C20" s="2">
        <v>723</v>
      </c>
    </row>
    <row r="29" spans="1:3" x14ac:dyDescent="0.25">
      <c r="A29" s="8" t="s">
        <v>119</v>
      </c>
      <c r="B29" t="s">
        <v>149</v>
      </c>
      <c r="C29" t="s">
        <v>150</v>
      </c>
    </row>
    <row r="30" spans="1:3" x14ac:dyDescent="0.25">
      <c r="A30" s="10" t="s">
        <v>148</v>
      </c>
      <c r="B30">
        <v>53</v>
      </c>
      <c r="C30" s="18">
        <v>33874</v>
      </c>
    </row>
    <row r="31" spans="1:3" x14ac:dyDescent="0.25">
      <c r="A31" s="10" t="s">
        <v>146</v>
      </c>
      <c r="B31">
        <v>28</v>
      </c>
      <c r="C31" s="18">
        <v>26441</v>
      </c>
    </row>
    <row r="32" spans="1:3" x14ac:dyDescent="0.25">
      <c r="A32" s="10" t="s">
        <v>147</v>
      </c>
      <c r="B32">
        <v>28</v>
      </c>
      <c r="C32" s="18">
        <v>7716</v>
      </c>
    </row>
    <row r="33" spans="1:3" x14ac:dyDescent="0.25">
      <c r="A33" s="10" t="s">
        <v>120</v>
      </c>
      <c r="B33">
        <v>109</v>
      </c>
      <c r="C33" s="18">
        <v>68031</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43FF7-9706-4275-AE0E-82CEA4300DB2}">
  <dimension ref="A3:C44"/>
  <sheetViews>
    <sheetView topLeftCell="A14" workbookViewId="0">
      <selection activeCell="L15" sqref="L15"/>
    </sheetView>
  </sheetViews>
  <sheetFormatPr defaultRowHeight="15" x14ac:dyDescent="0.25"/>
  <cols>
    <col min="1" max="1" width="13.42578125" bestFit="1" customWidth="1"/>
    <col min="2" max="2" width="14.42578125" bestFit="1" customWidth="1"/>
    <col min="3" max="3" width="17.85546875" bestFit="1" customWidth="1"/>
    <col min="4" max="4" width="17" bestFit="1" customWidth="1"/>
  </cols>
  <sheetData>
    <row r="3" spans="1:3" x14ac:dyDescent="0.25">
      <c r="A3" s="8" t="s">
        <v>119</v>
      </c>
      <c r="B3" t="s">
        <v>132</v>
      </c>
      <c r="C3" t="s">
        <v>137</v>
      </c>
    </row>
    <row r="4" spans="1:3" x14ac:dyDescent="0.25">
      <c r="A4" s="9" t="s">
        <v>121</v>
      </c>
      <c r="B4" s="2">
        <v>15</v>
      </c>
      <c r="C4" s="1">
        <v>4</v>
      </c>
    </row>
    <row r="5" spans="1:3" x14ac:dyDescent="0.25">
      <c r="A5" s="9" t="s">
        <v>122</v>
      </c>
      <c r="B5" s="2">
        <v>35</v>
      </c>
      <c r="C5" s="1">
        <v>3.75</v>
      </c>
    </row>
    <row r="6" spans="1:3" x14ac:dyDescent="0.25">
      <c r="A6" s="9" t="s">
        <v>123</v>
      </c>
      <c r="B6" s="2">
        <v>192</v>
      </c>
      <c r="C6" s="1">
        <v>4.26</v>
      </c>
    </row>
    <row r="7" spans="1:3" x14ac:dyDescent="0.25">
      <c r="A7" s="9" t="s">
        <v>124</v>
      </c>
      <c r="B7" s="2">
        <v>147</v>
      </c>
      <c r="C7" s="1">
        <v>4.3083333333333327</v>
      </c>
    </row>
    <row r="8" spans="1:3" x14ac:dyDescent="0.25">
      <c r="A8" s="9" t="s">
        <v>125</v>
      </c>
      <c r="B8" s="2">
        <v>258</v>
      </c>
      <c r="C8" s="1">
        <v>3.5190476190476185</v>
      </c>
    </row>
    <row r="9" spans="1:3" x14ac:dyDescent="0.25">
      <c r="A9" s="9" t="s">
        <v>126</v>
      </c>
      <c r="B9" s="2">
        <v>76</v>
      </c>
      <c r="C9" s="1">
        <v>3.8333333333333339</v>
      </c>
    </row>
    <row r="10" spans="1:3" x14ac:dyDescent="0.25">
      <c r="A10" s="9" t="s">
        <v>120</v>
      </c>
      <c r="B10" s="2">
        <v>723</v>
      </c>
      <c r="C10" s="1">
        <v>3.8894736842105271</v>
      </c>
    </row>
    <row r="20" spans="1:3" x14ac:dyDescent="0.25">
      <c r="A20" s="8" t="s">
        <v>113</v>
      </c>
      <c r="B20" t="s">
        <v>132</v>
      </c>
      <c r="C20" t="s">
        <v>144</v>
      </c>
    </row>
    <row r="21" spans="1:3" x14ac:dyDescent="0.25">
      <c r="A21" s="1">
        <v>2</v>
      </c>
      <c r="B21" s="2">
        <v>1</v>
      </c>
      <c r="C21">
        <v>1</v>
      </c>
    </row>
    <row r="22" spans="1:3" x14ac:dyDescent="0.25">
      <c r="A22" s="1">
        <v>2.1</v>
      </c>
      <c r="B22" s="2">
        <v>20</v>
      </c>
      <c r="C22">
        <v>2</v>
      </c>
    </row>
    <row r="23" spans="1:3" x14ac:dyDescent="0.25">
      <c r="A23" s="1">
        <v>2.2000000000000002</v>
      </c>
      <c r="B23" s="2">
        <v>12</v>
      </c>
      <c r="C23">
        <v>2</v>
      </c>
    </row>
    <row r="24" spans="1:3" x14ac:dyDescent="0.25">
      <c r="A24" s="1">
        <v>2.2999999999999998</v>
      </c>
      <c r="B24" s="2">
        <v>13</v>
      </c>
      <c r="C24">
        <v>2</v>
      </c>
    </row>
    <row r="25" spans="1:3" x14ac:dyDescent="0.25">
      <c r="A25" s="1">
        <v>2.5</v>
      </c>
      <c r="B25" s="2">
        <v>6</v>
      </c>
      <c r="C25">
        <v>1</v>
      </c>
    </row>
    <row r="26" spans="1:3" x14ac:dyDescent="0.25">
      <c r="A26" s="1">
        <v>2.6</v>
      </c>
      <c r="B26" s="2">
        <v>17</v>
      </c>
      <c r="C26">
        <v>1</v>
      </c>
    </row>
    <row r="27" spans="1:3" x14ac:dyDescent="0.25">
      <c r="A27" s="1">
        <v>2.7</v>
      </c>
      <c r="B27" s="2">
        <v>15</v>
      </c>
      <c r="C27">
        <v>1</v>
      </c>
    </row>
    <row r="28" spans="1:3" x14ac:dyDescent="0.25">
      <c r="A28" s="1">
        <v>2.8</v>
      </c>
      <c r="B28" s="2">
        <v>69</v>
      </c>
      <c r="C28">
        <v>1</v>
      </c>
    </row>
    <row r="29" spans="1:3" x14ac:dyDescent="0.25">
      <c r="A29" s="1">
        <v>2.9</v>
      </c>
      <c r="B29" s="2">
        <v>16</v>
      </c>
      <c r="C29">
        <v>1</v>
      </c>
    </row>
    <row r="30" spans="1:3" x14ac:dyDescent="0.25">
      <c r="A30" s="1">
        <v>3</v>
      </c>
      <c r="B30" s="2">
        <v>26</v>
      </c>
      <c r="C30">
        <v>5</v>
      </c>
    </row>
    <row r="31" spans="1:3" x14ac:dyDescent="0.25">
      <c r="A31" s="1">
        <v>3.3</v>
      </c>
      <c r="B31" s="2">
        <v>13</v>
      </c>
      <c r="C31">
        <v>1</v>
      </c>
    </row>
    <row r="32" spans="1:3" x14ac:dyDescent="0.25">
      <c r="A32" s="1">
        <v>3.8</v>
      </c>
      <c r="B32" s="2">
        <v>30</v>
      </c>
      <c r="C32">
        <v>3</v>
      </c>
    </row>
    <row r="33" spans="1:3" x14ac:dyDescent="0.25">
      <c r="A33" s="1">
        <v>4</v>
      </c>
      <c r="B33" s="2">
        <v>24</v>
      </c>
      <c r="C33">
        <v>4</v>
      </c>
    </row>
    <row r="34" spans="1:3" x14ac:dyDescent="0.25">
      <c r="A34" s="1">
        <v>4.0999999999999996</v>
      </c>
      <c r="B34" s="2">
        <v>46</v>
      </c>
      <c r="C34">
        <v>3</v>
      </c>
    </row>
    <row r="35" spans="1:3" x14ac:dyDescent="0.25">
      <c r="A35" s="1">
        <v>4.2</v>
      </c>
      <c r="B35" s="2">
        <v>9</v>
      </c>
      <c r="C35">
        <v>1</v>
      </c>
    </row>
    <row r="36" spans="1:3" x14ac:dyDescent="0.25">
      <c r="A36" s="1">
        <v>4.3</v>
      </c>
      <c r="B36" s="2">
        <v>61</v>
      </c>
      <c r="C36">
        <v>4</v>
      </c>
    </row>
    <row r="37" spans="1:3" x14ac:dyDescent="0.25">
      <c r="A37" s="1">
        <v>4.4000000000000004</v>
      </c>
      <c r="B37" s="2">
        <v>14</v>
      </c>
      <c r="C37">
        <v>1</v>
      </c>
    </row>
    <row r="38" spans="1:3" x14ac:dyDescent="0.25">
      <c r="A38" s="1">
        <v>4.5</v>
      </c>
      <c r="B38" s="2">
        <v>42</v>
      </c>
      <c r="C38">
        <v>4</v>
      </c>
    </row>
    <row r="39" spans="1:3" x14ac:dyDescent="0.25">
      <c r="A39" s="1">
        <v>4.5999999999999996</v>
      </c>
      <c r="B39" s="2">
        <v>177</v>
      </c>
      <c r="C39">
        <v>5</v>
      </c>
    </row>
    <row r="40" spans="1:3" x14ac:dyDescent="0.25">
      <c r="A40" s="1">
        <v>4.7</v>
      </c>
      <c r="B40" s="2">
        <v>78</v>
      </c>
      <c r="C40">
        <v>4</v>
      </c>
    </row>
    <row r="41" spans="1:3" x14ac:dyDescent="0.25">
      <c r="A41" s="1">
        <v>4.8</v>
      </c>
      <c r="B41" s="2">
        <v>22</v>
      </c>
      <c r="C41">
        <v>3</v>
      </c>
    </row>
    <row r="42" spans="1:3" x14ac:dyDescent="0.25">
      <c r="A42" s="1">
        <v>5</v>
      </c>
      <c r="B42" s="2">
        <v>12</v>
      </c>
      <c r="C42">
        <v>7</v>
      </c>
    </row>
    <row r="43" spans="1:3" x14ac:dyDescent="0.25">
      <c r="A43" s="1" t="s">
        <v>115</v>
      </c>
      <c r="B43" s="2">
        <v>0</v>
      </c>
      <c r="C43">
        <v>52</v>
      </c>
    </row>
    <row r="44" spans="1:3" x14ac:dyDescent="0.25">
      <c r="A44" t="s">
        <v>120</v>
      </c>
      <c r="B44" s="2">
        <v>723</v>
      </c>
      <c r="C44">
        <v>109</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4C6E8-CD64-4219-BA39-033EC23A75E4}">
  <dimension ref="A2:J15"/>
  <sheetViews>
    <sheetView workbookViewId="0">
      <selection activeCell="I12" sqref="I12"/>
    </sheetView>
  </sheetViews>
  <sheetFormatPr defaultRowHeight="15" x14ac:dyDescent="0.25"/>
  <cols>
    <col min="1" max="1" width="68.5703125" bestFit="1" customWidth="1"/>
    <col min="2" max="2" width="17.85546875" bestFit="1" customWidth="1"/>
    <col min="5" max="5" width="65.140625" bestFit="1" customWidth="1"/>
    <col min="6" max="6" width="14.42578125" bestFit="1" customWidth="1"/>
    <col min="8" max="8" width="9.5703125" customWidth="1"/>
    <col min="9" max="9" width="72.28515625" bestFit="1" customWidth="1"/>
    <col min="10" max="10" width="21" bestFit="1" customWidth="1"/>
  </cols>
  <sheetData>
    <row r="2" spans="1:10" x14ac:dyDescent="0.25">
      <c r="A2" s="19" t="s">
        <v>138</v>
      </c>
      <c r="B2" s="19"/>
      <c r="E2" s="19" t="s">
        <v>139</v>
      </c>
      <c r="F2" s="19"/>
      <c r="I2" s="19" t="s">
        <v>140</v>
      </c>
      <c r="J2" s="19"/>
    </row>
    <row r="3" spans="1:10" ht="11.25" customHeight="1" x14ac:dyDescent="0.25">
      <c r="A3" s="19"/>
      <c r="B3" s="19"/>
      <c r="E3" s="19"/>
      <c r="F3" s="19"/>
      <c r="I3" s="19"/>
      <c r="J3" s="19"/>
    </row>
    <row r="4" spans="1:10" x14ac:dyDescent="0.25">
      <c r="A4" s="8" t="s">
        <v>119</v>
      </c>
      <c r="B4" t="s">
        <v>137</v>
      </c>
      <c r="E4" s="8" t="s">
        <v>119</v>
      </c>
      <c r="F4" t="s">
        <v>132</v>
      </c>
      <c r="I4" s="8" t="s">
        <v>0</v>
      </c>
      <c r="J4" t="s">
        <v>141</v>
      </c>
    </row>
    <row r="5" spans="1:10" x14ac:dyDescent="0.25">
      <c r="A5" s="10" t="s">
        <v>40</v>
      </c>
      <c r="B5" s="1">
        <v>5</v>
      </c>
      <c r="E5" s="10" t="s">
        <v>65</v>
      </c>
      <c r="F5" s="2">
        <v>69</v>
      </c>
      <c r="I5" t="s">
        <v>110</v>
      </c>
      <c r="J5" s="12">
        <v>0.64014466546112114</v>
      </c>
    </row>
    <row r="6" spans="1:10" x14ac:dyDescent="0.25">
      <c r="A6" s="10" t="s">
        <v>21</v>
      </c>
      <c r="B6" s="1">
        <v>5</v>
      </c>
      <c r="E6" s="10" t="s">
        <v>10</v>
      </c>
      <c r="F6" s="2">
        <v>55</v>
      </c>
      <c r="I6" t="s">
        <v>52</v>
      </c>
      <c r="J6" s="12">
        <v>0.60515873015873012</v>
      </c>
    </row>
    <row r="7" spans="1:10" x14ac:dyDescent="0.25">
      <c r="A7" s="10" t="s">
        <v>102</v>
      </c>
      <c r="B7" s="1">
        <v>5</v>
      </c>
      <c r="E7" s="10" t="s">
        <v>29</v>
      </c>
      <c r="F7" s="2">
        <v>49</v>
      </c>
      <c r="I7" t="s">
        <v>58</v>
      </c>
      <c r="J7" s="12">
        <v>0.5546875</v>
      </c>
    </row>
    <row r="8" spans="1:10" x14ac:dyDescent="0.25">
      <c r="A8" s="10" t="s">
        <v>19</v>
      </c>
      <c r="B8" s="1">
        <v>5</v>
      </c>
      <c r="E8" s="10" t="s">
        <v>23</v>
      </c>
      <c r="F8" s="2">
        <v>44</v>
      </c>
      <c r="I8" t="s">
        <v>64</v>
      </c>
      <c r="J8" s="12">
        <v>0.55000000000000004</v>
      </c>
    </row>
    <row r="9" spans="1:10" x14ac:dyDescent="0.25">
      <c r="A9" s="10" t="s">
        <v>20</v>
      </c>
      <c r="B9" s="1">
        <v>5</v>
      </c>
      <c r="E9" s="10" t="s">
        <v>15</v>
      </c>
      <c r="F9" s="2">
        <v>39</v>
      </c>
      <c r="I9" t="s">
        <v>12</v>
      </c>
      <c r="J9" s="12">
        <v>0.54500000000000004</v>
      </c>
    </row>
    <row r="10" spans="1:10" x14ac:dyDescent="0.25">
      <c r="A10" s="10" t="s">
        <v>82</v>
      </c>
      <c r="B10" s="1">
        <v>5</v>
      </c>
      <c r="E10" s="10" t="s">
        <v>41</v>
      </c>
      <c r="F10" s="2">
        <v>36</v>
      </c>
      <c r="I10" t="s">
        <v>28</v>
      </c>
      <c r="J10" s="12">
        <v>0.54488888888888887</v>
      </c>
    </row>
    <row r="11" spans="1:10" x14ac:dyDescent="0.25">
      <c r="A11" s="10" t="s">
        <v>39</v>
      </c>
      <c r="B11" s="1">
        <v>5</v>
      </c>
      <c r="E11" s="10" t="s">
        <v>38</v>
      </c>
      <c r="F11" s="2">
        <v>32</v>
      </c>
      <c r="I11" t="s">
        <v>63</v>
      </c>
      <c r="J11" s="12">
        <v>0.53549695740365111</v>
      </c>
    </row>
    <row r="12" spans="1:10" x14ac:dyDescent="0.25">
      <c r="A12" s="10" t="s">
        <v>12</v>
      </c>
      <c r="B12" s="1">
        <v>4.8</v>
      </c>
      <c r="E12" s="10" t="s">
        <v>6</v>
      </c>
      <c r="F12" s="2">
        <v>24</v>
      </c>
      <c r="I12" t="s">
        <v>24</v>
      </c>
      <c r="J12" s="12">
        <v>0.52500000000000002</v>
      </c>
    </row>
    <row r="13" spans="1:10" x14ac:dyDescent="0.25">
      <c r="A13" s="10" t="s">
        <v>8</v>
      </c>
      <c r="B13" s="1">
        <v>4.8</v>
      </c>
      <c r="E13" s="10" t="s">
        <v>37</v>
      </c>
      <c r="F13" s="2">
        <v>20</v>
      </c>
      <c r="I13" t="s">
        <v>40</v>
      </c>
      <c r="J13" s="12">
        <v>0.52500000000000002</v>
      </c>
    </row>
    <row r="14" spans="1:10" x14ac:dyDescent="0.25">
      <c r="A14" s="10" t="s">
        <v>16</v>
      </c>
      <c r="B14" s="1">
        <v>4.8</v>
      </c>
      <c r="E14" s="10" t="s">
        <v>32</v>
      </c>
      <c r="F14" s="2">
        <v>20</v>
      </c>
      <c r="I14" t="s">
        <v>66</v>
      </c>
      <c r="J14" s="12">
        <v>0.5220588235294118</v>
      </c>
    </row>
    <row r="15" spans="1:10" x14ac:dyDescent="0.25">
      <c r="A15" s="10" t="s">
        <v>120</v>
      </c>
      <c r="B15" s="1">
        <v>4.9399999999999995</v>
      </c>
      <c r="E15" s="10" t="s">
        <v>120</v>
      </c>
      <c r="F15" s="2">
        <v>388</v>
      </c>
      <c r="I15" t="s">
        <v>120</v>
      </c>
      <c r="J15" s="12">
        <v>0.55474355654418028</v>
      </c>
    </row>
  </sheetData>
  <mergeCells count="3">
    <mergeCell ref="A2:B3"/>
    <mergeCell ref="E2:F3"/>
    <mergeCell ref="I2:J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3F5C3-A7A7-4BB1-86B0-9AE78AD31D6C}">
  <dimension ref="A1:M110"/>
  <sheetViews>
    <sheetView zoomScale="106" workbookViewId="0">
      <selection activeCell="C14" sqref="C14"/>
    </sheetView>
  </sheetViews>
  <sheetFormatPr defaultRowHeight="15" x14ac:dyDescent="0.25"/>
  <cols>
    <col min="1" max="1" width="44" style="4" customWidth="1"/>
    <col min="2" max="2" width="22.42578125" customWidth="1"/>
    <col min="3" max="3" width="11.140625" customWidth="1"/>
    <col min="4" max="4" width="9.140625" style="3"/>
    <col min="5" max="5" width="9.140625" style="2"/>
    <col min="6" max="6" width="9.140625" style="1"/>
    <col min="7" max="7" width="9" customWidth="1"/>
    <col min="11" max="11" width="14.5703125" customWidth="1"/>
  </cols>
  <sheetData>
    <row r="1" spans="1:13" x14ac:dyDescent="0.25">
      <c r="A1" s="4" t="s">
        <v>0</v>
      </c>
      <c r="B1" t="s">
        <v>1</v>
      </c>
      <c r="C1" t="s">
        <v>114</v>
      </c>
      <c r="D1" s="3" t="s">
        <v>2</v>
      </c>
      <c r="E1" s="2" t="s">
        <v>3</v>
      </c>
      <c r="F1" s="1" t="s">
        <v>113</v>
      </c>
      <c r="G1" t="s">
        <v>117</v>
      </c>
      <c r="H1" t="s">
        <v>116</v>
      </c>
      <c r="I1" t="s">
        <v>145</v>
      </c>
      <c r="J1" t="s">
        <v>151</v>
      </c>
      <c r="K1" t="s">
        <v>118</v>
      </c>
    </row>
    <row r="2" spans="1:13" x14ac:dyDescent="0.25">
      <c r="A2" s="4" t="s">
        <v>4</v>
      </c>
      <c r="B2">
        <v>950</v>
      </c>
      <c r="C2">
        <v>1525</v>
      </c>
      <c r="D2" s="3">
        <v>0.38</v>
      </c>
      <c r="E2" s="2">
        <v>2</v>
      </c>
      <c r="F2" s="1">
        <v>4.5</v>
      </c>
      <c r="G2" s="6">
        <f>C2-B2</f>
        <v>575</v>
      </c>
      <c r="H2" s="7">
        <f>G2/C2</f>
        <v>0.37704918032786883</v>
      </c>
      <c r="I2" s="7" t="str">
        <f>IF(B2&lt;=QUARTILE(B:B,1),"Low discounted price", IF(B2&gt;=QUARTILE(B:B,3),"High discounted price", "Medium discounted price"))</f>
        <v>Medium discounted price</v>
      </c>
      <c r="J2" s="7" t="str">
        <f>IF(H2&lt;0.2,"Low Discount", IF(AND(H2&gt;=0.2,H2&lt;0.4),"Medium Discount",IF(H2&gt;=0.4,"High discount")))</f>
        <v>Medium Discount</v>
      </c>
      <c r="K2" s="6" t="str">
        <f>IF(F2="Not Provided","Unclassified",IF(F2&lt;3,"Poor",IF(AND(F2&gt;=3,F2&lt;=4.4),"Average",IF(F2&gt;=4.5,"Excellent"))))</f>
        <v>Excellent</v>
      </c>
      <c r="M2">
        <f>QUARTILE(B:B,1)</f>
        <v>501</v>
      </c>
    </row>
    <row r="3" spans="1:13" x14ac:dyDescent="0.25">
      <c r="A3" s="4" t="s">
        <v>5</v>
      </c>
      <c r="B3">
        <v>527</v>
      </c>
      <c r="C3">
        <v>999</v>
      </c>
      <c r="D3" s="3">
        <v>0.47</v>
      </c>
      <c r="E3" s="2">
        <v>14</v>
      </c>
      <c r="F3" s="1">
        <v>4.0999999999999996</v>
      </c>
      <c r="G3" s="6">
        <f t="shared" ref="G3:G65" si="0">C3-B3</f>
        <v>472</v>
      </c>
      <c r="H3" s="7">
        <f t="shared" ref="H3:H65" si="1">G3/C3</f>
        <v>0.47247247247247248</v>
      </c>
      <c r="I3" s="7" t="str">
        <f t="shared" ref="I3:I66" si="2">IF(B3&lt;=QUARTILE(B:B,1),"Low discounted price", IF(B3&gt;=QUARTILE(B:B,3),"High discounted price", "Medium discounted price"))</f>
        <v>Medium discounted price</v>
      </c>
      <c r="J3" s="7" t="str">
        <f t="shared" ref="J3:J65" si="3">IF(H3&lt;0.2,"Low Discount", IF(AND(H3&gt;=0.2,H3&lt;0.4),"Medium Discount",IF(H3&gt;=0.4,"High discount")))</f>
        <v>High discount</v>
      </c>
      <c r="K3" s="6" t="str">
        <f t="shared" ref="K3:K65" si="4">IF(F3="Not Provided","Unclassified",IF(F3&lt;3,"Poor",IF(AND(F3&gt;=3,F3&lt;=4.4),"Average",IF(F3&gt;=4.5,"Excellent"))))</f>
        <v>Average</v>
      </c>
      <c r="M3">
        <f>QUARTILE(B:B,3)</f>
        <v>1680</v>
      </c>
    </row>
    <row r="4" spans="1:13" x14ac:dyDescent="0.25">
      <c r="A4" s="4" t="s">
        <v>6</v>
      </c>
      <c r="B4">
        <v>2199</v>
      </c>
      <c r="C4">
        <v>2923</v>
      </c>
      <c r="D4" s="3">
        <v>0.25</v>
      </c>
      <c r="E4" s="2">
        <v>24</v>
      </c>
      <c r="F4" s="1">
        <v>4.5999999999999996</v>
      </c>
      <c r="G4" s="6">
        <f t="shared" si="0"/>
        <v>724</v>
      </c>
      <c r="H4" s="7">
        <f t="shared" si="1"/>
        <v>0.24769072870338693</v>
      </c>
      <c r="I4" s="7" t="str">
        <f t="shared" si="2"/>
        <v>High discounted price</v>
      </c>
      <c r="J4" s="7" t="str">
        <f t="shared" si="3"/>
        <v>Medium Discount</v>
      </c>
      <c r="K4" s="6" t="str">
        <f t="shared" si="4"/>
        <v>Excellent</v>
      </c>
    </row>
    <row r="5" spans="1:13" x14ac:dyDescent="0.25">
      <c r="A5" s="4" t="s">
        <v>7</v>
      </c>
      <c r="B5">
        <v>1580</v>
      </c>
      <c r="C5">
        <v>2499</v>
      </c>
      <c r="D5" s="3">
        <v>0.37</v>
      </c>
      <c r="E5" s="2">
        <v>7</v>
      </c>
      <c r="F5" s="1">
        <v>4.7</v>
      </c>
      <c r="G5" s="6">
        <f t="shared" si="0"/>
        <v>919</v>
      </c>
      <c r="H5" s="7">
        <f t="shared" si="1"/>
        <v>0.36774709883953582</v>
      </c>
      <c r="I5" s="7" t="str">
        <f t="shared" si="2"/>
        <v>Medium discounted price</v>
      </c>
      <c r="J5" s="7" t="str">
        <f t="shared" si="3"/>
        <v>Medium Discount</v>
      </c>
      <c r="K5" s="6" t="str">
        <f t="shared" si="4"/>
        <v>Excellent</v>
      </c>
    </row>
    <row r="6" spans="1:13" x14ac:dyDescent="0.25">
      <c r="A6" s="4" t="s">
        <v>8</v>
      </c>
      <c r="B6">
        <v>1740</v>
      </c>
      <c r="C6">
        <v>2356</v>
      </c>
      <c r="D6" s="3">
        <v>0.26</v>
      </c>
      <c r="E6" s="2">
        <v>5</v>
      </c>
      <c r="F6" s="1">
        <v>4.8</v>
      </c>
      <c r="G6" s="6">
        <f t="shared" si="0"/>
        <v>616</v>
      </c>
      <c r="H6" s="7">
        <f t="shared" si="1"/>
        <v>0.26146010186757218</v>
      </c>
      <c r="I6" s="7" t="str">
        <f t="shared" si="2"/>
        <v>High discounted price</v>
      </c>
      <c r="J6" s="7" t="str">
        <f t="shared" si="3"/>
        <v>Medium Discount</v>
      </c>
      <c r="K6" s="6" t="str">
        <f t="shared" si="4"/>
        <v>Excellent</v>
      </c>
    </row>
    <row r="7" spans="1:13" x14ac:dyDescent="0.25">
      <c r="A7" s="4" t="s">
        <v>9</v>
      </c>
      <c r="B7">
        <v>2999</v>
      </c>
      <c r="C7">
        <v>3290</v>
      </c>
      <c r="D7" s="3">
        <v>0.09</v>
      </c>
      <c r="E7" s="2">
        <v>15</v>
      </c>
      <c r="F7" s="1">
        <v>4</v>
      </c>
      <c r="G7" s="6">
        <f t="shared" si="0"/>
        <v>291</v>
      </c>
      <c r="H7" s="7">
        <f t="shared" si="1"/>
        <v>8.8449848024316116E-2</v>
      </c>
      <c r="I7" s="7" t="str">
        <f t="shared" si="2"/>
        <v>High discounted price</v>
      </c>
      <c r="J7" s="7" t="str">
        <f t="shared" si="3"/>
        <v>Low Discount</v>
      </c>
      <c r="K7" s="6" t="str">
        <f t="shared" si="4"/>
        <v>Average</v>
      </c>
    </row>
    <row r="8" spans="1:13" x14ac:dyDescent="0.25">
      <c r="A8" s="4" t="s">
        <v>10</v>
      </c>
      <c r="B8">
        <v>2319</v>
      </c>
      <c r="C8">
        <v>3032</v>
      </c>
      <c r="D8" s="3">
        <v>0.24</v>
      </c>
      <c r="E8" s="2">
        <v>55</v>
      </c>
      <c r="F8" s="1">
        <v>4.5999999999999996</v>
      </c>
      <c r="G8" s="6">
        <f t="shared" si="0"/>
        <v>713</v>
      </c>
      <c r="H8" s="7">
        <f t="shared" si="1"/>
        <v>0.23515831134564644</v>
      </c>
      <c r="I8" s="7" t="str">
        <f t="shared" si="2"/>
        <v>High discounted price</v>
      </c>
      <c r="J8" s="7" t="str">
        <f t="shared" si="3"/>
        <v>Medium Discount</v>
      </c>
      <c r="K8" s="6" t="str">
        <f t="shared" si="4"/>
        <v>Excellent</v>
      </c>
    </row>
    <row r="9" spans="1:13" x14ac:dyDescent="0.25">
      <c r="A9" s="4" t="s">
        <v>11</v>
      </c>
      <c r="B9">
        <v>988</v>
      </c>
      <c r="C9">
        <v>1580</v>
      </c>
      <c r="D9" s="3">
        <v>0.37</v>
      </c>
      <c r="E9" s="2">
        <v>2</v>
      </c>
      <c r="F9" s="1">
        <v>4</v>
      </c>
      <c r="G9" s="6">
        <f t="shared" si="0"/>
        <v>592</v>
      </c>
      <c r="H9" s="7">
        <f t="shared" si="1"/>
        <v>0.37468354430379747</v>
      </c>
      <c r="I9" s="7" t="str">
        <f t="shared" si="2"/>
        <v>Medium discounted price</v>
      </c>
      <c r="J9" s="7" t="str">
        <f t="shared" si="3"/>
        <v>Medium Discount</v>
      </c>
      <c r="K9" s="6" t="str">
        <f t="shared" si="4"/>
        <v>Average</v>
      </c>
    </row>
    <row r="10" spans="1:13" x14ac:dyDescent="0.25">
      <c r="A10" s="4" t="s">
        <v>12</v>
      </c>
      <c r="B10">
        <v>1274</v>
      </c>
      <c r="C10">
        <v>2800</v>
      </c>
      <c r="D10" s="3">
        <v>0.55000000000000004</v>
      </c>
      <c r="E10" s="2">
        <v>5</v>
      </c>
      <c r="F10" s="1">
        <v>4.8</v>
      </c>
      <c r="G10" s="6">
        <f t="shared" si="0"/>
        <v>1526</v>
      </c>
      <c r="H10" s="7">
        <f t="shared" si="1"/>
        <v>0.54500000000000004</v>
      </c>
      <c r="I10" s="7" t="str">
        <f t="shared" si="2"/>
        <v>Medium discounted price</v>
      </c>
      <c r="J10" s="7" t="str">
        <f t="shared" si="3"/>
        <v>High discount</v>
      </c>
      <c r="K10" s="6" t="str">
        <f t="shared" si="4"/>
        <v>Excellent</v>
      </c>
    </row>
    <row r="11" spans="1:13" x14ac:dyDescent="0.25">
      <c r="A11" s="4" t="s">
        <v>13</v>
      </c>
      <c r="B11">
        <v>1600</v>
      </c>
      <c r="C11">
        <v>2929</v>
      </c>
      <c r="D11" s="3">
        <v>0.45</v>
      </c>
      <c r="E11" s="2">
        <v>5</v>
      </c>
      <c r="F11" s="1">
        <v>3.8</v>
      </c>
      <c r="G11" s="6">
        <f t="shared" si="0"/>
        <v>1329</v>
      </c>
      <c r="H11" s="7">
        <f t="shared" si="1"/>
        <v>0.45373847729600547</v>
      </c>
      <c r="I11" s="7" t="str">
        <f t="shared" si="2"/>
        <v>Medium discounted price</v>
      </c>
      <c r="J11" s="7" t="str">
        <f t="shared" si="3"/>
        <v>High discount</v>
      </c>
      <c r="K11" s="6" t="str">
        <f t="shared" si="4"/>
        <v>Average</v>
      </c>
    </row>
    <row r="12" spans="1:13" x14ac:dyDescent="0.25">
      <c r="A12" s="4" t="s">
        <v>14</v>
      </c>
      <c r="B12">
        <v>799</v>
      </c>
      <c r="C12">
        <v>999</v>
      </c>
      <c r="D12" s="3">
        <v>0.2</v>
      </c>
      <c r="E12" s="2">
        <v>12</v>
      </c>
      <c r="F12" s="1">
        <v>4.0999999999999996</v>
      </c>
      <c r="G12" s="6">
        <f t="shared" si="0"/>
        <v>200</v>
      </c>
      <c r="H12" s="7">
        <f t="shared" si="1"/>
        <v>0.20020020020020021</v>
      </c>
      <c r="I12" s="7" t="str">
        <f t="shared" si="2"/>
        <v>Medium discounted price</v>
      </c>
      <c r="J12" s="7" t="str">
        <f t="shared" si="3"/>
        <v>Medium Discount</v>
      </c>
      <c r="K12" s="6" t="str">
        <f t="shared" si="4"/>
        <v>Average</v>
      </c>
    </row>
    <row r="13" spans="1:13" x14ac:dyDescent="0.25">
      <c r="A13" s="4" t="s">
        <v>15</v>
      </c>
      <c r="B13">
        <v>990</v>
      </c>
      <c r="C13">
        <v>1500</v>
      </c>
      <c r="D13" s="3">
        <v>0.34</v>
      </c>
      <c r="E13" s="2">
        <v>39</v>
      </c>
      <c r="F13" s="1">
        <v>4.7</v>
      </c>
      <c r="G13" s="6">
        <f t="shared" si="0"/>
        <v>510</v>
      </c>
      <c r="H13" s="7">
        <f t="shared" si="1"/>
        <v>0.34</v>
      </c>
      <c r="I13" s="7" t="str">
        <f t="shared" si="2"/>
        <v>Medium discounted price</v>
      </c>
      <c r="J13" s="7" t="str">
        <f t="shared" si="3"/>
        <v>Medium Discount</v>
      </c>
      <c r="K13" s="6" t="str">
        <f t="shared" si="4"/>
        <v>Excellent</v>
      </c>
    </row>
    <row r="14" spans="1:13" x14ac:dyDescent="0.25">
      <c r="A14" s="4" t="s">
        <v>16</v>
      </c>
      <c r="B14">
        <v>552</v>
      </c>
      <c r="C14">
        <v>1035</v>
      </c>
      <c r="D14" s="3">
        <v>0.47</v>
      </c>
      <c r="E14" s="2">
        <v>12</v>
      </c>
      <c r="F14" s="1">
        <v>4.8</v>
      </c>
      <c r="G14" s="6">
        <f t="shared" si="0"/>
        <v>483</v>
      </c>
      <c r="H14" s="7">
        <f t="shared" si="1"/>
        <v>0.46666666666666667</v>
      </c>
      <c r="I14" s="7" t="str">
        <f t="shared" si="2"/>
        <v>Medium discounted price</v>
      </c>
      <c r="J14" s="7" t="str">
        <f t="shared" si="3"/>
        <v>High discount</v>
      </c>
      <c r="K14" s="6" t="str">
        <f t="shared" si="4"/>
        <v>Excellent</v>
      </c>
    </row>
    <row r="15" spans="1:13" x14ac:dyDescent="0.25">
      <c r="A15" s="4" t="s">
        <v>17</v>
      </c>
      <c r="B15">
        <v>501</v>
      </c>
      <c r="C15">
        <v>860</v>
      </c>
      <c r="D15" s="3">
        <v>0.42</v>
      </c>
      <c r="E15" s="2">
        <v>6</v>
      </c>
      <c r="F15" s="1">
        <v>4.5</v>
      </c>
      <c r="G15" s="6">
        <f t="shared" si="0"/>
        <v>359</v>
      </c>
      <c r="H15" s="7">
        <f t="shared" si="1"/>
        <v>0.41744186046511628</v>
      </c>
      <c r="I15" s="7" t="str">
        <f t="shared" si="2"/>
        <v>Low discounted price</v>
      </c>
      <c r="J15" s="7" t="str">
        <f t="shared" si="3"/>
        <v>High discount</v>
      </c>
      <c r="K15" s="6" t="str">
        <f t="shared" si="4"/>
        <v>Excellent</v>
      </c>
    </row>
    <row r="16" spans="1:13" x14ac:dyDescent="0.25">
      <c r="A16" s="4" t="s">
        <v>18</v>
      </c>
      <c r="B16">
        <v>1680</v>
      </c>
      <c r="C16">
        <v>2499</v>
      </c>
      <c r="D16" s="3">
        <v>0.33</v>
      </c>
      <c r="E16" s="2">
        <v>9</v>
      </c>
      <c r="F16" s="1">
        <v>4.2</v>
      </c>
      <c r="G16" s="6">
        <f t="shared" si="0"/>
        <v>819</v>
      </c>
      <c r="H16" s="7">
        <f t="shared" si="1"/>
        <v>0.32773109243697479</v>
      </c>
      <c r="I16" s="7" t="str">
        <f t="shared" si="2"/>
        <v>High discounted price</v>
      </c>
      <c r="J16" s="7" t="str">
        <f t="shared" si="3"/>
        <v>Medium Discount</v>
      </c>
      <c r="K16" s="6" t="str">
        <f t="shared" si="4"/>
        <v>Average</v>
      </c>
    </row>
    <row r="17" spans="1:11" x14ac:dyDescent="0.25">
      <c r="A17" s="4" t="s">
        <v>19</v>
      </c>
      <c r="B17">
        <v>332</v>
      </c>
      <c r="C17">
        <v>684</v>
      </c>
      <c r="D17" s="3">
        <v>0.51</v>
      </c>
      <c r="E17" s="2">
        <v>2</v>
      </c>
      <c r="F17" s="1">
        <v>5</v>
      </c>
      <c r="G17" s="6">
        <f t="shared" si="0"/>
        <v>352</v>
      </c>
      <c r="H17" s="7">
        <f t="shared" si="1"/>
        <v>0.51461988304093564</v>
      </c>
      <c r="I17" s="7" t="str">
        <f t="shared" si="2"/>
        <v>Low discounted price</v>
      </c>
      <c r="J17" s="7" t="str">
        <f t="shared" si="3"/>
        <v>High discount</v>
      </c>
      <c r="K17" s="6" t="str">
        <f t="shared" si="4"/>
        <v>Excellent</v>
      </c>
    </row>
    <row r="18" spans="1:11" x14ac:dyDescent="0.25">
      <c r="A18" s="4" t="s">
        <v>20</v>
      </c>
      <c r="B18">
        <v>195</v>
      </c>
      <c r="C18">
        <v>360</v>
      </c>
      <c r="D18" s="3">
        <v>0.46</v>
      </c>
      <c r="E18" s="2">
        <v>2</v>
      </c>
      <c r="F18" s="1">
        <v>5</v>
      </c>
      <c r="G18" s="6">
        <f t="shared" si="0"/>
        <v>165</v>
      </c>
      <c r="H18" s="7">
        <f t="shared" si="1"/>
        <v>0.45833333333333331</v>
      </c>
      <c r="I18" s="7" t="str">
        <f t="shared" si="2"/>
        <v>Low discounted price</v>
      </c>
      <c r="J18" s="7" t="str">
        <f t="shared" si="3"/>
        <v>High discount</v>
      </c>
      <c r="K18" s="6" t="str">
        <f t="shared" si="4"/>
        <v>Excellent</v>
      </c>
    </row>
    <row r="19" spans="1:11" x14ac:dyDescent="0.25">
      <c r="A19" s="4" t="s">
        <v>21</v>
      </c>
      <c r="B19">
        <v>2025</v>
      </c>
      <c r="C19">
        <v>3971</v>
      </c>
      <c r="D19" s="3">
        <v>0.49</v>
      </c>
      <c r="E19" s="2">
        <v>3</v>
      </c>
      <c r="F19" s="1">
        <v>5</v>
      </c>
      <c r="G19" s="6">
        <f t="shared" si="0"/>
        <v>1946</v>
      </c>
      <c r="H19" s="7">
        <f t="shared" si="1"/>
        <v>0.49005288340468395</v>
      </c>
      <c r="I19" s="7" t="str">
        <f t="shared" si="2"/>
        <v>High discounted price</v>
      </c>
      <c r="J19" s="7" t="str">
        <f t="shared" si="3"/>
        <v>High discount</v>
      </c>
      <c r="K19" s="6" t="str">
        <f t="shared" si="4"/>
        <v>Excellent</v>
      </c>
    </row>
    <row r="20" spans="1:11" x14ac:dyDescent="0.25">
      <c r="A20" s="4" t="s">
        <v>22</v>
      </c>
      <c r="B20">
        <v>2999</v>
      </c>
      <c r="C20">
        <v>3699</v>
      </c>
      <c r="D20" s="3">
        <v>0.19</v>
      </c>
      <c r="E20" s="2">
        <v>5</v>
      </c>
      <c r="F20" s="1">
        <v>4.5999999999999996</v>
      </c>
      <c r="G20" s="6">
        <f t="shared" si="0"/>
        <v>700</v>
      </c>
      <c r="H20" s="7">
        <f t="shared" si="1"/>
        <v>0.18924033522573669</v>
      </c>
      <c r="I20" s="7" t="str">
        <f t="shared" si="2"/>
        <v>High discounted price</v>
      </c>
      <c r="J20" s="7" t="str">
        <f t="shared" si="3"/>
        <v>Low Discount</v>
      </c>
      <c r="K20" s="6" t="str">
        <f t="shared" si="4"/>
        <v>Excellent</v>
      </c>
    </row>
    <row r="21" spans="1:11" x14ac:dyDescent="0.25">
      <c r="A21" s="4" t="s">
        <v>23</v>
      </c>
      <c r="B21">
        <v>998</v>
      </c>
      <c r="C21">
        <v>1966</v>
      </c>
      <c r="D21" s="3">
        <v>0.49</v>
      </c>
      <c r="E21" s="2">
        <v>44</v>
      </c>
      <c r="F21" s="1">
        <v>4.5999999999999996</v>
      </c>
      <c r="G21" s="6">
        <f t="shared" si="0"/>
        <v>968</v>
      </c>
      <c r="H21" s="7">
        <f t="shared" si="1"/>
        <v>0.49237029501525942</v>
      </c>
      <c r="I21" s="7" t="str">
        <f t="shared" si="2"/>
        <v>Medium discounted price</v>
      </c>
      <c r="J21" s="7" t="str">
        <f t="shared" si="3"/>
        <v>High discount</v>
      </c>
      <c r="K21" s="6" t="str">
        <f t="shared" si="4"/>
        <v>Excellent</v>
      </c>
    </row>
    <row r="22" spans="1:11" x14ac:dyDescent="0.25">
      <c r="A22" s="4" t="s">
        <v>24</v>
      </c>
      <c r="B22">
        <v>38</v>
      </c>
      <c r="C22">
        <v>80</v>
      </c>
      <c r="D22" s="3">
        <v>0.53</v>
      </c>
      <c r="E22" s="2">
        <v>13</v>
      </c>
      <c r="F22" s="1">
        <v>3.3</v>
      </c>
      <c r="G22" s="6">
        <f t="shared" si="0"/>
        <v>42</v>
      </c>
      <c r="H22" s="7">
        <f t="shared" si="1"/>
        <v>0.52500000000000002</v>
      </c>
      <c r="I22" s="7" t="str">
        <f t="shared" si="2"/>
        <v>Low discounted price</v>
      </c>
      <c r="J22" s="7" t="str">
        <f t="shared" si="3"/>
        <v>High discount</v>
      </c>
      <c r="K22" s="6" t="str">
        <f t="shared" si="4"/>
        <v>Average</v>
      </c>
    </row>
    <row r="23" spans="1:11" x14ac:dyDescent="0.25">
      <c r="A23" s="4" t="s">
        <v>25</v>
      </c>
      <c r="B23">
        <v>1860</v>
      </c>
      <c r="C23">
        <v>3220</v>
      </c>
      <c r="D23" s="3">
        <v>0.42</v>
      </c>
      <c r="E23" s="2">
        <v>0</v>
      </c>
      <c r="F23" s="1" t="s">
        <v>115</v>
      </c>
      <c r="G23" s="6">
        <f t="shared" si="0"/>
        <v>1360</v>
      </c>
      <c r="H23" s="7">
        <f t="shared" si="1"/>
        <v>0.42236024844720499</v>
      </c>
      <c r="I23" s="7" t="str">
        <f t="shared" si="2"/>
        <v>High discounted price</v>
      </c>
      <c r="J23" s="7" t="str">
        <f t="shared" si="3"/>
        <v>High discount</v>
      </c>
      <c r="K23" s="6" t="str">
        <f t="shared" si="4"/>
        <v>Unclassified</v>
      </c>
    </row>
    <row r="24" spans="1:11" x14ac:dyDescent="0.25">
      <c r="A24" s="4" t="s">
        <v>26</v>
      </c>
      <c r="B24">
        <v>880</v>
      </c>
      <c r="C24">
        <v>1350</v>
      </c>
      <c r="D24" s="3">
        <v>0.35</v>
      </c>
      <c r="E24" s="2">
        <v>6</v>
      </c>
      <c r="F24" s="1">
        <v>4</v>
      </c>
      <c r="G24" s="6">
        <f t="shared" si="0"/>
        <v>470</v>
      </c>
      <c r="H24" s="7">
        <f t="shared" si="1"/>
        <v>0.34814814814814815</v>
      </c>
      <c r="I24" s="7" t="str">
        <f t="shared" si="2"/>
        <v>Medium discounted price</v>
      </c>
      <c r="J24" s="7" t="str">
        <f t="shared" si="3"/>
        <v>Medium Discount</v>
      </c>
      <c r="K24" s="6" t="str">
        <f t="shared" si="4"/>
        <v>Average</v>
      </c>
    </row>
    <row r="25" spans="1:11" x14ac:dyDescent="0.25">
      <c r="A25" s="4" t="s">
        <v>27</v>
      </c>
      <c r="B25">
        <v>1650</v>
      </c>
      <c r="C25">
        <v>2150</v>
      </c>
      <c r="D25" s="3">
        <v>0.23</v>
      </c>
      <c r="E25" s="2">
        <v>14</v>
      </c>
      <c r="F25" s="1">
        <v>4.4000000000000004</v>
      </c>
      <c r="G25" s="6">
        <f t="shared" si="0"/>
        <v>500</v>
      </c>
      <c r="H25" s="7">
        <f t="shared" si="1"/>
        <v>0.23255813953488372</v>
      </c>
      <c r="I25" s="7" t="str">
        <f t="shared" si="2"/>
        <v>Medium discounted price</v>
      </c>
      <c r="J25" s="7" t="str">
        <f t="shared" si="3"/>
        <v>Medium Discount</v>
      </c>
      <c r="K25" s="6" t="str">
        <f t="shared" si="4"/>
        <v>Average</v>
      </c>
    </row>
    <row r="26" spans="1:11" x14ac:dyDescent="0.25">
      <c r="A26" s="4" t="s">
        <v>28</v>
      </c>
      <c r="B26">
        <v>2048</v>
      </c>
      <c r="C26">
        <v>4500</v>
      </c>
      <c r="D26" s="3">
        <v>0.54</v>
      </c>
      <c r="E26" s="2">
        <v>7</v>
      </c>
      <c r="F26" s="1">
        <v>4.3</v>
      </c>
      <c r="G26" s="6">
        <f t="shared" si="0"/>
        <v>2452</v>
      </c>
      <c r="H26" s="7">
        <f t="shared" si="1"/>
        <v>0.54488888888888887</v>
      </c>
      <c r="I26" s="7" t="str">
        <f t="shared" si="2"/>
        <v>High discounted price</v>
      </c>
      <c r="J26" s="7" t="str">
        <f t="shared" si="3"/>
        <v>High discount</v>
      </c>
      <c r="K26" s="6" t="str">
        <f t="shared" si="4"/>
        <v>Average</v>
      </c>
    </row>
    <row r="27" spans="1:11" x14ac:dyDescent="0.25">
      <c r="A27" s="4" t="s">
        <v>29</v>
      </c>
      <c r="B27">
        <v>420</v>
      </c>
      <c r="C27">
        <v>647</v>
      </c>
      <c r="D27" s="3">
        <v>0.35</v>
      </c>
      <c r="E27" s="2">
        <v>49</v>
      </c>
      <c r="F27" s="1">
        <v>4.5999999999999996</v>
      </c>
      <c r="G27" s="6">
        <f t="shared" si="0"/>
        <v>227</v>
      </c>
      <c r="H27" s="7">
        <f t="shared" si="1"/>
        <v>0.3508500772797527</v>
      </c>
      <c r="I27" s="7" t="str">
        <f t="shared" si="2"/>
        <v>Low discounted price</v>
      </c>
      <c r="J27" s="7" t="str">
        <f t="shared" si="3"/>
        <v>Medium Discount</v>
      </c>
      <c r="K27" s="6" t="str">
        <f t="shared" si="4"/>
        <v>Excellent</v>
      </c>
    </row>
    <row r="28" spans="1:11" x14ac:dyDescent="0.25">
      <c r="A28" s="4" t="s">
        <v>30</v>
      </c>
      <c r="B28">
        <v>2880</v>
      </c>
      <c r="C28">
        <v>3520</v>
      </c>
      <c r="D28" s="3">
        <v>0.18</v>
      </c>
      <c r="E28" s="2">
        <v>12</v>
      </c>
      <c r="F28" s="1">
        <v>3.8</v>
      </c>
      <c r="G28" s="6">
        <f t="shared" si="0"/>
        <v>640</v>
      </c>
      <c r="H28" s="7">
        <f t="shared" si="1"/>
        <v>0.18181818181818182</v>
      </c>
      <c r="I28" s="7" t="str">
        <f t="shared" si="2"/>
        <v>High discounted price</v>
      </c>
      <c r="J28" s="7" t="str">
        <f t="shared" si="3"/>
        <v>Low Discount</v>
      </c>
      <c r="K28" s="6" t="str">
        <f t="shared" si="4"/>
        <v>Average</v>
      </c>
    </row>
    <row r="29" spans="1:11" x14ac:dyDescent="0.25">
      <c r="A29" s="4" t="s">
        <v>31</v>
      </c>
      <c r="B29">
        <v>1350</v>
      </c>
      <c r="C29">
        <v>1990</v>
      </c>
      <c r="D29" s="3">
        <v>0.32</v>
      </c>
      <c r="E29" s="2">
        <v>13</v>
      </c>
      <c r="F29" s="1">
        <v>3.8</v>
      </c>
      <c r="G29" s="6">
        <f t="shared" si="0"/>
        <v>640</v>
      </c>
      <c r="H29" s="7">
        <f t="shared" si="1"/>
        <v>0.32160804020100503</v>
      </c>
      <c r="I29" s="7" t="str">
        <f t="shared" si="2"/>
        <v>Medium discounted price</v>
      </c>
      <c r="J29" s="7" t="str">
        <f t="shared" si="3"/>
        <v>Medium Discount</v>
      </c>
      <c r="K29" s="6" t="str">
        <f t="shared" si="4"/>
        <v>Average</v>
      </c>
    </row>
    <row r="30" spans="1:11" x14ac:dyDescent="0.25">
      <c r="A30" s="4" t="s">
        <v>32</v>
      </c>
      <c r="B30">
        <v>1758</v>
      </c>
      <c r="C30">
        <v>2499</v>
      </c>
      <c r="D30" s="3">
        <v>0.3</v>
      </c>
      <c r="E30" s="2">
        <v>20</v>
      </c>
      <c r="F30" s="1">
        <v>4.0999999999999996</v>
      </c>
      <c r="G30" s="6">
        <f t="shared" si="0"/>
        <v>741</v>
      </c>
      <c r="H30" s="7">
        <f t="shared" si="1"/>
        <v>0.2965186074429772</v>
      </c>
      <c r="I30" s="7" t="str">
        <f t="shared" si="2"/>
        <v>High discounted price</v>
      </c>
      <c r="J30" s="7" t="str">
        <f t="shared" si="3"/>
        <v>Medium Discount</v>
      </c>
      <c r="K30" s="6" t="str">
        <f t="shared" si="4"/>
        <v>Average</v>
      </c>
    </row>
    <row r="31" spans="1:11" x14ac:dyDescent="0.25">
      <c r="A31" s="4" t="s">
        <v>33</v>
      </c>
      <c r="B31">
        <v>2200</v>
      </c>
      <c r="C31">
        <v>4080</v>
      </c>
      <c r="D31" s="3">
        <v>0.46</v>
      </c>
      <c r="E31" s="2">
        <v>0</v>
      </c>
      <c r="F31" s="1" t="s">
        <v>115</v>
      </c>
      <c r="G31" s="6">
        <f t="shared" si="0"/>
        <v>1880</v>
      </c>
      <c r="H31" s="7">
        <f t="shared" si="1"/>
        <v>0.46078431372549017</v>
      </c>
      <c r="I31" s="7" t="str">
        <f t="shared" si="2"/>
        <v>High discounted price</v>
      </c>
      <c r="J31" s="7" t="str">
        <f t="shared" si="3"/>
        <v>High discount</v>
      </c>
      <c r="K31" s="6" t="str">
        <f t="shared" si="4"/>
        <v>Unclassified</v>
      </c>
    </row>
    <row r="32" spans="1:11" x14ac:dyDescent="0.25">
      <c r="A32" s="4" t="s">
        <v>34</v>
      </c>
      <c r="B32">
        <v>185</v>
      </c>
      <c r="C32">
        <v>382</v>
      </c>
      <c r="D32" s="3">
        <v>0.52</v>
      </c>
      <c r="E32" s="2">
        <v>9</v>
      </c>
      <c r="F32" s="1">
        <v>4.3</v>
      </c>
      <c r="G32" s="6">
        <f t="shared" si="0"/>
        <v>197</v>
      </c>
      <c r="H32" s="7">
        <f t="shared" si="1"/>
        <v>0.51570680628272247</v>
      </c>
      <c r="I32" s="7" t="str">
        <f t="shared" si="2"/>
        <v>Low discounted price</v>
      </c>
      <c r="J32" s="7" t="str">
        <f t="shared" si="3"/>
        <v>High discount</v>
      </c>
      <c r="K32" s="6" t="str">
        <f t="shared" si="4"/>
        <v>Average</v>
      </c>
    </row>
    <row r="33" spans="1:11" x14ac:dyDescent="0.25">
      <c r="A33" s="4" t="s">
        <v>35</v>
      </c>
      <c r="B33">
        <v>980</v>
      </c>
      <c r="C33">
        <v>1490</v>
      </c>
      <c r="D33" s="3">
        <v>0.34</v>
      </c>
      <c r="E33" s="2">
        <v>12</v>
      </c>
      <c r="F33" s="1">
        <v>4.7</v>
      </c>
      <c r="G33" s="6">
        <f t="shared" si="0"/>
        <v>510</v>
      </c>
      <c r="H33" s="7">
        <f t="shared" si="1"/>
        <v>0.34228187919463088</v>
      </c>
      <c r="I33" s="7" t="str">
        <f t="shared" si="2"/>
        <v>Medium discounted price</v>
      </c>
      <c r="J33" s="7" t="str">
        <f t="shared" si="3"/>
        <v>Medium Discount</v>
      </c>
      <c r="K33" s="6" t="str">
        <f t="shared" si="4"/>
        <v>Excellent</v>
      </c>
    </row>
    <row r="34" spans="1:11" x14ac:dyDescent="0.25">
      <c r="A34" s="4" t="s">
        <v>36</v>
      </c>
      <c r="B34">
        <v>1820</v>
      </c>
      <c r="C34">
        <v>3490</v>
      </c>
      <c r="D34" s="3">
        <v>0.48</v>
      </c>
      <c r="E34" s="2">
        <v>9</v>
      </c>
      <c r="F34" s="1">
        <v>4.3</v>
      </c>
      <c r="G34" s="6">
        <f t="shared" si="0"/>
        <v>1670</v>
      </c>
      <c r="H34" s="7">
        <f t="shared" si="1"/>
        <v>0.47851002865329512</v>
      </c>
      <c r="I34" s="7" t="str">
        <f t="shared" si="2"/>
        <v>High discounted price</v>
      </c>
      <c r="J34" s="7" t="str">
        <f t="shared" si="3"/>
        <v>High discount</v>
      </c>
      <c r="K34" s="6" t="str">
        <f t="shared" si="4"/>
        <v>Average</v>
      </c>
    </row>
    <row r="35" spans="1:11" x14ac:dyDescent="0.25">
      <c r="A35" s="4" t="s">
        <v>37</v>
      </c>
      <c r="B35">
        <v>1940</v>
      </c>
      <c r="C35">
        <v>2650</v>
      </c>
      <c r="D35" s="3">
        <v>0.27</v>
      </c>
      <c r="E35" s="2">
        <v>20</v>
      </c>
      <c r="F35" s="1">
        <v>4.7</v>
      </c>
      <c r="G35" s="6">
        <f t="shared" si="0"/>
        <v>710</v>
      </c>
      <c r="H35" s="7">
        <f t="shared" si="1"/>
        <v>0.26792452830188679</v>
      </c>
      <c r="I35" s="7" t="str">
        <f t="shared" si="2"/>
        <v>High discounted price</v>
      </c>
      <c r="J35" s="7" t="str">
        <f t="shared" si="3"/>
        <v>Medium Discount</v>
      </c>
      <c r="K35" s="6" t="str">
        <f t="shared" si="4"/>
        <v>Excellent</v>
      </c>
    </row>
    <row r="36" spans="1:11" x14ac:dyDescent="0.25">
      <c r="A36" s="4" t="s">
        <v>38</v>
      </c>
      <c r="B36">
        <v>1980</v>
      </c>
      <c r="C36">
        <v>2699</v>
      </c>
      <c r="D36" s="3">
        <v>0.27</v>
      </c>
      <c r="E36" s="2">
        <v>32</v>
      </c>
      <c r="F36" s="1">
        <v>4.5</v>
      </c>
      <c r="G36" s="6">
        <f t="shared" si="0"/>
        <v>719</v>
      </c>
      <c r="H36" s="7">
        <f t="shared" si="1"/>
        <v>0.26639496109670247</v>
      </c>
      <c r="I36" s="7" t="str">
        <f t="shared" si="2"/>
        <v>High discounted price</v>
      </c>
      <c r="J36" s="7" t="str">
        <f t="shared" si="3"/>
        <v>Medium Discount</v>
      </c>
      <c r="K36" s="6" t="str">
        <f t="shared" si="4"/>
        <v>Excellent</v>
      </c>
    </row>
    <row r="37" spans="1:11" x14ac:dyDescent="0.25">
      <c r="A37" s="4" t="s">
        <v>39</v>
      </c>
      <c r="B37">
        <v>1620</v>
      </c>
      <c r="C37">
        <v>2690</v>
      </c>
      <c r="D37" s="3">
        <v>0.4</v>
      </c>
      <c r="E37" s="2">
        <v>1</v>
      </c>
      <c r="F37" s="1">
        <v>5</v>
      </c>
      <c r="G37" s="6">
        <f t="shared" si="0"/>
        <v>1070</v>
      </c>
      <c r="H37" s="7">
        <f t="shared" si="1"/>
        <v>0.39776951672862454</v>
      </c>
      <c r="I37" s="7" t="str">
        <f t="shared" si="2"/>
        <v>Medium discounted price</v>
      </c>
      <c r="J37" s="7" t="str">
        <f t="shared" si="3"/>
        <v>Medium Discount</v>
      </c>
      <c r="K37" s="6" t="str">
        <f t="shared" si="4"/>
        <v>Excellent</v>
      </c>
    </row>
    <row r="38" spans="1:11" x14ac:dyDescent="0.25">
      <c r="A38" s="4" t="s">
        <v>40</v>
      </c>
      <c r="B38">
        <v>171</v>
      </c>
      <c r="C38">
        <v>360</v>
      </c>
      <c r="D38" s="3">
        <v>0.53</v>
      </c>
      <c r="E38" s="2">
        <v>2</v>
      </c>
      <c r="F38" s="1">
        <v>5</v>
      </c>
      <c r="G38" s="6">
        <f t="shared" si="0"/>
        <v>189</v>
      </c>
      <c r="H38" s="7">
        <f t="shared" si="1"/>
        <v>0.52500000000000002</v>
      </c>
      <c r="I38" s="7" t="str">
        <f t="shared" si="2"/>
        <v>Low discounted price</v>
      </c>
      <c r="J38" s="7" t="str">
        <f t="shared" si="3"/>
        <v>High discount</v>
      </c>
      <c r="K38" s="6" t="str">
        <f t="shared" si="4"/>
        <v>Excellent</v>
      </c>
    </row>
    <row r="39" spans="1:11" x14ac:dyDescent="0.25">
      <c r="A39" s="4" t="s">
        <v>41</v>
      </c>
      <c r="B39">
        <v>389</v>
      </c>
      <c r="C39">
        <v>656</v>
      </c>
      <c r="D39" s="3">
        <v>0.41</v>
      </c>
      <c r="E39" s="2">
        <v>36</v>
      </c>
      <c r="F39" s="1">
        <v>4.3</v>
      </c>
      <c r="G39" s="6">
        <f t="shared" si="0"/>
        <v>267</v>
      </c>
      <c r="H39" s="7">
        <f t="shared" si="1"/>
        <v>0.40701219512195119</v>
      </c>
      <c r="I39" s="7" t="str">
        <f t="shared" si="2"/>
        <v>Low discounted price</v>
      </c>
      <c r="J39" s="7" t="str">
        <f t="shared" si="3"/>
        <v>High discount</v>
      </c>
      <c r="K39" s="6" t="str">
        <f t="shared" si="4"/>
        <v>Average</v>
      </c>
    </row>
    <row r="40" spans="1:11" x14ac:dyDescent="0.25">
      <c r="A40" s="4" t="s">
        <v>42</v>
      </c>
      <c r="B40" s="11">
        <v>1980</v>
      </c>
      <c r="C40">
        <v>2200</v>
      </c>
      <c r="D40" s="3">
        <v>0.38</v>
      </c>
      <c r="E40" s="2">
        <v>2</v>
      </c>
      <c r="F40" s="1">
        <v>4.5</v>
      </c>
      <c r="G40" s="6">
        <f t="shared" si="0"/>
        <v>220</v>
      </c>
      <c r="H40" s="7">
        <f t="shared" si="1"/>
        <v>0.1</v>
      </c>
      <c r="I40" s="7" t="str">
        <f t="shared" si="2"/>
        <v>High discounted price</v>
      </c>
      <c r="J40" s="7" t="str">
        <f t="shared" si="3"/>
        <v>Low Discount</v>
      </c>
      <c r="K40" s="6" t="str">
        <f t="shared" si="4"/>
        <v>Excellent</v>
      </c>
    </row>
    <row r="41" spans="1:11" x14ac:dyDescent="0.25">
      <c r="A41" s="4" t="s">
        <v>43</v>
      </c>
      <c r="B41">
        <v>2750</v>
      </c>
      <c r="C41">
        <v>4471</v>
      </c>
      <c r="D41" s="3">
        <v>0.38</v>
      </c>
      <c r="E41" s="2">
        <v>0</v>
      </c>
      <c r="F41" s="1" t="s">
        <v>115</v>
      </c>
      <c r="G41" s="6">
        <f t="shared" si="0"/>
        <v>1721</v>
      </c>
      <c r="H41" s="7">
        <f t="shared" si="1"/>
        <v>0.38492507269067322</v>
      </c>
      <c r="I41" s="7" t="str">
        <f t="shared" si="2"/>
        <v>High discounted price</v>
      </c>
      <c r="J41" s="7" t="str">
        <f t="shared" si="3"/>
        <v>Medium Discount</v>
      </c>
      <c r="K41" s="6" t="str">
        <f t="shared" si="4"/>
        <v>Unclassified</v>
      </c>
    </row>
    <row r="42" spans="1:11" x14ac:dyDescent="0.25">
      <c r="A42" s="4" t="s">
        <v>44</v>
      </c>
      <c r="B42">
        <v>475</v>
      </c>
      <c r="C42">
        <v>931</v>
      </c>
      <c r="D42" s="3">
        <v>0.49</v>
      </c>
      <c r="E42" s="2">
        <v>0</v>
      </c>
      <c r="F42" s="1" t="s">
        <v>115</v>
      </c>
      <c r="G42" s="6">
        <f t="shared" si="0"/>
        <v>456</v>
      </c>
      <c r="H42" s="7">
        <f t="shared" si="1"/>
        <v>0.48979591836734693</v>
      </c>
      <c r="I42" s="7" t="str">
        <f t="shared" si="2"/>
        <v>Low discounted price</v>
      </c>
      <c r="J42" s="7" t="str">
        <f t="shared" si="3"/>
        <v>High discount</v>
      </c>
      <c r="K42" s="6" t="str">
        <f t="shared" si="4"/>
        <v>Unclassified</v>
      </c>
    </row>
    <row r="43" spans="1:11" x14ac:dyDescent="0.25">
      <c r="A43" s="4" t="s">
        <v>45</v>
      </c>
      <c r="B43">
        <v>238</v>
      </c>
      <c r="C43">
        <v>476</v>
      </c>
      <c r="D43" s="3">
        <v>0.5</v>
      </c>
      <c r="E43" s="2">
        <v>0</v>
      </c>
      <c r="F43" s="1" t="s">
        <v>115</v>
      </c>
      <c r="G43" s="6">
        <f t="shared" si="0"/>
        <v>238</v>
      </c>
      <c r="H43" s="7">
        <f t="shared" si="1"/>
        <v>0.5</v>
      </c>
      <c r="I43" s="7" t="str">
        <f t="shared" si="2"/>
        <v>Low discounted price</v>
      </c>
      <c r="J43" s="7" t="str">
        <f t="shared" si="3"/>
        <v>High discount</v>
      </c>
      <c r="K43" s="6" t="str">
        <f t="shared" si="4"/>
        <v>Unclassified</v>
      </c>
    </row>
    <row r="44" spans="1:11" x14ac:dyDescent="0.25">
      <c r="A44" s="4" t="s">
        <v>46</v>
      </c>
      <c r="B44">
        <v>610</v>
      </c>
      <c r="C44">
        <v>1060</v>
      </c>
      <c r="D44" s="3">
        <v>0.42</v>
      </c>
      <c r="E44" s="2">
        <v>0</v>
      </c>
      <c r="F44" s="1" t="s">
        <v>115</v>
      </c>
      <c r="G44" s="6">
        <f t="shared" si="0"/>
        <v>450</v>
      </c>
      <c r="H44" s="7">
        <f t="shared" si="1"/>
        <v>0.42452830188679247</v>
      </c>
      <c r="I44" s="7" t="str">
        <f t="shared" si="2"/>
        <v>Medium discounted price</v>
      </c>
      <c r="J44" s="7" t="str">
        <f t="shared" si="3"/>
        <v>High discount</v>
      </c>
      <c r="K44" s="6" t="str">
        <f t="shared" si="4"/>
        <v>Unclassified</v>
      </c>
    </row>
    <row r="45" spans="1:11" x14ac:dyDescent="0.25">
      <c r="A45" s="4" t="s">
        <v>47</v>
      </c>
      <c r="B45">
        <v>2132</v>
      </c>
      <c r="C45">
        <v>2169</v>
      </c>
      <c r="D45" s="3">
        <v>0.02</v>
      </c>
      <c r="E45" s="2">
        <v>0</v>
      </c>
      <c r="F45" s="1" t="s">
        <v>115</v>
      </c>
      <c r="G45" s="6">
        <f t="shared" si="0"/>
        <v>37</v>
      </c>
      <c r="H45" s="7">
        <f t="shared" si="1"/>
        <v>1.705855232826187E-2</v>
      </c>
      <c r="I45" s="7" t="str">
        <f t="shared" si="2"/>
        <v>High discounted price</v>
      </c>
      <c r="J45" s="7" t="str">
        <f t="shared" si="3"/>
        <v>Low Discount</v>
      </c>
      <c r="K45" s="6" t="str">
        <f t="shared" si="4"/>
        <v>Unclassified</v>
      </c>
    </row>
    <row r="46" spans="1:11" x14ac:dyDescent="0.25">
      <c r="A46" s="4" t="s">
        <v>48</v>
      </c>
      <c r="B46">
        <v>999</v>
      </c>
      <c r="C46">
        <v>2000</v>
      </c>
      <c r="D46" s="3">
        <v>0.5</v>
      </c>
      <c r="E46" s="2">
        <v>0</v>
      </c>
      <c r="F46" s="1" t="s">
        <v>115</v>
      </c>
      <c r="G46" s="6">
        <f t="shared" si="0"/>
        <v>1001</v>
      </c>
      <c r="H46" s="7">
        <f t="shared" si="1"/>
        <v>0.50049999999999994</v>
      </c>
      <c r="I46" s="7" t="str">
        <f t="shared" si="2"/>
        <v>Medium discounted price</v>
      </c>
      <c r="J46" s="7" t="str">
        <f t="shared" si="3"/>
        <v>High discount</v>
      </c>
      <c r="K46" s="6" t="str">
        <f t="shared" si="4"/>
        <v>Unclassified</v>
      </c>
    </row>
    <row r="47" spans="1:11" x14ac:dyDescent="0.25">
      <c r="A47" s="4" t="s">
        <v>49</v>
      </c>
      <c r="B47">
        <v>1190</v>
      </c>
      <c r="C47">
        <v>1785</v>
      </c>
      <c r="D47" s="3">
        <v>0.33</v>
      </c>
      <c r="E47" s="2">
        <v>0</v>
      </c>
      <c r="F47" s="1" t="s">
        <v>115</v>
      </c>
      <c r="G47" s="6">
        <f t="shared" si="0"/>
        <v>595</v>
      </c>
      <c r="H47" s="7">
        <f t="shared" si="1"/>
        <v>0.33333333333333331</v>
      </c>
      <c r="I47" s="7" t="str">
        <f t="shared" si="2"/>
        <v>Medium discounted price</v>
      </c>
      <c r="J47" s="7" t="str">
        <f t="shared" si="3"/>
        <v>Medium Discount</v>
      </c>
      <c r="K47" s="6" t="str">
        <f t="shared" si="4"/>
        <v>Unclassified</v>
      </c>
    </row>
    <row r="48" spans="1:11" x14ac:dyDescent="0.25">
      <c r="A48" s="4" t="s">
        <v>50</v>
      </c>
      <c r="B48">
        <v>671</v>
      </c>
      <c r="C48">
        <v>1316</v>
      </c>
      <c r="D48" s="3">
        <v>0.49</v>
      </c>
      <c r="E48" s="2">
        <v>0</v>
      </c>
      <c r="F48" s="1" t="s">
        <v>115</v>
      </c>
      <c r="G48" s="6">
        <f t="shared" si="0"/>
        <v>645</v>
      </c>
      <c r="H48" s="7">
        <f t="shared" si="1"/>
        <v>0.49012158054711247</v>
      </c>
      <c r="I48" s="7" t="str">
        <f t="shared" si="2"/>
        <v>Medium discounted price</v>
      </c>
      <c r="J48" s="7" t="str">
        <f t="shared" si="3"/>
        <v>High discount</v>
      </c>
      <c r="K48" s="6" t="str">
        <f t="shared" si="4"/>
        <v>Unclassified</v>
      </c>
    </row>
    <row r="49" spans="1:11" x14ac:dyDescent="0.25">
      <c r="A49" s="4" t="s">
        <v>51</v>
      </c>
      <c r="B49">
        <v>1200</v>
      </c>
      <c r="C49">
        <v>1950</v>
      </c>
      <c r="D49" s="3">
        <v>0.38</v>
      </c>
      <c r="E49" s="2">
        <v>0</v>
      </c>
      <c r="F49" s="1" t="s">
        <v>115</v>
      </c>
      <c r="G49" s="6">
        <f t="shared" si="0"/>
        <v>750</v>
      </c>
      <c r="H49" s="7">
        <f t="shared" si="1"/>
        <v>0.38461538461538464</v>
      </c>
      <c r="I49" s="7" t="str">
        <f t="shared" si="2"/>
        <v>Medium discounted price</v>
      </c>
      <c r="J49" s="7" t="str">
        <f t="shared" si="3"/>
        <v>Medium Discount</v>
      </c>
      <c r="K49" s="6" t="str">
        <f t="shared" si="4"/>
        <v>Unclassified</v>
      </c>
    </row>
    <row r="50" spans="1:11" x14ac:dyDescent="0.25">
      <c r="A50" s="4" t="s">
        <v>52</v>
      </c>
      <c r="B50">
        <v>199</v>
      </c>
      <c r="C50">
        <v>504</v>
      </c>
      <c r="D50" s="3">
        <v>0.61</v>
      </c>
      <c r="E50" s="2">
        <v>0</v>
      </c>
      <c r="F50" s="1" t="s">
        <v>115</v>
      </c>
      <c r="G50" s="6">
        <f t="shared" si="0"/>
        <v>305</v>
      </c>
      <c r="H50" s="7">
        <f t="shared" si="1"/>
        <v>0.60515873015873012</v>
      </c>
      <c r="I50" s="7" t="str">
        <f t="shared" si="2"/>
        <v>Low discounted price</v>
      </c>
      <c r="J50" s="7" t="str">
        <f t="shared" si="3"/>
        <v>High discount</v>
      </c>
      <c r="K50" s="6" t="str">
        <f t="shared" si="4"/>
        <v>Unclassified</v>
      </c>
    </row>
    <row r="51" spans="1:11" x14ac:dyDescent="0.25">
      <c r="A51" s="4" t="s">
        <v>53</v>
      </c>
      <c r="B51">
        <v>299</v>
      </c>
      <c r="C51">
        <v>600</v>
      </c>
      <c r="D51" s="3">
        <v>0.5</v>
      </c>
      <c r="E51" s="2">
        <v>0</v>
      </c>
      <c r="F51" s="1" t="s">
        <v>115</v>
      </c>
      <c r="G51" s="6">
        <f t="shared" si="0"/>
        <v>301</v>
      </c>
      <c r="H51" s="7">
        <f t="shared" si="1"/>
        <v>0.50166666666666671</v>
      </c>
      <c r="I51" s="7" t="str">
        <f t="shared" si="2"/>
        <v>Low discounted price</v>
      </c>
      <c r="J51" s="7" t="str">
        <f t="shared" si="3"/>
        <v>High discount</v>
      </c>
      <c r="K51" s="6" t="str">
        <f t="shared" si="4"/>
        <v>Unclassified</v>
      </c>
    </row>
    <row r="52" spans="1:11" x14ac:dyDescent="0.25">
      <c r="A52" s="4" t="s">
        <v>54</v>
      </c>
      <c r="B52">
        <v>1660</v>
      </c>
      <c r="C52">
        <v>1699</v>
      </c>
      <c r="D52" s="3">
        <v>0.02</v>
      </c>
      <c r="E52" s="2">
        <v>0</v>
      </c>
      <c r="F52" s="1" t="s">
        <v>115</v>
      </c>
      <c r="G52" s="6">
        <f t="shared" si="0"/>
        <v>39</v>
      </c>
      <c r="H52" s="7">
        <f t="shared" si="1"/>
        <v>2.2954679223072396E-2</v>
      </c>
      <c r="I52" s="7" t="str">
        <f t="shared" si="2"/>
        <v>Medium discounted price</v>
      </c>
      <c r="J52" s="7" t="str">
        <f t="shared" si="3"/>
        <v>Low Discount</v>
      </c>
      <c r="K52" s="6" t="str">
        <f t="shared" si="4"/>
        <v>Unclassified</v>
      </c>
    </row>
    <row r="53" spans="1:11" x14ac:dyDescent="0.25">
      <c r="A53" s="4" t="s">
        <v>55</v>
      </c>
      <c r="B53">
        <v>299</v>
      </c>
      <c r="C53">
        <v>384</v>
      </c>
      <c r="D53" s="3">
        <v>0.22</v>
      </c>
      <c r="E53" s="2">
        <v>0</v>
      </c>
      <c r="F53" s="1" t="s">
        <v>115</v>
      </c>
      <c r="G53" s="6">
        <f t="shared" si="0"/>
        <v>85</v>
      </c>
      <c r="H53" s="7">
        <f t="shared" si="1"/>
        <v>0.22135416666666666</v>
      </c>
      <c r="I53" s="7" t="str">
        <f t="shared" si="2"/>
        <v>Low discounted price</v>
      </c>
      <c r="J53" s="7" t="str">
        <f t="shared" si="3"/>
        <v>Medium Discount</v>
      </c>
      <c r="K53" s="6" t="str">
        <f t="shared" si="4"/>
        <v>Unclassified</v>
      </c>
    </row>
    <row r="54" spans="1:11" x14ac:dyDescent="0.25">
      <c r="A54" s="4" t="s">
        <v>56</v>
      </c>
      <c r="B54">
        <v>1459</v>
      </c>
      <c r="C54">
        <v>1499</v>
      </c>
      <c r="D54" s="3">
        <v>0.03</v>
      </c>
      <c r="E54" s="2">
        <v>0</v>
      </c>
      <c r="F54" s="1" t="s">
        <v>115</v>
      </c>
      <c r="G54" s="6">
        <f t="shared" si="0"/>
        <v>40</v>
      </c>
      <c r="H54" s="7">
        <f t="shared" si="1"/>
        <v>2.6684456304202801E-2</v>
      </c>
      <c r="I54" s="7" t="str">
        <f t="shared" si="2"/>
        <v>Medium discounted price</v>
      </c>
      <c r="J54" s="7" t="str">
        <f t="shared" si="3"/>
        <v>Low Discount</v>
      </c>
      <c r="K54" s="6" t="str">
        <f t="shared" si="4"/>
        <v>Unclassified</v>
      </c>
    </row>
    <row r="55" spans="1:11" x14ac:dyDescent="0.25">
      <c r="A55" s="4" t="s">
        <v>57</v>
      </c>
      <c r="B55">
        <v>799</v>
      </c>
      <c r="C55">
        <v>1343</v>
      </c>
      <c r="D55" s="3">
        <v>0.41</v>
      </c>
      <c r="E55" s="2">
        <v>0</v>
      </c>
      <c r="F55" s="1" t="s">
        <v>115</v>
      </c>
      <c r="G55" s="6">
        <f t="shared" si="0"/>
        <v>544</v>
      </c>
      <c r="H55" s="7">
        <f t="shared" si="1"/>
        <v>0.4050632911392405</v>
      </c>
      <c r="I55" s="7" t="str">
        <f t="shared" si="2"/>
        <v>Medium discounted price</v>
      </c>
      <c r="J55" s="7" t="str">
        <f t="shared" si="3"/>
        <v>High discount</v>
      </c>
      <c r="K55" s="6" t="str">
        <f t="shared" si="4"/>
        <v>Unclassified</v>
      </c>
    </row>
    <row r="56" spans="1:11" x14ac:dyDescent="0.25">
      <c r="A56" s="4" t="s">
        <v>59</v>
      </c>
      <c r="B56">
        <v>699</v>
      </c>
      <c r="C56">
        <v>1343</v>
      </c>
      <c r="D56" s="3">
        <v>0.48</v>
      </c>
      <c r="E56" s="2">
        <v>0</v>
      </c>
      <c r="F56" s="1" t="s">
        <v>115</v>
      </c>
      <c r="G56" s="6">
        <f t="shared" si="0"/>
        <v>644</v>
      </c>
      <c r="H56" s="7">
        <f t="shared" si="1"/>
        <v>0.47952345495160087</v>
      </c>
      <c r="I56" s="7" t="str">
        <f t="shared" si="2"/>
        <v>Medium discounted price</v>
      </c>
      <c r="J56" s="7" t="str">
        <f t="shared" si="3"/>
        <v>High discount</v>
      </c>
      <c r="K56" s="6" t="str">
        <f t="shared" si="4"/>
        <v>Unclassified</v>
      </c>
    </row>
    <row r="57" spans="1:11" x14ac:dyDescent="0.25">
      <c r="A57" s="4" t="s">
        <v>60</v>
      </c>
      <c r="B57">
        <v>799</v>
      </c>
      <c r="C57">
        <v>1567</v>
      </c>
      <c r="D57" s="3">
        <v>0.49</v>
      </c>
      <c r="E57" s="2">
        <v>0</v>
      </c>
      <c r="F57" s="1" t="s">
        <v>115</v>
      </c>
      <c r="G57" s="6">
        <f t="shared" si="0"/>
        <v>768</v>
      </c>
      <c r="H57" s="7">
        <f t="shared" si="1"/>
        <v>0.49010848755583919</v>
      </c>
      <c r="I57" s="7" t="str">
        <f t="shared" si="2"/>
        <v>Medium discounted price</v>
      </c>
      <c r="J57" s="7" t="str">
        <f t="shared" si="3"/>
        <v>High discount</v>
      </c>
      <c r="K57" s="6" t="str">
        <f t="shared" si="4"/>
        <v>Unclassified</v>
      </c>
    </row>
    <row r="58" spans="1:11" x14ac:dyDescent="0.25">
      <c r="A58" s="4" t="s">
        <v>61</v>
      </c>
      <c r="B58">
        <v>2799</v>
      </c>
      <c r="C58">
        <v>3810</v>
      </c>
      <c r="D58" s="3">
        <v>0.27</v>
      </c>
      <c r="E58" s="2">
        <v>0</v>
      </c>
      <c r="F58" s="1" t="s">
        <v>115</v>
      </c>
      <c r="G58" s="6">
        <f t="shared" si="0"/>
        <v>1011</v>
      </c>
      <c r="H58" s="7">
        <f t="shared" si="1"/>
        <v>0.26535433070866143</v>
      </c>
      <c r="I58" s="7" t="str">
        <f t="shared" si="2"/>
        <v>High discounted price</v>
      </c>
      <c r="J58" s="7" t="str">
        <f t="shared" si="3"/>
        <v>Medium Discount</v>
      </c>
      <c r="K58" s="6" t="str">
        <f t="shared" si="4"/>
        <v>Unclassified</v>
      </c>
    </row>
    <row r="59" spans="1:11" x14ac:dyDescent="0.25">
      <c r="A59" s="4" t="s">
        <v>58</v>
      </c>
      <c r="B59">
        <v>399</v>
      </c>
      <c r="C59">
        <v>896</v>
      </c>
      <c r="D59" s="3">
        <v>0.55000000000000004</v>
      </c>
      <c r="E59" s="2">
        <v>0</v>
      </c>
      <c r="F59" s="1" t="s">
        <v>115</v>
      </c>
      <c r="G59" s="6">
        <f t="shared" si="0"/>
        <v>497</v>
      </c>
      <c r="H59" s="7">
        <f t="shared" si="1"/>
        <v>0.5546875</v>
      </c>
      <c r="I59" s="7" t="str">
        <f t="shared" si="2"/>
        <v>Low discounted price</v>
      </c>
      <c r="J59" s="7" t="str">
        <f t="shared" si="3"/>
        <v>High discount</v>
      </c>
      <c r="K59" s="6" t="str">
        <f t="shared" si="4"/>
        <v>Unclassified</v>
      </c>
    </row>
    <row r="60" spans="1:11" x14ac:dyDescent="0.25">
      <c r="A60" s="4" t="s">
        <v>62</v>
      </c>
      <c r="B60">
        <v>2170</v>
      </c>
      <c r="C60">
        <v>2500</v>
      </c>
      <c r="D60" s="3">
        <v>0.13</v>
      </c>
      <c r="E60" s="2">
        <v>6</v>
      </c>
      <c r="F60" s="1">
        <v>2.5</v>
      </c>
      <c r="G60" s="6">
        <f t="shared" si="0"/>
        <v>330</v>
      </c>
      <c r="H60" s="7">
        <f t="shared" si="1"/>
        <v>0.13200000000000001</v>
      </c>
      <c r="I60" s="7" t="str">
        <f t="shared" si="2"/>
        <v>High discounted price</v>
      </c>
      <c r="J60" s="7" t="str">
        <f t="shared" si="3"/>
        <v>Low Discount</v>
      </c>
      <c r="K60" s="6" t="str">
        <f t="shared" si="4"/>
        <v>Poor</v>
      </c>
    </row>
    <row r="61" spans="1:11" x14ac:dyDescent="0.25">
      <c r="A61" s="4" t="s">
        <v>63</v>
      </c>
      <c r="B61">
        <v>458</v>
      </c>
      <c r="C61">
        <v>986</v>
      </c>
      <c r="D61" s="3">
        <v>0.54</v>
      </c>
      <c r="E61" s="2">
        <v>10</v>
      </c>
      <c r="F61" s="1">
        <v>3</v>
      </c>
      <c r="G61" s="6">
        <f t="shared" si="0"/>
        <v>528</v>
      </c>
      <c r="H61" s="7">
        <f t="shared" si="1"/>
        <v>0.53549695740365111</v>
      </c>
      <c r="I61" s="7" t="str">
        <f t="shared" si="2"/>
        <v>Low discounted price</v>
      </c>
      <c r="J61" s="7" t="str">
        <f t="shared" si="3"/>
        <v>High discount</v>
      </c>
      <c r="K61" s="6" t="str">
        <f t="shared" si="4"/>
        <v>Average</v>
      </c>
    </row>
    <row r="62" spans="1:11" x14ac:dyDescent="0.25">
      <c r="A62" s="4" t="s">
        <v>64</v>
      </c>
      <c r="B62">
        <v>2115</v>
      </c>
      <c r="C62">
        <v>4700</v>
      </c>
      <c r="D62" s="3">
        <v>0.55000000000000004</v>
      </c>
      <c r="E62" s="2">
        <v>13</v>
      </c>
      <c r="F62" s="1">
        <v>2.1</v>
      </c>
      <c r="G62" s="6">
        <f t="shared" si="0"/>
        <v>2585</v>
      </c>
      <c r="H62" s="7">
        <f t="shared" si="1"/>
        <v>0.55000000000000004</v>
      </c>
      <c r="I62" s="7" t="str">
        <f t="shared" si="2"/>
        <v>High discounted price</v>
      </c>
      <c r="J62" s="7" t="str">
        <f t="shared" si="3"/>
        <v>High discount</v>
      </c>
      <c r="K62" s="6" t="str">
        <f t="shared" si="4"/>
        <v>Poor</v>
      </c>
    </row>
    <row r="63" spans="1:11" x14ac:dyDescent="0.25">
      <c r="A63" s="4" t="s">
        <v>65</v>
      </c>
      <c r="B63">
        <v>445</v>
      </c>
      <c r="C63">
        <v>873</v>
      </c>
      <c r="D63" s="3">
        <v>0.49</v>
      </c>
      <c r="E63" s="2">
        <v>69</v>
      </c>
      <c r="F63" s="1">
        <v>2.8</v>
      </c>
      <c r="G63" s="6">
        <f t="shared" si="0"/>
        <v>428</v>
      </c>
      <c r="H63" s="7">
        <f t="shared" si="1"/>
        <v>0.49026345933562426</v>
      </c>
      <c r="I63" s="7" t="str">
        <f t="shared" si="2"/>
        <v>Low discounted price</v>
      </c>
      <c r="J63" s="7" t="str">
        <f t="shared" si="3"/>
        <v>High discount</v>
      </c>
      <c r="K63" s="6" t="str">
        <f t="shared" si="4"/>
        <v>Poor</v>
      </c>
    </row>
    <row r="64" spans="1:11" x14ac:dyDescent="0.25">
      <c r="A64" s="4" t="s">
        <v>66</v>
      </c>
      <c r="B64">
        <v>325</v>
      </c>
      <c r="C64">
        <v>680</v>
      </c>
      <c r="D64" s="3">
        <v>0.52</v>
      </c>
      <c r="E64" s="2">
        <v>15</v>
      </c>
      <c r="F64" s="1">
        <v>2.7</v>
      </c>
      <c r="G64" s="6">
        <f t="shared" si="0"/>
        <v>355</v>
      </c>
      <c r="H64" s="7">
        <f t="shared" si="1"/>
        <v>0.5220588235294118</v>
      </c>
      <c r="I64" s="7" t="str">
        <f t="shared" si="2"/>
        <v>Low discounted price</v>
      </c>
      <c r="J64" s="7" t="str">
        <f t="shared" si="3"/>
        <v>High discount</v>
      </c>
      <c r="K64" s="6" t="str">
        <f t="shared" si="4"/>
        <v>Poor</v>
      </c>
    </row>
    <row r="65" spans="1:11" x14ac:dyDescent="0.25">
      <c r="A65" s="4" t="s">
        <v>67</v>
      </c>
      <c r="B65">
        <v>1220</v>
      </c>
      <c r="C65">
        <v>1555</v>
      </c>
      <c r="D65" s="3">
        <v>0.22</v>
      </c>
      <c r="E65" s="2">
        <v>16</v>
      </c>
      <c r="F65" s="1">
        <v>2.9</v>
      </c>
      <c r="G65" s="6">
        <f t="shared" si="0"/>
        <v>335</v>
      </c>
      <c r="H65" s="7">
        <f t="shared" si="1"/>
        <v>0.21543408360128619</v>
      </c>
      <c r="I65" s="7" t="str">
        <f t="shared" si="2"/>
        <v>Medium discounted price</v>
      </c>
      <c r="J65" s="7" t="str">
        <f t="shared" si="3"/>
        <v>Medium Discount</v>
      </c>
      <c r="K65" s="6" t="str">
        <f t="shared" si="4"/>
        <v>Poor</v>
      </c>
    </row>
    <row r="66" spans="1:11" x14ac:dyDescent="0.25">
      <c r="A66" s="4" t="s">
        <v>68</v>
      </c>
      <c r="B66">
        <v>990</v>
      </c>
      <c r="C66">
        <v>1814</v>
      </c>
      <c r="D66" s="3">
        <v>0.45</v>
      </c>
      <c r="E66" s="2">
        <v>6</v>
      </c>
      <c r="F66" s="1">
        <v>2.2000000000000002</v>
      </c>
      <c r="G66" s="6">
        <f t="shared" ref="G66:G110" si="5">C66-B66</f>
        <v>824</v>
      </c>
      <c r="H66" s="7">
        <f t="shared" ref="H66:H110" si="6">G66/C66</f>
        <v>0.45424476295479604</v>
      </c>
      <c r="I66" s="7" t="str">
        <f t="shared" si="2"/>
        <v>Medium discounted price</v>
      </c>
      <c r="J66" s="7" t="str">
        <f t="shared" ref="J66:J110" si="7">IF(H66&lt;0.2,"Low Discount", IF(AND(H66&gt;=0.2,H66&lt;0.4),"Medium Discount",IF(H66&gt;=0.4,"High discount")))</f>
        <v>High discount</v>
      </c>
      <c r="K66" s="6" t="str">
        <f t="shared" ref="K66:K110" si="8">IF(F66="Not Provided","Unclassified",IF(F66&lt;3,"Poor",IF(AND(F66&gt;=3,F66&lt;=4.4),"Average",IF(F66&gt;=4.5,"Excellent"))))</f>
        <v>Poor</v>
      </c>
    </row>
    <row r="67" spans="1:11" x14ac:dyDescent="0.25">
      <c r="A67" s="4" t="s">
        <v>69</v>
      </c>
      <c r="B67">
        <v>1000</v>
      </c>
      <c r="C67">
        <v>2000</v>
      </c>
      <c r="D67" s="3">
        <v>0.5</v>
      </c>
      <c r="E67" s="2">
        <v>7</v>
      </c>
      <c r="F67" s="1">
        <v>2.2999999999999998</v>
      </c>
      <c r="G67" s="6">
        <f t="shared" si="5"/>
        <v>1000</v>
      </c>
      <c r="H67" s="7">
        <f t="shared" si="6"/>
        <v>0.5</v>
      </c>
      <c r="I67" s="7" t="str">
        <f t="shared" ref="I67:I110" si="9">IF(B67&lt;=QUARTILE(B:B,1),"Low discounted price", IF(B67&gt;=QUARTILE(B:B,3),"High discounted price", "Medium discounted price"))</f>
        <v>Medium discounted price</v>
      </c>
      <c r="J67" s="7" t="str">
        <f t="shared" si="7"/>
        <v>High discount</v>
      </c>
      <c r="K67" s="6" t="str">
        <f t="shared" si="8"/>
        <v>Poor</v>
      </c>
    </row>
    <row r="68" spans="1:11" x14ac:dyDescent="0.25">
      <c r="A68" s="4" t="s">
        <v>70</v>
      </c>
      <c r="B68">
        <v>3750</v>
      </c>
      <c r="C68">
        <v>6143</v>
      </c>
      <c r="D68" s="3">
        <v>0.39</v>
      </c>
      <c r="E68" s="2">
        <v>5</v>
      </c>
      <c r="F68" s="1">
        <v>3</v>
      </c>
      <c r="G68" s="6">
        <f t="shared" si="5"/>
        <v>2393</v>
      </c>
      <c r="H68" s="7">
        <f t="shared" si="6"/>
        <v>0.38954908025394758</v>
      </c>
      <c r="I68" s="7" t="str">
        <f t="shared" si="9"/>
        <v>High discounted price</v>
      </c>
      <c r="J68" s="7" t="str">
        <f t="shared" si="7"/>
        <v>Medium Discount</v>
      </c>
      <c r="K68" s="6" t="str">
        <f t="shared" si="8"/>
        <v>Average</v>
      </c>
    </row>
    <row r="69" spans="1:11" x14ac:dyDescent="0.25">
      <c r="A69" s="4" t="s">
        <v>71</v>
      </c>
      <c r="B69">
        <v>382</v>
      </c>
      <c r="C69">
        <v>700</v>
      </c>
      <c r="D69" s="3">
        <v>0.45</v>
      </c>
      <c r="E69" s="2">
        <v>17</v>
      </c>
      <c r="F69" s="1">
        <v>2.6</v>
      </c>
      <c r="G69" s="6">
        <f t="shared" si="5"/>
        <v>318</v>
      </c>
      <c r="H69" s="7">
        <f t="shared" si="6"/>
        <v>0.45428571428571429</v>
      </c>
      <c r="I69" s="7" t="str">
        <f t="shared" si="9"/>
        <v>Low discounted price</v>
      </c>
      <c r="J69" s="7" t="str">
        <f t="shared" si="7"/>
        <v>High discount</v>
      </c>
      <c r="K69" s="6" t="str">
        <f t="shared" si="8"/>
        <v>Poor</v>
      </c>
    </row>
    <row r="70" spans="1:11" x14ac:dyDescent="0.25">
      <c r="A70" s="4" t="s">
        <v>72</v>
      </c>
      <c r="B70">
        <v>2300</v>
      </c>
      <c r="C70">
        <v>3240</v>
      </c>
      <c r="D70" s="3">
        <v>0.28999999999999998</v>
      </c>
      <c r="E70" s="2">
        <v>5</v>
      </c>
      <c r="F70" s="1">
        <v>3</v>
      </c>
      <c r="G70" s="6">
        <f t="shared" si="5"/>
        <v>940</v>
      </c>
      <c r="H70" s="7">
        <f t="shared" si="6"/>
        <v>0.29012345679012347</v>
      </c>
      <c r="I70" s="7" t="str">
        <f t="shared" si="9"/>
        <v>High discounted price</v>
      </c>
      <c r="J70" s="7" t="str">
        <f t="shared" si="7"/>
        <v>Medium Discount</v>
      </c>
      <c r="K70" s="6" t="str">
        <f t="shared" si="8"/>
        <v>Average</v>
      </c>
    </row>
    <row r="71" spans="1:11" x14ac:dyDescent="0.25">
      <c r="A71" s="4" t="s">
        <v>73</v>
      </c>
      <c r="B71">
        <v>345</v>
      </c>
      <c r="C71">
        <v>602</v>
      </c>
      <c r="D71" s="3">
        <v>0.43</v>
      </c>
      <c r="E71" s="2">
        <v>6</v>
      </c>
      <c r="F71" s="1">
        <v>2.2999999999999998</v>
      </c>
      <c r="G71" s="6">
        <f t="shared" si="5"/>
        <v>257</v>
      </c>
      <c r="H71" s="7">
        <f t="shared" si="6"/>
        <v>0.42691029900332228</v>
      </c>
      <c r="I71" s="7" t="str">
        <f t="shared" si="9"/>
        <v>Low discounted price</v>
      </c>
      <c r="J71" s="7" t="str">
        <f t="shared" si="7"/>
        <v>High discount</v>
      </c>
      <c r="K71" s="6" t="str">
        <f t="shared" si="8"/>
        <v>Poor</v>
      </c>
    </row>
    <row r="72" spans="1:11" x14ac:dyDescent="0.25">
      <c r="A72" s="4" t="s">
        <v>74</v>
      </c>
      <c r="B72">
        <v>509</v>
      </c>
      <c r="C72">
        <v>899</v>
      </c>
      <c r="D72" s="3">
        <v>0.43</v>
      </c>
      <c r="E72" s="2">
        <v>5</v>
      </c>
      <c r="F72" s="1">
        <v>3</v>
      </c>
      <c r="G72" s="6">
        <f t="shared" si="5"/>
        <v>390</v>
      </c>
      <c r="H72" s="7">
        <f t="shared" si="6"/>
        <v>0.43381535038932145</v>
      </c>
      <c r="I72" s="7" t="str">
        <f t="shared" si="9"/>
        <v>Medium discounted price</v>
      </c>
      <c r="J72" s="7" t="str">
        <f t="shared" si="7"/>
        <v>High discount</v>
      </c>
      <c r="K72" s="6" t="str">
        <f t="shared" si="8"/>
        <v>Average</v>
      </c>
    </row>
    <row r="73" spans="1:11" x14ac:dyDescent="0.25">
      <c r="A73" s="4" t="s">
        <v>75</v>
      </c>
      <c r="B73">
        <v>968</v>
      </c>
      <c r="C73">
        <v>1814</v>
      </c>
      <c r="D73" s="3">
        <v>0.47</v>
      </c>
      <c r="E73" s="2">
        <v>6</v>
      </c>
      <c r="F73" s="1">
        <v>2.2000000000000002</v>
      </c>
      <c r="G73" s="6">
        <f t="shared" si="5"/>
        <v>846</v>
      </c>
      <c r="H73" s="7">
        <f t="shared" si="6"/>
        <v>0.46637265711135611</v>
      </c>
      <c r="I73" s="7" t="str">
        <f t="shared" si="9"/>
        <v>Medium discounted price</v>
      </c>
      <c r="J73" s="7" t="str">
        <f t="shared" si="7"/>
        <v>High discount</v>
      </c>
      <c r="K73" s="6" t="str">
        <f t="shared" si="8"/>
        <v>Poor</v>
      </c>
    </row>
    <row r="74" spans="1:11" x14ac:dyDescent="0.25">
      <c r="A74" s="4" t="s">
        <v>76</v>
      </c>
      <c r="B74">
        <v>1570</v>
      </c>
      <c r="C74">
        <v>2988</v>
      </c>
      <c r="D74" s="3">
        <v>0.47</v>
      </c>
      <c r="E74" s="2">
        <v>7</v>
      </c>
      <c r="F74" s="1">
        <v>2.1</v>
      </c>
      <c r="G74" s="6">
        <f t="shared" si="5"/>
        <v>1418</v>
      </c>
      <c r="H74" s="7">
        <f t="shared" si="6"/>
        <v>0.4745649263721553</v>
      </c>
      <c r="I74" s="7" t="str">
        <f t="shared" si="9"/>
        <v>Medium discounted price</v>
      </c>
      <c r="J74" s="7" t="str">
        <f t="shared" si="7"/>
        <v>High discount</v>
      </c>
      <c r="K74" s="6" t="str">
        <f t="shared" si="8"/>
        <v>Poor</v>
      </c>
    </row>
    <row r="75" spans="1:11" x14ac:dyDescent="0.25">
      <c r="A75" s="4" t="s">
        <v>77</v>
      </c>
      <c r="B75">
        <v>790</v>
      </c>
      <c r="C75">
        <v>1485</v>
      </c>
      <c r="D75" s="3">
        <v>0.47</v>
      </c>
      <c r="E75" s="2">
        <v>0</v>
      </c>
      <c r="F75" s="1" t="s">
        <v>115</v>
      </c>
      <c r="G75" s="6">
        <f t="shared" si="5"/>
        <v>695</v>
      </c>
      <c r="H75" s="7">
        <f t="shared" si="6"/>
        <v>0.46801346801346799</v>
      </c>
      <c r="I75" s="7" t="str">
        <f t="shared" si="9"/>
        <v>Medium discounted price</v>
      </c>
      <c r="J75" s="7" t="str">
        <f t="shared" si="7"/>
        <v>High discount</v>
      </c>
      <c r="K75" s="6" t="str">
        <f t="shared" si="8"/>
        <v>Unclassified</v>
      </c>
    </row>
    <row r="76" spans="1:11" x14ac:dyDescent="0.25">
      <c r="A76" s="4" t="s">
        <v>78</v>
      </c>
      <c r="B76">
        <v>690</v>
      </c>
      <c r="C76">
        <v>1200</v>
      </c>
      <c r="D76" s="3">
        <v>0.43</v>
      </c>
      <c r="E76" s="2">
        <v>0</v>
      </c>
      <c r="F76" s="1" t="s">
        <v>115</v>
      </c>
      <c r="G76" s="6">
        <f t="shared" si="5"/>
        <v>510</v>
      </c>
      <c r="H76" s="7">
        <f t="shared" si="6"/>
        <v>0.42499999999999999</v>
      </c>
      <c r="I76" s="7" t="str">
        <f t="shared" si="9"/>
        <v>Medium discounted price</v>
      </c>
      <c r="J76" s="7" t="str">
        <f t="shared" si="7"/>
        <v>High discount</v>
      </c>
      <c r="K76" s="6" t="str">
        <f t="shared" si="8"/>
        <v>Unclassified</v>
      </c>
    </row>
    <row r="77" spans="1:11" x14ac:dyDescent="0.25">
      <c r="A77" s="4" t="s">
        <v>79</v>
      </c>
      <c r="B77">
        <v>1732</v>
      </c>
      <c r="C77">
        <v>1799</v>
      </c>
      <c r="D77" s="3">
        <v>0.04</v>
      </c>
      <c r="E77" s="2">
        <v>0</v>
      </c>
      <c r="F77" s="1" t="s">
        <v>115</v>
      </c>
      <c r="G77" s="6">
        <f t="shared" si="5"/>
        <v>67</v>
      </c>
      <c r="H77" s="7">
        <f t="shared" si="6"/>
        <v>3.7242912729294052E-2</v>
      </c>
      <c r="I77" s="7" t="str">
        <f t="shared" si="9"/>
        <v>High discounted price</v>
      </c>
      <c r="J77" s="7" t="str">
        <f t="shared" si="7"/>
        <v>Low Discount</v>
      </c>
      <c r="K77" s="6" t="str">
        <f t="shared" si="8"/>
        <v>Unclassified</v>
      </c>
    </row>
    <row r="78" spans="1:11" x14ac:dyDescent="0.25">
      <c r="A78" s="4" t="s">
        <v>80</v>
      </c>
      <c r="B78">
        <v>230</v>
      </c>
      <c r="C78">
        <v>450</v>
      </c>
      <c r="D78" s="3">
        <v>0.49</v>
      </c>
      <c r="E78" s="2">
        <v>0</v>
      </c>
      <c r="F78" s="1" t="s">
        <v>115</v>
      </c>
      <c r="G78" s="6">
        <f t="shared" si="5"/>
        <v>220</v>
      </c>
      <c r="H78" s="7">
        <f t="shared" si="6"/>
        <v>0.48888888888888887</v>
      </c>
      <c r="I78" s="7" t="str">
        <f t="shared" si="9"/>
        <v>Low discounted price</v>
      </c>
      <c r="J78" s="7" t="str">
        <f t="shared" si="7"/>
        <v>High discount</v>
      </c>
      <c r="K78" s="6" t="str">
        <f t="shared" si="8"/>
        <v>Unclassified</v>
      </c>
    </row>
    <row r="79" spans="1:11" x14ac:dyDescent="0.25">
      <c r="A79" s="4" t="s">
        <v>81</v>
      </c>
      <c r="B79">
        <v>1189</v>
      </c>
      <c r="C79">
        <v>2199</v>
      </c>
      <c r="D79" s="3">
        <v>0.46</v>
      </c>
      <c r="E79" s="2">
        <v>1</v>
      </c>
      <c r="F79" s="1">
        <v>3</v>
      </c>
      <c r="G79" s="6">
        <f t="shared" si="5"/>
        <v>1010</v>
      </c>
      <c r="H79" s="7">
        <f t="shared" si="6"/>
        <v>0.45929968167348795</v>
      </c>
      <c r="I79" s="7" t="str">
        <f t="shared" si="9"/>
        <v>Medium discounted price</v>
      </c>
      <c r="J79" s="7" t="str">
        <f t="shared" si="7"/>
        <v>High discount</v>
      </c>
      <c r="K79" s="6" t="str">
        <f t="shared" si="8"/>
        <v>Average</v>
      </c>
    </row>
    <row r="80" spans="1:11" x14ac:dyDescent="0.25">
      <c r="A80" s="4" t="s">
        <v>82</v>
      </c>
      <c r="B80">
        <v>979</v>
      </c>
      <c r="C80">
        <v>1920</v>
      </c>
      <c r="D80" s="3">
        <v>0.49</v>
      </c>
      <c r="E80" s="2">
        <v>1</v>
      </c>
      <c r="F80" s="1">
        <v>5</v>
      </c>
      <c r="G80" s="6">
        <f t="shared" si="5"/>
        <v>941</v>
      </c>
      <c r="H80" s="7">
        <f t="shared" si="6"/>
        <v>0.49010416666666667</v>
      </c>
      <c r="I80" s="7" t="str">
        <f t="shared" si="9"/>
        <v>Medium discounted price</v>
      </c>
      <c r="J80" s="7" t="str">
        <f t="shared" si="7"/>
        <v>High discount</v>
      </c>
      <c r="K80" s="6" t="str">
        <f t="shared" si="8"/>
        <v>Excellent</v>
      </c>
    </row>
    <row r="81" spans="1:11" x14ac:dyDescent="0.25">
      <c r="A81" s="4" t="s">
        <v>83</v>
      </c>
      <c r="B81">
        <v>1460</v>
      </c>
      <c r="C81">
        <v>2290</v>
      </c>
      <c r="D81" s="3">
        <v>0.36</v>
      </c>
      <c r="E81" s="2">
        <v>0</v>
      </c>
      <c r="F81" s="1" t="s">
        <v>115</v>
      </c>
      <c r="G81" s="6">
        <f t="shared" si="5"/>
        <v>830</v>
      </c>
      <c r="H81" s="7">
        <f t="shared" si="6"/>
        <v>0.36244541484716158</v>
      </c>
      <c r="I81" s="7" t="str">
        <f t="shared" si="9"/>
        <v>Medium discounted price</v>
      </c>
      <c r="J81" s="7" t="str">
        <f t="shared" si="7"/>
        <v>Medium Discount</v>
      </c>
      <c r="K81" s="6" t="str">
        <f t="shared" si="8"/>
        <v>Unclassified</v>
      </c>
    </row>
    <row r="82" spans="1:11" x14ac:dyDescent="0.25">
      <c r="A82" s="4" t="s">
        <v>84</v>
      </c>
      <c r="B82">
        <v>1666</v>
      </c>
      <c r="C82">
        <v>1699</v>
      </c>
      <c r="D82" s="3">
        <v>0.02</v>
      </c>
      <c r="E82" s="2">
        <v>0</v>
      </c>
      <c r="F82" s="1" t="s">
        <v>115</v>
      </c>
      <c r="G82" s="6">
        <f t="shared" si="5"/>
        <v>33</v>
      </c>
      <c r="H82" s="7">
        <f t="shared" si="6"/>
        <v>1.9423190111830489E-2</v>
      </c>
      <c r="I82" s="7" t="str">
        <f t="shared" si="9"/>
        <v>Medium discounted price</v>
      </c>
      <c r="J82" s="7" t="str">
        <f t="shared" si="7"/>
        <v>Low Discount</v>
      </c>
      <c r="K82" s="6" t="str">
        <f t="shared" si="8"/>
        <v>Unclassified</v>
      </c>
    </row>
    <row r="83" spans="1:11" x14ac:dyDescent="0.25">
      <c r="A83" s="4" t="s">
        <v>85</v>
      </c>
      <c r="B83">
        <v>330</v>
      </c>
      <c r="C83">
        <v>647</v>
      </c>
      <c r="D83" s="3">
        <v>0.49</v>
      </c>
      <c r="E83" s="2">
        <v>1</v>
      </c>
      <c r="F83" s="1">
        <v>4</v>
      </c>
      <c r="G83" s="6">
        <f t="shared" si="5"/>
        <v>317</v>
      </c>
      <c r="H83" s="7">
        <f t="shared" si="6"/>
        <v>0.48995363214837712</v>
      </c>
      <c r="I83" s="7" t="str">
        <f t="shared" si="9"/>
        <v>Low discounted price</v>
      </c>
      <c r="J83" s="7" t="str">
        <f t="shared" si="7"/>
        <v>High discount</v>
      </c>
      <c r="K83" s="6" t="str">
        <f t="shared" si="8"/>
        <v>Average</v>
      </c>
    </row>
    <row r="84" spans="1:11" x14ac:dyDescent="0.25">
      <c r="A84" s="4" t="s">
        <v>86</v>
      </c>
      <c r="B84">
        <v>1466</v>
      </c>
      <c r="C84">
        <v>1699</v>
      </c>
      <c r="D84" s="3">
        <v>0.14000000000000001</v>
      </c>
      <c r="E84" s="2">
        <v>0</v>
      </c>
      <c r="F84" s="1" t="s">
        <v>115</v>
      </c>
      <c r="G84" s="6">
        <f t="shared" si="5"/>
        <v>233</v>
      </c>
      <c r="H84" s="7">
        <f t="shared" si="6"/>
        <v>0.13713949381989404</v>
      </c>
      <c r="I84" s="7" t="str">
        <f t="shared" si="9"/>
        <v>Medium discounted price</v>
      </c>
      <c r="J84" s="7" t="str">
        <f t="shared" si="7"/>
        <v>Low Discount</v>
      </c>
      <c r="K84" s="6" t="str">
        <f t="shared" si="8"/>
        <v>Unclassified</v>
      </c>
    </row>
    <row r="85" spans="1:11" x14ac:dyDescent="0.25">
      <c r="A85" s="4" t="s">
        <v>87</v>
      </c>
      <c r="B85">
        <v>274</v>
      </c>
      <c r="C85">
        <v>537</v>
      </c>
      <c r="D85" s="3">
        <v>0.49</v>
      </c>
      <c r="E85" s="2">
        <v>0</v>
      </c>
      <c r="F85" s="1" t="s">
        <v>115</v>
      </c>
      <c r="G85" s="6">
        <f t="shared" si="5"/>
        <v>263</v>
      </c>
      <c r="H85" s="7">
        <f t="shared" si="6"/>
        <v>0.48975791433891991</v>
      </c>
      <c r="I85" s="7" t="str">
        <f t="shared" si="9"/>
        <v>Low discounted price</v>
      </c>
      <c r="J85" s="7" t="str">
        <f t="shared" si="7"/>
        <v>High discount</v>
      </c>
      <c r="K85" s="6" t="str">
        <f t="shared" si="8"/>
        <v>Unclassified</v>
      </c>
    </row>
    <row r="86" spans="1:11" x14ac:dyDescent="0.25">
      <c r="A86" s="4" t="s">
        <v>88</v>
      </c>
      <c r="B86">
        <v>799</v>
      </c>
      <c r="C86">
        <v>900</v>
      </c>
      <c r="D86" s="3">
        <v>0.11</v>
      </c>
      <c r="E86" s="2">
        <v>0</v>
      </c>
      <c r="F86" s="1" t="s">
        <v>115</v>
      </c>
      <c r="G86" s="6">
        <f t="shared" si="5"/>
        <v>101</v>
      </c>
      <c r="H86" s="7">
        <f t="shared" si="6"/>
        <v>0.11222222222222222</v>
      </c>
      <c r="I86" s="7" t="str">
        <f t="shared" si="9"/>
        <v>Medium discounted price</v>
      </c>
      <c r="J86" s="7" t="str">
        <f t="shared" si="7"/>
        <v>Low Discount</v>
      </c>
      <c r="K86" s="6" t="str">
        <f t="shared" si="8"/>
        <v>Unclassified</v>
      </c>
    </row>
    <row r="87" spans="1:11" x14ac:dyDescent="0.25">
      <c r="A87" s="4" t="s">
        <v>89</v>
      </c>
      <c r="B87">
        <v>1468</v>
      </c>
      <c r="C87">
        <v>1699</v>
      </c>
      <c r="D87" s="3">
        <v>0.14000000000000001</v>
      </c>
      <c r="E87" s="2">
        <v>0</v>
      </c>
      <c r="F87" s="1" t="s">
        <v>115</v>
      </c>
      <c r="G87" s="6">
        <f t="shared" si="5"/>
        <v>231</v>
      </c>
      <c r="H87" s="7">
        <f t="shared" si="6"/>
        <v>0.13596233078281342</v>
      </c>
      <c r="I87" s="7" t="str">
        <f t="shared" si="9"/>
        <v>Medium discounted price</v>
      </c>
      <c r="J87" s="7" t="str">
        <f t="shared" si="7"/>
        <v>Low Discount</v>
      </c>
      <c r="K87" s="6" t="str">
        <f t="shared" si="8"/>
        <v>Unclassified</v>
      </c>
    </row>
    <row r="88" spans="1:11" x14ac:dyDescent="0.25">
      <c r="A88" s="4" t="s">
        <v>90</v>
      </c>
      <c r="B88">
        <v>630</v>
      </c>
      <c r="C88">
        <v>1100</v>
      </c>
      <c r="D88" s="3">
        <v>0.43</v>
      </c>
      <c r="E88" s="2">
        <v>0</v>
      </c>
      <c r="F88" s="1" t="s">
        <v>115</v>
      </c>
      <c r="G88" s="6">
        <f t="shared" si="5"/>
        <v>470</v>
      </c>
      <c r="H88" s="7">
        <f t="shared" si="6"/>
        <v>0.42727272727272725</v>
      </c>
      <c r="I88" s="7" t="str">
        <f t="shared" si="9"/>
        <v>Medium discounted price</v>
      </c>
      <c r="J88" s="7" t="str">
        <f t="shared" si="7"/>
        <v>High discount</v>
      </c>
      <c r="K88" s="6" t="str">
        <f t="shared" si="8"/>
        <v>Unclassified</v>
      </c>
    </row>
    <row r="89" spans="1:11" x14ac:dyDescent="0.25">
      <c r="A89" s="4" t="s">
        <v>91</v>
      </c>
      <c r="B89">
        <v>850</v>
      </c>
      <c r="C89">
        <v>1700</v>
      </c>
      <c r="D89" s="3">
        <v>0.5</v>
      </c>
      <c r="E89" s="2">
        <v>0</v>
      </c>
      <c r="F89" s="1" t="s">
        <v>115</v>
      </c>
      <c r="G89" s="6">
        <f t="shared" si="5"/>
        <v>850</v>
      </c>
      <c r="H89" s="7">
        <f t="shared" si="6"/>
        <v>0.5</v>
      </c>
      <c r="I89" s="7" t="str">
        <f t="shared" si="9"/>
        <v>Medium discounted price</v>
      </c>
      <c r="J89" s="7" t="str">
        <f t="shared" si="7"/>
        <v>High discount</v>
      </c>
      <c r="K89" s="6" t="str">
        <f t="shared" si="8"/>
        <v>Unclassified</v>
      </c>
    </row>
    <row r="90" spans="1:11" x14ac:dyDescent="0.25">
      <c r="A90" s="4" t="s">
        <v>92</v>
      </c>
      <c r="B90">
        <v>1300</v>
      </c>
      <c r="C90">
        <v>2500</v>
      </c>
      <c r="D90" s="3">
        <v>0.48</v>
      </c>
      <c r="E90" s="2">
        <v>0</v>
      </c>
      <c r="F90" s="1" t="s">
        <v>115</v>
      </c>
      <c r="G90" s="6">
        <f t="shared" si="5"/>
        <v>1200</v>
      </c>
      <c r="H90" s="7">
        <f t="shared" si="6"/>
        <v>0.48</v>
      </c>
      <c r="I90" s="7" t="str">
        <f t="shared" si="9"/>
        <v>Medium discounted price</v>
      </c>
      <c r="J90" s="7" t="str">
        <f t="shared" si="7"/>
        <v>High discount</v>
      </c>
      <c r="K90" s="6" t="str">
        <f t="shared" si="8"/>
        <v>Unclassified</v>
      </c>
    </row>
    <row r="91" spans="1:11" x14ac:dyDescent="0.25">
      <c r="A91" s="4" t="s">
        <v>93</v>
      </c>
      <c r="B91">
        <v>105</v>
      </c>
      <c r="C91">
        <v>200</v>
      </c>
      <c r="D91" s="3">
        <v>0.48</v>
      </c>
      <c r="E91" s="2">
        <v>0</v>
      </c>
      <c r="F91" s="1" t="s">
        <v>115</v>
      </c>
      <c r="G91" s="6">
        <f t="shared" si="5"/>
        <v>95</v>
      </c>
      <c r="H91" s="7">
        <f t="shared" si="6"/>
        <v>0.47499999999999998</v>
      </c>
      <c r="I91" s="7" t="str">
        <f t="shared" si="9"/>
        <v>Low discounted price</v>
      </c>
      <c r="J91" s="7" t="str">
        <f t="shared" si="7"/>
        <v>High discount</v>
      </c>
      <c r="K91" s="6" t="str">
        <f t="shared" si="8"/>
        <v>Unclassified</v>
      </c>
    </row>
    <row r="92" spans="1:11" x14ac:dyDescent="0.25">
      <c r="A92" s="4" t="s">
        <v>94</v>
      </c>
      <c r="B92">
        <v>899</v>
      </c>
      <c r="C92">
        <v>1699</v>
      </c>
      <c r="D92" s="3">
        <v>0.47</v>
      </c>
      <c r="E92" s="2">
        <v>0</v>
      </c>
      <c r="F92" s="1" t="s">
        <v>115</v>
      </c>
      <c r="G92" s="6">
        <f t="shared" si="5"/>
        <v>800</v>
      </c>
      <c r="H92" s="7">
        <f t="shared" si="6"/>
        <v>0.47086521483225424</v>
      </c>
      <c r="I92" s="7" t="str">
        <f t="shared" si="9"/>
        <v>Medium discounted price</v>
      </c>
      <c r="J92" s="7" t="str">
        <f t="shared" si="7"/>
        <v>High discount</v>
      </c>
      <c r="K92" s="6" t="str">
        <f t="shared" si="8"/>
        <v>Unclassified</v>
      </c>
    </row>
    <row r="93" spans="1:11" x14ac:dyDescent="0.25">
      <c r="A93" s="4" t="s">
        <v>95</v>
      </c>
      <c r="B93">
        <v>1200</v>
      </c>
      <c r="C93">
        <v>2400</v>
      </c>
      <c r="D93" s="3">
        <v>0.5</v>
      </c>
      <c r="E93" s="2">
        <v>0</v>
      </c>
      <c r="F93" s="1" t="s">
        <v>115</v>
      </c>
      <c r="G93" s="6">
        <f t="shared" si="5"/>
        <v>1200</v>
      </c>
      <c r="H93" s="7">
        <f t="shared" si="6"/>
        <v>0.5</v>
      </c>
      <c r="I93" s="7" t="str">
        <f t="shared" si="9"/>
        <v>Medium discounted price</v>
      </c>
      <c r="J93" s="7" t="str">
        <f t="shared" si="7"/>
        <v>High discount</v>
      </c>
      <c r="K93" s="6" t="str">
        <f t="shared" si="8"/>
        <v>Unclassified</v>
      </c>
    </row>
    <row r="94" spans="1:11" x14ac:dyDescent="0.25">
      <c r="A94" s="4" t="s">
        <v>96</v>
      </c>
      <c r="B94">
        <v>1526</v>
      </c>
      <c r="C94">
        <v>1660</v>
      </c>
      <c r="D94" s="3">
        <v>0.08</v>
      </c>
      <c r="E94" s="2">
        <v>0</v>
      </c>
      <c r="F94" s="1" t="s">
        <v>115</v>
      </c>
      <c r="G94" s="6">
        <f t="shared" si="5"/>
        <v>134</v>
      </c>
      <c r="H94" s="7">
        <f t="shared" si="6"/>
        <v>8.0722891566265054E-2</v>
      </c>
      <c r="I94" s="7" t="str">
        <f t="shared" si="9"/>
        <v>Medium discounted price</v>
      </c>
      <c r="J94" s="7" t="str">
        <f t="shared" si="7"/>
        <v>Low Discount</v>
      </c>
      <c r="K94" s="6" t="str">
        <f t="shared" si="8"/>
        <v>Unclassified</v>
      </c>
    </row>
    <row r="95" spans="1:11" x14ac:dyDescent="0.25">
      <c r="A95" s="4" t="s">
        <v>97</v>
      </c>
      <c r="B95">
        <v>1462</v>
      </c>
      <c r="C95">
        <v>1499</v>
      </c>
      <c r="D95" s="3">
        <v>0.02</v>
      </c>
      <c r="E95" s="2">
        <v>0</v>
      </c>
      <c r="F95" s="1" t="s">
        <v>115</v>
      </c>
      <c r="G95" s="6">
        <f t="shared" si="5"/>
        <v>37</v>
      </c>
      <c r="H95" s="7">
        <f t="shared" si="6"/>
        <v>2.4683122081387593E-2</v>
      </c>
      <c r="I95" s="7" t="str">
        <f t="shared" si="9"/>
        <v>Medium discounted price</v>
      </c>
      <c r="J95" s="7" t="str">
        <f t="shared" si="7"/>
        <v>Low Discount</v>
      </c>
      <c r="K95" s="6" t="str">
        <f t="shared" si="8"/>
        <v>Unclassified</v>
      </c>
    </row>
    <row r="96" spans="1:11" x14ac:dyDescent="0.25">
      <c r="A96" s="4" t="s">
        <v>98</v>
      </c>
      <c r="B96">
        <v>248</v>
      </c>
      <c r="C96">
        <v>486</v>
      </c>
      <c r="D96" s="3">
        <v>0.49</v>
      </c>
      <c r="E96" s="2">
        <v>0</v>
      </c>
      <c r="F96" s="1" t="s">
        <v>115</v>
      </c>
      <c r="G96" s="6">
        <f t="shared" si="5"/>
        <v>238</v>
      </c>
      <c r="H96" s="7">
        <f t="shared" si="6"/>
        <v>0.48971193415637859</v>
      </c>
      <c r="I96" s="7" t="str">
        <f t="shared" si="9"/>
        <v>Low discounted price</v>
      </c>
      <c r="J96" s="7" t="str">
        <f t="shared" si="7"/>
        <v>High discount</v>
      </c>
      <c r="K96" s="6" t="str">
        <f t="shared" si="8"/>
        <v>Unclassified</v>
      </c>
    </row>
    <row r="97" spans="1:11" x14ac:dyDescent="0.25">
      <c r="A97" s="4" t="s">
        <v>99</v>
      </c>
      <c r="B97">
        <v>3546</v>
      </c>
      <c r="C97">
        <v>3699</v>
      </c>
      <c r="D97" s="3">
        <v>0.04</v>
      </c>
      <c r="E97" s="2">
        <v>0</v>
      </c>
      <c r="F97" s="1" t="s">
        <v>115</v>
      </c>
      <c r="G97" s="6">
        <f t="shared" si="5"/>
        <v>153</v>
      </c>
      <c r="H97" s="7">
        <f t="shared" si="6"/>
        <v>4.1362530413625302E-2</v>
      </c>
      <c r="I97" s="7" t="str">
        <f t="shared" si="9"/>
        <v>High discounted price</v>
      </c>
      <c r="J97" s="7" t="str">
        <f t="shared" si="7"/>
        <v>Low Discount</v>
      </c>
      <c r="K97" s="6" t="str">
        <f t="shared" si="8"/>
        <v>Unclassified</v>
      </c>
    </row>
    <row r="98" spans="1:11" x14ac:dyDescent="0.25">
      <c r="A98" s="4" t="s">
        <v>100</v>
      </c>
      <c r="B98">
        <v>525</v>
      </c>
      <c r="C98">
        <v>1029</v>
      </c>
      <c r="D98" s="3">
        <v>0.49</v>
      </c>
      <c r="E98" s="2">
        <v>0</v>
      </c>
      <c r="F98" s="1" t="s">
        <v>115</v>
      </c>
      <c r="G98" s="6">
        <f t="shared" si="5"/>
        <v>504</v>
      </c>
      <c r="H98" s="7">
        <f t="shared" si="6"/>
        <v>0.48979591836734693</v>
      </c>
      <c r="I98" s="7" t="str">
        <f t="shared" si="9"/>
        <v>Medium discounted price</v>
      </c>
      <c r="J98" s="7" t="str">
        <f t="shared" si="7"/>
        <v>High discount</v>
      </c>
      <c r="K98" s="6" t="str">
        <f t="shared" si="8"/>
        <v>Unclassified</v>
      </c>
    </row>
    <row r="99" spans="1:11" x14ac:dyDescent="0.25">
      <c r="A99" s="4" t="s">
        <v>101</v>
      </c>
      <c r="B99">
        <v>1080</v>
      </c>
      <c r="C99">
        <v>1874</v>
      </c>
      <c r="D99" s="3">
        <v>0.42</v>
      </c>
      <c r="E99" s="2">
        <v>0</v>
      </c>
      <c r="F99" s="1" t="s">
        <v>115</v>
      </c>
      <c r="G99" s="6">
        <f t="shared" si="5"/>
        <v>794</v>
      </c>
      <c r="H99" s="7">
        <f t="shared" si="6"/>
        <v>0.42369263607257202</v>
      </c>
      <c r="I99" s="7" t="str">
        <f t="shared" si="9"/>
        <v>Medium discounted price</v>
      </c>
      <c r="J99" s="7" t="str">
        <f t="shared" si="7"/>
        <v>High discount</v>
      </c>
      <c r="K99" s="6" t="str">
        <f t="shared" si="8"/>
        <v>Unclassified</v>
      </c>
    </row>
    <row r="100" spans="1:11" x14ac:dyDescent="0.25">
      <c r="A100" s="4" t="s">
        <v>102</v>
      </c>
      <c r="B100">
        <v>3640</v>
      </c>
      <c r="C100">
        <v>4588</v>
      </c>
      <c r="D100" s="3">
        <v>0.21</v>
      </c>
      <c r="E100" s="2">
        <v>1</v>
      </c>
      <c r="F100" s="1">
        <v>5</v>
      </c>
      <c r="G100" s="6">
        <f t="shared" si="5"/>
        <v>948</v>
      </c>
      <c r="H100" s="7">
        <f t="shared" si="6"/>
        <v>0.20662598081952921</v>
      </c>
      <c r="I100" s="7" t="str">
        <f t="shared" si="9"/>
        <v>High discounted price</v>
      </c>
      <c r="J100" s="7" t="str">
        <f t="shared" si="7"/>
        <v>Medium Discount</v>
      </c>
      <c r="K100" s="6" t="str">
        <f t="shared" si="8"/>
        <v>Excellent</v>
      </c>
    </row>
    <row r="101" spans="1:11" x14ac:dyDescent="0.25">
      <c r="A101" s="4" t="s">
        <v>103</v>
      </c>
      <c r="B101">
        <v>1420</v>
      </c>
      <c r="C101">
        <v>2420</v>
      </c>
      <c r="D101" s="3">
        <v>0.41</v>
      </c>
      <c r="E101" s="2">
        <v>0</v>
      </c>
      <c r="F101" s="1" t="s">
        <v>115</v>
      </c>
      <c r="G101" s="6">
        <f t="shared" si="5"/>
        <v>1000</v>
      </c>
      <c r="H101" s="7">
        <f t="shared" si="6"/>
        <v>0.41322314049586778</v>
      </c>
      <c r="I101" s="7" t="str">
        <f t="shared" si="9"/>
        <v>Medium discounted price</v>
      </c>
      <c r="J101" s="7" t="str">
        <f t="shared" si="7"/>
        <v>High discount</v>
      </c>
      <c r="K101" s="6" t="str">
        <f t="shared" si="8"/>
        <v>Unclassified</v>
      </c>
    </row>
    <row r="102" spans="1:11" x14ac:dyDescent="0.25">
      <c r="A102" s="4" t="s">
        <v>104</v>
      </c>
      <c r="B102">
        <v>1875</v>
      </c>
      <c r="C102">
        <v>1899</v>
      </c>
      <c r="D102" s="3">
        <v>0.01</v>
      </c>
      <c r="E102" s="2">
        <v>0</v>
      </c>
      <c r="F102" s="1" t="s">
        <v>115</v>
      </c>
      <c r="G102" s="6">
        <f t="shared" si="5"/>
        <v>24</v>
      </c>
      <c r="H102" s="7">
        <f t="shared" si="6"/>
        <v>1.2638230647709321E-2</v>
      </c>
      <c r="I102" s="7" t="str">
        <f t="shared" si="9"/>
        <v>High discounted price</v>
      </c>
      <c r="J102" s="7" t="str">
        <f t="shared" si="7"/>
        <v>Low Discount</v>
      </c>
      <c r="K102" s="6" t="str">
        <f t="shared" si="8"/>
        <v>Unclassified</v>
      </c>
    </row>
    <row r="103" spans="1:11" x14ac:dyDescent="0.25">
      <c r="A103" s="4" t="s">
        <v>105</v>
      </c>
      <c r="B103">
        <v>198</v>
      </c>
      <c r="C103">
        <v>260</v>
      </c>
      <c r="D103" s="3">
        <v>0.24</v>
      </c>
      <c r="E103" s="2">
        <v>0</v>
      </c>
      <c r="F103" s="1" t="s">
        <v>115</v>
      </c>
      <c r="G103" s="6">
        <f t="shared" si="5"/>
        <v>62</v>
      </c>
      <c r="H103" s="7">
        <f t="shared" si="6"/>
        <v>0.23846153846153847</v>
      </c>
      <c r="I103" s="7" t="str">
        <f t="shared" si="9"/>
        <v>Low discounted price</v>
      </c>
      <c r="J103" s="7" t="str">
        <f t="shared" si="7"/>
        <v>Medium Discount</v>
      </c>
      <c r="K103" s="6" t="str">
        <f t="shared" si="8"/>
        <v>Unclassified</v>
      </c>
    </row>
    <row r="104" spans="1:11" x14ac:dyDescent="0.25">
      <c r="A104" s="4" t="s">
        <v>106</v>
      </c>
      <c r="B104">
        <v>1150</v>
      </c>
      <c r="C104">
        <v>1737</v>
      </c>
      <c r="D104" s="3">
        <v>0.34</v>
      </c>
      <c r="E104" s="2">
        <v>0</v>
      </c>
      <c r="F104" s="1" t="s">
        <v>115</v>
      </c>
      <c r="G104" s="6">
        <f t="shared" si="5"/>
        <v>587</v>
      </c>
      <c r="H104" s="7">
        <f t="shared" si="6"/>
        <v>0.3379389752446747</v>
      </c>
      <c r="I104" s="7" t="str">
        <f t="shared" si="9"/>
        <v>Medium discounted price</v>
      </c>
      <c r="J104" s="7" t="str">
        <f t="shared" si="7"/>
        <v>Medium Discount</v>
      </c>
      <c r="K104" s="6" t="str">
        <f t="shared" si="8"/>
        <v>Unclassified</v>
      </c>
    </row>
    <row r="105" spans="1:11" x14ac:dyDescent="0.25">
      <c r="A105" s="4" t="s">
        <v>107</v>
      </c>
      <c r="B105">
        <v>1190</v>
      </c>
      <c r="C105">
        <v>1810</v>
      </c>
      <c r="D105" s="3">
        <v>0.34</v>
      </c>
      <c r="E105" s="2">
        <v>0</v>
      </c>
      <c r="F105" s="1" t="s">
        <v>115</v>
      </c>
      <c r="G105" s="6">
        <f t="shared" si="5"/>
        <v>620</v>
      </c>
      <c r="H105" s="7">
        <f t="shared" si="6"/>
        <v>0.34254143646408841</v>
      </c>
      <c r="I105" s="7" t="str">
        <f t="shared" si="9"/>
        <v>Medium discounted price</v>
      </c>
      <c r="J105" s="7" t="str">
        <f t="shared" si="7"/>
        <v>Medium Discount</v>
      </c>
      <c r="K105" s="6" t="str">
        <f t="shared" si="8"/>
        <v>Unclassified</v>
      </c>
    </row>
    <row r="106" spans="1:11" x14ac:dyDescent="0.25">
      <c r="A106" s="4" t="s">
        <v>108</v>
      </c>
      <c r="B106">
        <v>1658</v>
      </c>
      <c r="C106">
        <v>1699</v>
      </c>
      <c r="D106" s="3">
        <v>0.02</v>
      </c>
      <c r="E106" s="2">
        <v>0</v>
      </c>
      <c r="F106" s="1" t="s">
        <v>115</v>
      </c>
      <c r="G106" s="6">
        <f t="shared" si="5"/>
        <v>41</v>
      </c>
      <c r="H106" s="7">
        <f t="shared" si="6"/>
        <v>2.4131842260153032E-2</v>
      </c>
      <c r="I106" s="7" t="str">
        <f t="shared" si="9"/>
        <v>Medium discounted price</v>
      </c>
      <c r="J106" s="7" t="str">
        <f t="shared" si="7"/>
        <v>Low Discount</v>
      </c>
      <c r="K106" s="6" t="str">
        <f t="shared" si="8"/>
        <v>Unclassified</v>
      </c>
    </row>
    <row r="107" spans="1:11" x14ac:dyDescent="0.25">
      <c r="A107" s="4" t="s">
        <v>109</v>
      </c>
      <c r="B107">
        <v>1768</v>
      </c>
      <c r="C107">
        <v>1799</v>
      </c>
      <c r="D107" s="3">
        <v>0.02</v>
      </c>
      <c r="E107" s="2">
        <v>0</v>
      </c>
      <c r="F107" s="1" t="s">
        <v>115</v>
      </c>
      <c r="G107" s="6">
        <f t="shared" si="5"/>
        <v>31</v>
      </c>
      <c r="H107" s="7">
        <f t="shared" si="6"/>
        <v>1.7231795441912175E-2</v>
      </c>
      <c r="I107" s="7" t="str">
        <f t="shared" si="9"/>
        <v>High discounted price</v>
      </c>
      <c r="J107" s="7" t="str">
        <f t="shared" si="7"/>
        <v>Low Discount</v>
      </c>
      <c r="K107" s="6" t="str">
        <f t="shared" si="8"/>
        <v>Unclassified</v>
      </c>
    </row>
    <row r="108" spans="1:11" x14ac:dyDescent="0.25">
      <c r="A108" s="4" t="s">
        <v>110</v>
      </c>
      <c r="B108">
        <v>199</v>
      </c>
      <c r="C108">
        <v>553</v>
      </c>
      <c r="D108" s="3">
        <v>0.64</v>
      </c>
      <c r="E108" s="2">
        <v>0</v>
      </c>
      <c r="F108" s="1" t="s">
        <v>115</v>
      </c>
      <c r="G108" s="6">
        <f t="shared" si="5"/>
        <v>354</v>
      </c>
      <c r="H108" s="7">
        <f t="shared" si="6"/>
        <v>0.64014466546112114</v>
      </c>
      <c r="I108" s="7" t="str">
        <f t="shared" si="9"/>
        <v>Low discounted price</v>
      </c>
      <c r="J108" s="7" t="str">
        <f t="shared" si="7"/>
        <v>High discount</v>
      </c>
      <c r="K108" s="6" t="str">
        <f t="shared" si="8"/>
        <v>Unclassified</v>
      </c>
    </row>
    <row r="109" spans="1:11" x14ac:dyDescent="0.25">
      <c r="A109" s="4" t="s">
        <v>111</v>
      </c>
      <c r="B109">
        <v>450</v>
      </c>
      <c r="C109">
        <v>900</v>
      </c>
      <c r="D109" s="3">
        <v>0.5</v>
      </c>
      <c r="E109" s="2">
        <v>1</v>
      </c>
      <c r="F109" s="1">
        <v>2</v>
      </c>
      <c r="G109" s="6">
        <f t="shared" si="5"/>
        <v>450</v>
      </c>
      <c r="H109" s="7">
        <f t="shared" si="6"/>
        <v>0.5</v>
      </c>
      <c r="I109" s="7" t="str">
        <f t="shared" si="9"/>
        <v>Low discounted price</v>
      </c>
      <c r="J109" s="7" t="str">
        <f t="shared" si="7"/>
        <v>High discount</v>
      </c>
      <c r="K109" s="6" t="str">
        <f t="shared" si="8"/>
        <v>Poor</v>
      </c>
    </row>
    <row r="110" spans="1:11" x14ac:dyDescent="0.25">
      <c r="A110" s="4" t="s">
        <v>112</v>
      </c>
      <c r="B110">
        <v>169</v>
      </c>
      <c r="C110">
        <v>320</v>
      </c>
      <c r="D110" s="3">
        <v>0.47</v>
      </c>
      <c r="E110" s="5">
        <v>0</v>
      </c>
      <c r="F110" s="1" t="s">
        <v>115</v>
      </c>
      <c r="G110" s="6">
        <f t="shared" si="5"/>
        <v>151</v>
      </c>
      <c r="H110" s="7">
        <f t="shared" si="6"/>
        <v>0.47187499999999999</v>
      </c>
      <c r="I110" s="7" t="str">
        <f t="shared" si="9"/>
        <v>Low discounted price</v>
      </c>
      <c r="J110" s="7" t="str">
        <f t="shared" si="7"/>
        <v>High discount</v>
      </c>
      <c r="K110" s="6" t="str">
        <f t="shared" si="8"/>
        <v>Unclassified</v>
      </c>
    </row>
  </sheetData>
  <autoFilter ref="A1:K110" xr:uid="{2CB3F5C3-A7A7-4BB1-86B0-9AE78AD31D6C}"/>
  <conditionalFormatting sqref="A1:A1048576">
    <cfRule type="duplicateValues" dxfId="1" priority="1"/>
    <cfRule type="duplicateValues" dxfId="0" priority="2"/>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BE9B0-F483-4A41-A5FB-C374DD6B9960}">
  <dimension ref="F1:Q4"/>
  <sheetViews>
    <sheetView showGridLines="0" topLeftCell="A2" zoomScale="80" zoomScaleNormal="80" workbookViewId="0">
      <selection activeCell="H19" sqref="H18:H19"/>
    </sheetView>
  </sheetViews>
  <sheetFormatPr defaultRowHeight="21" x14ac:dyDescent="0.35"/>
  <cols>
    <col min="1" max="3" width="9.140625" style="13"/>
    <col min="4" max="4" width="7.7109375" style="13" customWidth="1"/>
    <col min="5" max="5" width="5.5703125" style="13" customWidth="1"/>
    <col min="6" max="12" width="14.42578125" style="13" customWidth="1"/>
    <col min="13" max="13" width="9.28515625" style="13" customWidth="1"/>
    <col min="14" max="15" width="14.42578125" style="13" customWidth="1"/>
    <col min="16" max="16384" width="9.140625" style="13"/>
  </cols>
  <sheetData>
    <row r="1" spans="6:17" ht="21.75" customHeight="1" x14ac:dyDescent="0.35">
      <c r="F1" s="22" t="s">
        <v>142</v>
      </c>
      <c r="G1" s="22"/>
      <c r="H1" s="22"/>
      <c r="I1" s="22"/>
      <c r="J1" s="22"/>
      <c r="K1" s="22"/>
      <c r="L1" s="22"/>
      <c r="M1" s="22"/>
      <c r="N1" s="22"/>
      <c r="O1" s="22"/>
      <c r="P1" s="22"/>
      <c r="Q1" s="22"/>
    </row>
    <row r="2" spans="6:17" ht="21.75" customHeight="1" x14ac:dyDescent="0.35">
      <c r="F2" s="22"/>
      <c r="G2" s="22"/>
      <c r="H2" s="22"/>
      <c r="I2" s="22"/>
      <c r="J2" s="22"/>
      <c r="K2" s="22"/>
      <c r="L2" s="22"/>
      <c r="M2" s="22"/>
      <c r="N2" s="22"/>
      <c r="O2" s="22"/>
      <c r="P2" s="22"/>
      <c r="Q2" s="22"/>
    </row>
    <row r="3" spans="6:17" x14ac:dyDescent="0.35">
      <c r="F3" s="14" t="s">
        <v>133</v>
      </c>
      <c r="G3" s="14"/>
      <c r="H3" s="14"/>
      <c r="I3" s="14" t="s">
        <v>134</v>
      </c>
      <c r="J3" s="14"/>
      <c r="K3" s="14" t="s">
        <v>143</v>
      </c>
      <c r="L3" s="14"/>
      <c r="M3" s="14"/>
      <c r="N3" s="14" t="s">
        <v>135</v>
      </c>
      <c r="O3" s="14"/>
    </row>
    <row r="4" spans="6:17" s="17" customFormat="1" ht="23.25" x14ac:dyDescent="0.35">
      <c r="F4" s="20">
        <f>COUNTA('Jumia data'!$A:$A)-1</f>
        <v>109</v>
      </c>
      <c r="G4" s="20"/>
      <c r="H4" s="15"/>
      <c r="I4" s="16">
        <f>AVERAGE('Jumia data'!$F:$F)</f>
        <v>3.8894736842105258</v>
      </c>
      <c r="J4" s="15"/>
      <c r="K4" s="23">
        <f>AVERAGE('Jumia data'!$D:$D)</f>
        <v>0.3647706422018348</v>
      </c>
      <c r="L4" s="23"/>
      <c r="M4" s="15"/>
      <c r="N4" s="21">
        <f>SUM('Jumia data'!$E:$E)</f>
        <v>723</v>
      </c>
      <c r="O4" s="21"/>
    </row>
  </sheetData>
  <mergeCells count="4">
    <mergeCell ref="F4:G4"/>
    <mergeCell ref="N4:O4"/>
    <mergeCell ref="F1:Q2"/>
    <mergeCell ref="K4:L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Product Categories</vt:lpstr>
      <vt:lpstr>Trend Analysis</vt:lpstr>
      <vt:lpstr>Product Performance</vt:lpstr>
      <vt:lpstr>Jumia data</vt:lpstr>
      <vt:lpstr>Dashboard Visualization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Grace Mwangi</dc:creator>
  <cp:lastModifiedBy>Grace Mwangi</cp:lastModifiedBy>
  <dcterms:created xsi:type="dcterms:W3CDTF">2026-01-26T03:10:23Z</dcterms:created>
  <dcterms:modified xsi:type="dcterms:W3CDTF">2026-02-01T19:58:06Z</dcterms:modified>
</cp:coreProperties>
</file>