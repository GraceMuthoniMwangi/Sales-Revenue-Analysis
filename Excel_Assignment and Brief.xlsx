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Administrator\Desktop\LuxDev Assignments\"/>
    </mc:Choice>
  </mc:AlternateContent>
  <xr:revisionPtr revIDLastSave="0" documentId="13_ncr:1_{F2093AFD-4BF9-484F-ADCB-906E663C58D5}" xr6:coauthVersionLast="47" xr6:coauthVersionMax="47" xr10:uidLastSave="{00000000-0000-0000-0000-000000000000}"/>
  <bookViews>
    <workbookView xWindow="-120" yWindow="-120" windowWidth="20730" windowHeight="11040" activeTab="4" xr2:uid="{00000000-000D-0000-FFFF-FFFF00000000}"/>
  </bookViews>
  <sheets>
    <sheet name="Dashboard Visualization" sheetId="6" r:id="rId1"/>
    <sheet name="Dashboard Pivots" sheetId="5" r:id="rId2"/>
    <sheet name="Analysis 2" sheetId="9" r:id="rId3"/>
    <sheet name="Analysis" sheetId="7" r:id="rId4"/>
    <sheet name="Working Data" sheetId="3" r:id="rId5"/>
    <sheet name="Brief" sheetId="2" r:id="rId6"/>
    <sheet name="Original Data" sheetId="1" r:id="rId7"/>
  </sheets>
  <definedNames>
    <definedName name="_xlnm._FilterDatabase" localSheetId="6" hidden="1">'Original Data'!$A$1:$O$633</definedName>
    <definedName name="_xlnm._FilterDatabase" localSheetId="4" hidden="1">'Working Data'!$A$1:$AC$633</definedName>
    <definedName name="Slicer_Channel">#N/A</definedName>
    <definedName name="Slicer_Country">#N/A</definedName>
    <definedName name="Slicer_Order_Month">#N/A</definedName>
    <definedName name="Slicer_Order_Month1">#N/A</definedName>
    <definedName name="Slicer_Product_Category">#N/A</definedName>
    <definedName name="Slicer_Region">#N/A</definedName>
    <definedName name="Slicer_Salesperson">#N/A</definedName>
    <definedName name="Slicer_Year_order_was_placed">#N/A</definedName>
    <definedName name="Slicer_Year_order_was_placed1">#N/A</definedName>
  </definedNames>
  <calcPr calcId="191029"/>
  <pivotCaches>
    <pivotCache cacheId="6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9" l="1"/>
  <c r="Q14" i="9"/>
  <c r="R14" i="9"/>
  <c r="O14" i="9"/>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2" i="3"/>
  <c r="AI4" i="5"/>
  <c r="AI5" i="5"/>
  <c r="AI6" i="5"/>
  <c r="AI7" i="5"/>
  <c r="AI8" i="5"/>
  <c r="AI9" i="5"/>
  <c r="AI10" i="5"/>
  <c r="AI11" i="5"/>
  <c r="AI12" i="5"/>
  <c r="AI13"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3" i="5"/>
  <c r="AI44" i="5"/>
  <c r="AI45" i="5"/>
  <c r="AI46" i="5"/>
  <c r="AI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98" i="5"/>
  <c r="AI99" i="5"/>
  <c r="AI100" i="5"/>
  <c r="AI101" i="5"/>
  <c r="AI102" i="5"/>
  <c r="AI103" i="5"/>
  <c r="AI104" i="5"/>
  <c r="AI105" i="5"/>
  <c r="AI106" i="5"/>
  <c r="AI107" i="5"/>
  <c r="AI108" i="5"/>
  <c r="AI109" i="5"/>
  <c r="AI110" i="5"/>
  <c r="AI111" i="5"/>
  <c r="AI112" i="5"/>
  <c r="AI113" i="5"/>
  <c r="AI114" i="5"/>
  <c r="AI115" i="5"/>
  <c r="AI116" i="5"/>
  <c r="AI117" i="5"/>
  <c r="AI118" i="5"/>
  <c r="AI119" i="5"/>
  <c r="AI120" i="5"/>
  <c r="AI121" i="5"/>
  <c r="AI122" i="5"/>
  <c r="AI123" i="5"/>
  <c r="AI124" i="5"/>
  <c r="AI125" i="5"/>
  <c r="AI126" i="5"/>
  <c r="AI127" i="5"/>
  <c r="AI128" i="5"/>
  <c r="AI129" i="5"/>
  <c r="AI130" i="5"/>
  <c r="AI131" i="5"/>
  <c r="AI132" i="5"/>
  <c r="AI133" i="5"/>
  <c r="AI134" i="5"/>
  <c r="AI135" i="5"/>
  <c r="AI136" i="5"/>
  <c r="AI137" i="5"/>
  <c r="AI138" i="5"/>
  <c r="AI139" i="5"/>
  <c r="AI140" i="5"/>
  <c r="AI141" i="5"/>
  <c r="AI142" i="5"/>
  <c r="AI143" i="5"/>
  <c r="AI144" i="5"/>
  <c r="AI145" i="5"/>
  <c r="AI146" i="5"/>
  <c r="AI147" i="5"/>
  <c r="AI148" i="5"/>
  <c r="AI149" i="5"/>
  <c r="AI150" i="5"/>
  <c r="AI151" i="5"/>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1" i="5"/>
  <c r="AI182" i="5"/>
  <c r="AI183" i="5"/>
  <c r="AI184" i="5"/>
  <c r="AI185" i="5"/>
  <c r="AI186" i="5"/>
  <c r="AI187" i="5"/>
  <c r="AI188" i="5"/>
  <c r="AI189" i="5"/>
  <c r="AI190" i="5"/>
  <c r="AI191" i="5"/>
  <c r="AI192" i="5"/>
  <c r="AI193" i="5"/>
  <c r="AI194" i="5"/>
  <c r="AI195" i="5"/>
  <c r="AI196" i="5"/>
  <c r="AI197" i="5"/>
  <c r="AI198" i="5"/>
  <c r="AI199" i="5"/>
  <c r="AI200" i="5"/>
  <c r="AI201" i="5"/>
  <c r="AI202" i="5"/>
  <c r="AI203" i="5"/>
  <c r="AI204" i="5"/>
  <c r="AI205" i="5"/>
  <c r="AI206" i="5"/>
  <c r="AI207" i="5"/>
  <c r="AI208" i="5"/>
  <c r="AI209" i="5"/>
  <c r="AI210"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0"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28" i="5"/>
  <c r="AI329" i="5"/>
  <c r="AI330" i="5"/>
  <c r="AI331" i="5"/>
  <c r="AI332" i="5"/>
  <c r="AI333" i="5"/>
  <c r="AI334" i="5"/>
  <c r="AI335" i="5"/>
  <c r="AI336" i="5"/>
  <c r="AI337" i="5"/>
  <c r="AI338" i="5"/>
  <c r="AI339" i="5"/>
  <c r="AI340" i="5"/>
  <c r="AI341" i="5"/>
  <c r="AI342" i="5"/>
  <c r="AI343" i="5"/>
  <c r="AI344" i="5"/>
  <c r="AI345" i="5"/>
  <c r="AI346" i="5"/>
  <c r="AI347" i="5"/>
  <c r="AI348" i="5"/>
  <c r="AI349" i="5"/>
  <c r="AI350" i="5"/>
  <c r="AI351" i="5"/>
  <c r="AI352" i="5"/>
  <c r="AI353" i="5"/>
  <c r="AI354" i="5"/>
  <c r="AI355" i="5"/>
  <c r="AI356" i="5"/>
  <c r="AI357" i="5"/>
  <c r="AI358" i="5"/>
  <c r="AI359" i="5"/>
  <c r="AI360" i="5"/>
  <c r="AI361" i="5"/>
  <c r="AI362" i="5"/>
  <c r="AI363" i="5"/>
  <c r="AI364" i="5"/>
  <c r="AI365" i="5"/>
  <c r="AI366" i="5"/>
  <c r="AI367" i="5"/>
  <c r="AI368" i="5"/>
  <c r="AI369" i="5"/>
  <c r="AI370" i="5"/>
  <c r="AI371" i="5"/>
  <c r="AI372" i="5"/>
  <c r="AI373" i="5"/>
  <c r="AI374" i="5"/>
  <c r="AI375" i="5"/>
  <c r="AI376" i="5"/>
  <c r="AI377" i="5"/>
  <c r="AI378" i="5"/>
  <c r="AI379" i="5"/>
  <c r="AI380" i="5"/>
  <c r="AI381" i="5"/>
  <c r="AI382" i="5"/>
  <c r="AI383" i="5"/>
  <c r="AI384" i="5"/>
  <c r="AI385" i="5"/>
  <c r="AI386" i="5"/>
  <c r="AI387" i="5"/>
  <c r="AI388" i="5"/>
  <c r="AI389" i="5"/>
  <c r="AI390" i="5"/>
  <c r="AI391" i="5"/>
  <c r="AI392" i="5"/>
  <c r="AI393" i="5"/>
  <c r="AI394" i="5"/>
  <c r="AI395" i="5"/>
  <c r="AI396" i="5"/>
  <c r="AI397" i="5"/>
  <c r="AI398" i="5"/>
  <c r="AI399" i="5"/>
  <c r="AI400" i="5"/>
  <c r="AI401" i="5"/>
  <c r="AI402" i="5"/>
  <c r="AI403" i="5"/>
  <c r="AI404" i="5"/>
  <c r="AI405" i="5"/>
  <c r="AI406" i="5"/>
  <c r="AI407" i="5"/>
  <c r="AI408" i="5"/>
  <c r="AI409" i="5"/>
  <c r="AI410" i="5"/>
  <c r="AI411" i="5"/>
  <c r="AI412" i="5"/>
  <c r="AI413" i="5"/>
  <c r="AI414" i="5"/>
  <c r="AI415" i="5"/>
  <c r="AI416" i="5"/>
  <c r="AI417" i="5"/>
  <c r="AI418" i="5"/>
  <c r="AI419" i="5"/>
  <c r="AI420" i="5"/>
  <c r="AI421" i="5"/>
  <c r="AI422" i="5"/>
  <c r="AI423" i="5"/>
  <c r="AI424" i="5"/>
  <c r="AI425" i="5"/>
  <c r="AI426" i="5"/>
  <c r="AI427" i="5"/>
  <c r="AI428" i="5"/>
  <c r="AI429" i="5"/>
  <c r="AI430" i="5"/>
  <c r="AI431" i="5"/>
  <c r="AI432" i="5"/>
  <c r="AI433" i="5"/>
  <c r="AI434" i="5"/>
  <c r="AI435" i="5"/>
  <c r="AI436" i="5"/>
  <c r="AI437" i="5"/>
  <c r="AI438" i="5"/>
  <c r="AI439" i="5"/>
  <c r="AI440" i="5"/>
  <c r="AI441" i="5"/>
  <c r="AI442" i="5"/>
  <c r="AI443" i="5"/>
  <c r="AI444" i="5"/>
  <c r="AI445" i="5"/>
  <c r="AI446" i="5"/>
  <c r="AI447" i="5"/>
  <c r="AI448" i="5"/>
  <c r="AI449" i="5"/>
  <c r="AI450" i="5"/>
  <c r="AI451" i="5"/>
  <c r="AI452" i="5"/>
  <c r="AI453" i="5"/>
  <c r="AI454" i="5"/>
  <c r="AI455" i="5"/>
  <c r="AI456" i="5"/>
  <c r="AI457" i="5"/>
  <c r="AI458" i="5"/>
  <c r="AI459" i="5"/>
  <c r="AI460" i="5"/>
  <c r="AI461" i="5"/>
  <c r="AI462" i="5"/>
  <c r="AI463" i="5"/>
  <c r="AI464" i="5"/>
  <c r="AI465" i="5"/>
  <c r="AI466" i="5"/>
  <c r="AI467" i="5"/>
  <c r="AI468" i="5"/>
  <c r="AI469" i="5"/>
  <c r="AI470" i="5"/>
  <c r="AI471" i="5"/>
  <c r="AI472" i="5"/>
  <c r="AI473" i="5"/>
  <c r="AI474" i="5"/>
  <c r="AI475" i="5"/>
  <c r="AI476" i="5"/>
  <c r="AI477" i="5"/>
  <c r="AI478" i="5"/>
  <c r="AI479" i="5"/>
  <c r="AI480" i="5"/>
  <c r="AI481" i="5"/>
  <c r="AI482" i="5"/>
  <c r="AI483" i="5"/>
  <c r="AI484" i="5"/>
  <c r="AI485" i="5"/>
  <c r="AI486" i="5"/>
  <c r="AI487" i="5"/>
  <c r="AI488" i="5"/>
  <c r="AI489" i="5"/>
  <c r="AI490" i="5"/>
  <c r="AI491" i="5"/>
  <c r="AI492" i="5"/>
  <c r="AI493" i="5"/>
  <c r="AI494" i="5"/>
  <c r="AI495" i="5"/>
  <c r="AI496" i="5"/>
  <c r="AI497" i="5"/>
  <c r="AI498" i="5"/>
  <c r="AI499" i="5"/>
  <c r="AI500" i="5"/>
  <c r="AI501" i="5"/>
  <c r="AI502" i="5"/>
  <c r="AI503" i="5"/>
  <c r="AI504" i="5"/>
  <c r="AI505" i="5"/>
  <c r="AI506" i="5"/>
  <c r="AI507" i="5"/>
  <c r="AI508" i="5"/>
  <c r="AI509" i="5"/>
  <c r="AI510" i="5"/>
  <c r="AI511" i="5"/>
  <c r="AI512" i="5"/>
  <c r="AI513" i="5"/>
  <c r="AI514" i="5"/>
  <c r="AI515" i="5"/>
  <c r="AI516" i="5"/>
  <c r="AI517" i="5"/>
  <c r="AI518" i="5"/>
  <c r="AI519" i="5"/>
  <c r="AI520" i="5"/>
  <c r="AI521" i="5"/>
  <c r="AI522" i="5"/>
  <c r="AI523" i="5"/>
  <c r="AI524" i="5"/>
  <c r="AI525" i="5"/>
  <c r="AI526" i="5"/>
  <c r="AI527" i="5"/>
  <c r="AI528" i="5"/>
  <c r="AI529" i="5"/>
  <c r="AI530" i="5"/>
  <c r="AI531" i="5"/>
  <c r="AI532" i="5"/>
  <c r="AI533" i="5"/>
  <c r="AI534" i="5"/>
  <c r="AI535" i="5"/>
  <c r="AI536" i="5"/>
  <c r="AI537" i="5"/>
  <c r="AI538" i="5"/>
  <c r="AI539" i="5"/>
  <c r="AI540" i="5"/>
  <c r="AI541" i="5"/>
  <c r="AI542" i="5"/>
  <c r="AI543" i="5"/>
  <c r="AI544" i="5"/>
  <c r="AI545" i="5"/>
  <c r="AI546" i="5"/>
  <c r="AI547" i="5"/>
  <c r="AI548" i="5"/>
  <c r="AI549" i="5"/>
  <c r="AI550" i="5"/>
  <c r="AI551" i="5"/>
  <c r="AI552" i="5"/>
  <c r="AI553" i="5"/>
  <c r="AI554" i="5"/>
  <c r="AI555" i="5"/>
  <c r="AI556" i="5"/>
  <c r="AI557" i="5"/>
  <c r="AI558" i="5"/>
  <c r="AI559" i="5"/>
  <c r="AI560" i="5"/>
  <c r="AI561" i="5"/>
  <c r="AI562" i="5"/>
  <c r="AI563" i="5"/>
  <c r="AI564" i="5"/>
  <c r="AI565" i="5"/>
  <c r="AI566" i="5"/>
  <c r="AI567" i="5"/>
  <c r="AI568" i="5"/>
  <c r="AI569" i="5"/>
  <c r="AI570" i="5"/>
  <c r="AI571" i="5"/>
  <c r="AI572" i="5"/>
  <c r="AI573" i="5"/>
  <c r="AI574" i="5"/>
  <c r="AI575" i="5"/>
  <c r="AI576" i="5"/>
  <c r="AI577" i="5"/>
  <c r="AI578" i="5"/>
  <c r="AI579" i="5"/>
  <c r="AI580" i="5"/>
  <c r="AI581" i="5"/>
  <c r="AI582" i="5"/>
  <c r="AI583" i="5"/>
  <c r="AI584" i="5"/>
  <c r="AI585" i="5"/>
  <c r="AI586" i="5"/>
  <c r="AI587" i="5"/>
  <c r="AI588" i="5"/>
  <c r="AI589" i="5"/>
  <c r="AI590" i="5"/>
  <c r="AI591" i="5"/>
  <c r="AI592" i="5"/>
  <c r="AI593" i="5"/>
  <c r="AI594" i="5"/>
  <c r="AI595" i="5"/>
  <c r="AI596" i="5"/>
  <c r="AI597" i="5"/>
  <c r="AI598" i="5"/>
  <c r="AI599" i="5"/>
  <c r="AI600" i="5"/>
  <c r="AI601" i="5"/>
  <c r="AI602" i="5"/>
  <c r="AI603" i="5"/>
  <c r="AI604" i="5"/>
  <c r="AI605" i="5"/>
  <c r="AI606" i="5"/>
  <c r="AI607" i="5"/>
  <c r="AI608" i="5"/>
  <c r="AI609" i="5"/>
  <c r="AI610" i="5"/>
  <c r="AI611" i="5"/>
  <c r="AI612" i="5"/>
  <c r="AI613" i="5"/>
  <c r="AI614" i="5"/>
  <c r="AI615" i="5"/>
  <c r="AI616" i="5"/>
  <c r="AI617" i="5"/>
  <c r="AI618" i="5"/>
  <c r="AI619" i="5"/>
  <c r="AI620" i="5"/>
  <c r="AI621" i="5"/>
  <c r="AI622" i="5"/>
  <c r="AI623" i="5"/>
  <c r="AI624" i="5"/>
  <c r="AI625" i="5"/>
  <c r="AI626" i="5"/>
  <c r="AI627" i="5"/>
  <c r="AI628" i="5"/>
  <c r="AI629" i="5"/>
  <c r="AI630" i="5"/>
  <c r="AI631" i="5"/>
  <c r="AI632" i="5"/>
  <c r="AI633" i="5"/>
  <c r="AI634" i="5"/>
  <c r="AI635" i="5"/>
  <c r="P4" i="6" l="1"/>
  <c r="AE44" i="5"/>
  <c r="AF44" i="5"/>
  <c r="AG44" i="5"/>
  <c r="AH44" i="5"/>
  <c r="AE199" i="5"/>
  <c r="AF199" i="5"/>
  <c r="AG199" i="5"/>
  <c r="AH199" i="5"/>
  <c r="AE31" i="5"/>
  <c r="AF31" i="5"/>
  <c r="AG31" i="5"/>
  <c r="AH31" i="5"/>
  <c r="AE576" i="5"/>
  <c r="AF576" i="5"/>
  <c r="AG576" i="5"/>
  <c r="AH576" i="5"/>
  <c r="AE601" i="5"/>
  <c r="AF601" i="5"/>
  <c r="AG601" i="5"/>
  <c r="AH601" i="5"/>
  <c r="AE418" i="5"/>
  <c r="AF418" i="5"/>
  <c r="AG418" i="5"/>
  <c r="AH418" i="5"/>
  <c r="AE282" i="5"/>
  <c r="AF282" i="5"/>
  <c r="AG282" i="5"/>
  <c r="AH282" i="5"/>
  <c r="AE116" i="5"/>
  <c r="AF116" i="5"/>
  <c r="AG116" i="5"/>
  <c r="AH116" i="5"/>
  <c r="AE602" i="5"/>
  <c r="AF602" i="5"/>
  <c r="AG602" i="5"/>
  <c r="AH602" i="5"/>
  <c r="AE428" i="5"/>
  <c r="AF428" i="5"/>
  <c r="AG428" i="5"/>
  <c r="AH428" i="5"/>
  <c r="AE484" i="5"/>
  <c r="AF484" i="5"/>
  <c r="AG484" i="5"/>
  <c r="AH484" i="5"/>
  <c r="AE166" i="5"/>
  <c r="AF166" i="5"/>
  <c r="AG166" i="5"/>
  <c r="AH166" i="5"/>
  <c r="AE283" i="5"/>
  <c r="AF283" i="5"/>
  <c r="AG283" i="5"/>
  <c r="AH283" i="5"/>
  <c r="AE101" i="5"/>
  <c r="AF101" i="5"/>
  <c r="AG101" i="5"/>
  <c r="AH101" i="5"/>
  <c r="AE512" i="5"/>
  <c r="AF512" i="5"/>
  <c r="AG512" i="5"/>
  <c r="AH512" i="5"/>
  <c r="AE312" i="5"/>
  <c r="AF312" i="5"/>
  <c r="AG312" i="5"/>
  <c r="AH312" i="5"/>
  <c r="AE535" i="5"/>
  <c r="AF535" i="5"/>
  <c r="AG535" i="5"/>
  <c r="AH535" i="5"/>
  <c r="AE603" i="5"/>
  <c r="AF603" i="5"/>
  <c r="AG603" i="5"/>
  <c r="AH603" i="5"/>
  <c r="AE291" i="5"/>
  <c r="AF291" i="5"/>
  <c r="AG291" i="5"/>
  <c r="AH291" i="5"/>
  <c r="AE102" i="5"/>
  <c r="AF102" i="5"/>
  <c r="AG102" i="5"/>
  <c r="AH102" i="5"/>
  <c r="AE313" i="5"/>
  <c r="AF313" i="5"/>
  <c r="AG313" i="5"/>
  <c r="AH313" i="5"/>
  <c r="AE103" i="5"/>
  <c r="AF103" i="5"/>
  <c r="AG103" i="5"/>
  <c r="AH103" i="5"/>
  <c r="AE566" i="5"/>
  <c r="AF566" i="5"/>
  <c r="AG566" i="5"/>
  <c r="AH566" i="5"/>
  <c r="AE513" i="5"/>
  <c r="AF513" i="5"/>
  <c r="AG513" i="5"/>
  <c r="AH513" i="5"/>
  <c r="AE88" i="5"/>
  <c r="AF88" i="5"/>
  <c r="AG88" i="5"/>
  <c r="AH88" i="5"/>
  <c r="AE467" i="5"/>
  <c r="AF467" i="5"/>
  <c r="AG467" i="5"/>
  <c r="AH467" i="5"/>
  <c r="AE239" i="5"/>
  <c r="AF239" i="5"/>
  <c r="AG239" i="5"/>
  <c r="AH239" i="5"/>
  <c r="AE352" i="5"/>
  <c r="AF352" i="5"/>
  <c r="AG352" i="5"/>
  <c r="AH352" i="5"/>
  <c r="AE387" i="5"/>
  <c r="AF387" i="5"/>
  <c r="AG387" i="5"/>
  <c r="AH387" i="5"/>
  <c r="AE612" i="5"/>
  <c r="AF612" i="5"/>
  <c r="AG612" i="5"/>
  <c r="AH612" i="5"/>
  <c r="AE468" i="5"/>
  <c r="AF468" i="5"/>
  <c r="AG468" i="5"/>
  <c r="AH468" i="5"/>
  <c r="AE67" i="5"/>
  <c r="AF67" i="5"/>
  <c r="AG67" i="5"/>
  <c r="AH67" i="5"/>
  <c r="AE142" i="5"/>
  <c r="AF142" i="5"/>
  <c r="AG142" i="5"/>
  <c r="AH142" i="5"/>
  <c r="AE176" i="5"/>
  <c r="AF176" i="5"/>
  <c r="AG176" i="5"/>
  <c r="AH176" i="5"/>
  <c r="AE514" i="5"/>
  <c r="AF514" i="5"/>
  <c r="AG514" i="5"/>
  <c r="AH514" i="5"/>
  <c r="AE373" i="5"/>
  <c r="AF373" i="5"/>
  <c r="AG373" i="5"/>
  <c r="AH373" i="5"/>
  <c r="AE335" i="5"/>
  <c r="AF335" i="5"/>
  <c r="AG335" i="5"/>
  <c r="AH335" i="5"/>
  <c r="AE32" i="5"/>
  <c r="AF32" i="5"/>
  <c r="AG32" i="5"/>
  <c r="AH32" i="5"/>
  <c r="AE177" i="5"/>
  <c r="AF177" i="5"/>
  <c r="AG177" i="5"/>
  <c r="AH177" i="5"/>
  <c r="AE388" i="5"/>
  <c r="AF388" i="5"/>
  <c r="AG388" i="5"/>
  <c r="AH388" i="5"/>
  <c r="AE23" i="5"/>
  <c r="AF23" i="5"/>
  <c r="AG23" i="5"/>
  <c r="AH23" i="5"/>
  <c r="AE542" i="5"/>
  <c r="AF542" i="5"/>
  <c r="AG542" i="5"/>
  <c r="AH542" i="5"/>
  <c r="AE45" i="5"/>
  <c r="AF45" i="5"/>
  <c r="AG45" i="5"/>
  <c r="AH45" i="5"/>
  <c r="AE547" i="5"/>
  <c r="AF547" i="5"/>
  <c r="AG547" i="5"/>
  <c r="AH547" i="5"/>
  <c r="AE117" i="5"/>
  <c r="AF117" i="5"/>
  <c r="AG117" i="5"/>
  <c r="AH117" i="5"/>
  <c r="AE194" i="5"/>
  <c r="AF194" i="5"/>
  <c r="AG194" i="5"/>
  <c r="AH194" i="5"/>
  <c r="AE588" i="5"/>
  <c r="AF588" i="5"/>
  <c r="AG588" i="5"/>
  <c r="AH588" i="5"/>
  <c r="AE226" i="5"/>
  <c r="AF226" i="5"/>
  <c r="AG226" i="5"/>
  <c r="AH226" i="5"/>
  <c r="AE215" i="5"/>
  <c r="AF215" i="5"/>
  <c r="AG215" i="5"/>
  <c r="AH215" i="5"/>
  <c r="AE18" i="5"/>
  <c r="AF18" i="5"/>
  <c r="AG18" i="5"/>
  <c r="AH18" i="5"/>
  <c r="AE314" i="5"/>
  <c r="AF314" i="5"/>
  <c r="AG314" i="5"/>
  <c r="AH314" i="5"/>
  <c r="AE515" i="5"/>
  <c r="AF515" i="5"/>
  <c r="AG515" i="5"/>
  <c r="AH515" i="5"/>
  <c r="AE104" i="5"/>
  <c r="AF104" i="5"/>
  <c r="AG104" i="5"/>
  <c r="AH104" i="5"/>
  <c r="AE178" i="5"/>
  <c r="AF178" i="5"/>
  <c r="AG178" i="5"/>
  <c r="AH178" i="5"/>
  <c r="AE494" i="5"/>
  <c r="AF494" i="5"/>
  <c r="AG494" i="5"/>
  <c r="AH494" i="5"/>
  <c r="AE227" i="5"/>
  <c r="AF227" i="5"/>
  <c r="AG227" i="5"/>
  <c r="AH227" i="5"/>
  <c r="AE374" i="5"/>
  <c r="AF374" i="5"/>
  <c r="AG374" i="5"/>
  <c r="AH374" i="5"/>
  <c r="AE228" i="5"/>
  <c r="AF228" i="5"/>
  <c r="AG228" i="5"/>
  <c r="AH228" i="5"/>
  <c r="AE9" i="5"/>
  <c r="AF9" i="5"/>
  <c r="AG9" i="5"/>
  <c r="AH9" i="5"/>
  <c r="AE411" i="5"/>
  <c r="AF411" i="5"/>
  <c r="AG411" i="5"/>
  <c r="AH411" i="5"/>
  <c r="AE315" i="5"/>
  <c r="AF315" i="5"/>
  <c r="AG315" i="5"/>
  <c r="AH315" i="5"/>
  <c r="AE469" i="5"/>
  <c r="AF469" i="5"/>
  <c r="AG469" i="5"/>
  <c r="AH469" i="5"/>
  <c r="AE457" i="5"/>
  <c r="AF457" i="5"/>
  <c r="AG457" i="5"/>
  <c r="AH457" i="5"/>
  <c r="AE495" i="5"/>
  <c r="AF495" i="5"/>
  <c r="AG495" i="5"/>
  <c r="AH495" i="5"/>
  <c r="AE476" i="5"/>
  <c r="AF476" i="5"/>
  <c r="AG476" i="5"/>
  <c r="AH476" i="5"/>
  <c r="AE124" i="5"/>
  <c r="AF124" i="5"/>
  <c r="AG124" i="5"/>
  <c r="AH124" i="5"/>
  <c r="AE613" i="5"/>
  <c r="AF613" i="5"/>
  <c r="AG613" i="5"/>
  <c r="AH613" i="5"/>
  <c r="AE516" i="5"/>
  <c r="AF516" i="5"/>
  <c r="AG516" i="5"/>
  <c r="AH516" i="5"/>
  <c r="AE125" i="5"/>
  <c r="AF125" i="5"/>
  <c r="AG125" i="5"/>
  <c r="AH125" i="5"/>
  <c r="AE68" i="5"/>
  <c r="AF68" i="5"/>
  <c r="AG68" i="5"/>
  <c r="AH68" i="5"/>
  <c r="AE126" i="5"/>
  <c r="AF126" i="5"/>
  <c r="AG126" i="5"/>
  <c r="AH126" i="5"/>
  <c r="AE127" i="5"/>
  <c r="AF127" i="5"/>
  <c r="AG127" i="5"/>
  <c r="AH127" i="5"/>
  <c r="AE78" i="5"/>
  <c r="AF78" i="5"/>
  <c r="AG78" i="5"/>
  <c r="AH78" i="5"/>
  <c r="AE216" i="5"/>
  <c r="AF216" i="5"/>
  <c r="AG216" i="5"/>
  <c r="AH216" i="5"/>
  <c r="AE424" i="5"/>
  <c r="AF424" i="5"/>
  <c r="AG424" i="5"/>
  <c r="AH424" i="5"/>
  <c r="AE477" i="5"/>
  <c r="AF477" i="5"/>
  <c r="AG477" i="5"/>
  <c r="AH477" i="5"/>
  <c r="AE548" i="5"/>
  <c r="AF548" i="5"/>
  <c r="AG548" i="5"/>
  <c r="AH548" i="5"/>
  <c r="AE261" i="5"/>
  <c r="AF261" i="5"/>
  <c r="AG261" i="5"/>
  <c r="AH261" i="5"/>
  <c r="AE364" i="5"/>
  <c r="AF364" i="5"/>
  <c r="AG364" i="5"/>
  <c r="AH364" i="5"/>
  <c r="AE625" i="5"/>
  <c r="AF625" i="5"/>
  <c r="AG625" i="5"/>
  <c r="AH625" i="5"/>
  <c r="AE604" i="5"/>
  <c r="AF604" i="5"/>
  <c r="AG604" i="5"/>
  <c r="AH604" i="5"/>
  <c r="AE614" i="5"/>
  <c r="AF614" i="5"/>
  <c r="AG614" i="5"/>
  <c r="AH614" i="5"/>
  <c r="AE143" i="5"/>
  <c r="AF143" i="5"/>
  <c r="AG143" i="5"/>
  <c r="AH143" i="5"/>
  <c r="AE543" i="5"/>
  <c r="AF543" i="5"/>
  <c r="AG543" i="5"/>
  <c r="AH543" i="5"/>
  <c r="AE577" i="5"/>
  <c r="AF577" i="5"/>
  <c r="AG577" i="5"/>
  <c r="AH577" i="5"/>
  <c r="AE439" i="5"/>
  <c r="AF439" i="5"/>
  <c r="AG439" i="5"/>
  <c r="AH439" i="5"/>
  <c r="AE4" i="5"/>
  <c r="AF4" i="5"/>
  <c r="AG4" i="5"/>
  <c r="AH4" i="5"/>
  <c r="AE353" i="5"/>
  <c r="AF353" i="5"/>
  <c r="AG353" i="5"/>
  <c r="AH353" i="5"/>
  <c r="AE229" i="5"/>
  <c r="AF229" i="5"/>
  <c r="AG229" i="5"/>
  <c r="AH229" i="5"/>
  <c r="AE429" i="5"/>
  <c r="AF429" i="5"/>
  <c r="AG429" i="5"/>
  <c r="AH429" i="5"/>
  <c r="AE389" i="5"/>
  <c r="AF389" i="5"/>
  <c r="AG389" i="5"/>
  <c r="AH389" i="5"/>
  <c r="AE19" i="5"/>
  <c r="AF19" i="5"/>
  <c r="AG19" i="5"/>
  <c r="AH19" i="5"/>
  <c r="AE262" i="5"/>
  <c r="AF262" i="5"/>
  <c r="AG262" i="5"/>
  <c r="AH262" i="5"/>
  <c r="AE105" i="5"/>
  <c r="AF105" i="5"/>
  <c r="AG105" i="5"/>
  <c r="AH105" i="5"/>
  <c r="AE419" i="5"/>
  <c r="AF419" i="5"/>
  <c r="AG419" i="5"/>
  <c r="AH419" i="5"/>
  <c r="AE128" i="5"/>
  <c r="AF128" i="5"/>
  <c r="AG128" i="5"/>
  <c r="AH128" i="5"/>
  <c r="AE430" i="5"/>
  <c r="AF430" i="5"/>
  <c r="AG430" i="5"/>
  <c r="AH430" i="5"/>
  <c r="AE66" i="5"/>
  <c r="AF66" i="5"/>
  <c r="AG66" i="5"/>
  <c r="AH66" i="5"/>
  <c r="AE336" i="5"/>
  <c r="AF336" i="5"/>
  <c r="AG336" i="5"/>
  <c r="AH336" i="5"/>
  <c r="AE605" i="5"/>
  <c r="AF605" i="5"/>
  <c r="AG605" i="5"/>
  <c r="AH605" i="5"/>
  <c r="AE337" i="5"/>
  <c r="AF337" i="5"/>
  <c r="AG337" i="5"/>
  <c r="AH337" i="5"/>
  <c r="AE412" i="5"/>
  <c r="AF412" i="5"/>
  <c r="AG412" i="5"/>
  <c r="AH412" i="5"/>
  <c r="AE246" i="5"/>
  <c r="AF246" i="5"/>
  <c r="AG246" i="5"/>
  <c r="AH246" i="5"/>
  <c r="AE390" i="5"/>
  <c r="AF390" i="5"/>
  <c r="AG390" i="5"/>
  <c r="AH390" i="5"/>
  <c r="AE496" i="5"/>
  <c r="AF496" i="5"/>
  <c r="AG496" i="5"/>
  <c r="AH496" i="5"/>
  <c r="AE354" i="5"/>
  <c r="AF354" i="5"/>
  <c r="AG354" i="5"/>
  <c r="AH354" i="5"/>
  <c r="AE167" i="5"/>
  <c r="AF167" i="5"/>
  <c r="AG167" i="5"/>
  <c r="AH167" i="5"/>
  <c r="AE144" i="5"/>
  <c r="AF144" i="5"/>
  <c r="AG144" i="5"/>
  <c r="AH144" i="5"/>
  <c r="AE391" i="5"/>
  <c r="AF391" i="5"/>
  <c r="AG391" i="5"/>
  <c r="AH391" i="5"/>
  <c r="AE355" i="5"/>
  <c r="AF355" i="5"/>
  <c r="AG355" i="5"/>
  <c r="AH355" i="5"/>
  <c r="AE129" i="5"/>
  <c r="AF129" i="5"/>
  <c r="AG129" i="5"/>
  <c r="AH129" i="5"/>
  <c r="AE524" i="5"/>
  <c r="AF524" i="5"/>
  <c r="AG524" i="5"/>
  <c r="AH524" i="5"/>
  <c r="AE106" i="5"/>
  <c r="AF106" i="5"/>
  <c r="AG106" i="5"/>
  <c r="AH106" i="5"/>
  <c r="AE578" i="5"/>
  <c r="AF578" i="5"/>
  <c r="AG578" i="5"/>
  <c r="AH578" i="5"/>
  <c r="AE579" i="5"/>
  <c r="AF579" i="5"/>
  <c r="AG579" i="5"/>
  <c r="AH579" i="5"/>
  <c r="AE589" i="5"/>
  <c r="AF589" i="5"/>
  <c r="AG589" i="5"/>
  <c r="AH589" i="5"/>
  <c r="AE316" i="5"/>
  <c r="AF316" i="5"/>
  <c r="AG316" i="5"/>
  <c r="AH316" i="5"/>
  <c r="AE230" i="5"/>
  <c r="AF230" i="5"/>
  <c r="AG230" i="5"/>
  <c r="AH230" i="5"/>
  <c r="AE217" i="5"/>
  <c r="AF217" i="5"/>
  <c r="AG217" i="5"/>
  <c r="AH217" i="5"/>
  <c r="AE292" i="5"/>
  <c r="AF292" i="5"/>
  <c r="AG292" i="5"/>
  <c r="AH292" i="5"/>
  <c r="AE470" i="5"/>
  <c r="AF470" i="5"/>
  <c r="AG470" i="5"/>
  <c r="AH470" i="5"/>
  <c r="AE375" i="5"/>
  <c r="AF375" i="5"/>
  <c r="AG375" i="5"/>
  <c r="AH375" i="5"/>
  <c r="AE195" i="5"/>
  <c r="AF195" i="5"/>
  <c r="AG195" i="5"/>
  <c r="AH195" i="5"/>
  <c r="AE317" i="5"/>
  <c r="AF317" i="5"/>
  <c r="AG317" i="5"/>
  <c r="AH317" i="5"/>
  <c r="AE440" i="5"/>
  <c r="AF440" i="5"/>
  <c r="AG440" i="5"/>
  <c r="AH440" i="5"/>
  <c r="AE263" i="5"/>
  <c r="AF263" i="5"/>
  <c r="AG263" i="5"/>
  <c r="AH263" i="5"/>
  <c r="AE168" i="5"/>
  <c r="AF168" i="5"/>
  <c r="AG168" i="5"/>
  <c r="AH168" i="5"/>
  <c r="AE549" i="5"/>
  <c r="AF549" i="5"/>
  <c r="AG549" i="5"/>
  <c r="AH549" i="5"/>
  <c r="AE420" i="5"/>
  <c r="AF420" i="5"/>
  <c r="AG420" i="5"/>
  <c r="AH420" i="5"/>
  <c r="AE365" i="5"/>
  <c r="AF365" i="5"/>
  <c r="AG365" i="5"/>
  <c r="AH365" i="5"/>
  <c r="AE517" i="5"/>
  <c r="AF517" i="5"/>
  <c r="AG517" i="5"/>
  <c r="AH517" i="5"/>
  <c r="AE544" i="5"/>
  <c r="AF544" i="5"/>
  <c r="AG544" i="5"/>
  <c r="AH544" i="5"/>
  <c r="AE293" i="5"/>
  <c r="AF293" i="5"/>
  <c r="AG293" i="5"/>
  <c r="AH293" i="5"/>
  <c r="AE458" i="5"/>
  <c r="AF458" i="5"/>
  <c r="AG458" i="5"/>
  <c r="AH458" i="5"/>
  <c r="AE79" i="5"/>
  <c r="AF79" i="5"/>
  <c r="AG79" i="5"/>
  <c r="AH79" i="5"/>
  <c r="AE80" i="5"/>
  <c r="AF80" i="5"/>
  <c r="AG80" i="5"/>
  <c r="AH80" i="5"/>
  <c r="AE392" i="5"/>
  <c r="AF392" i="5"/>
  <c r="AG392" i="5"/>
  <c r="AH392" i="5"/>
  <c r="AE218" i="5"/>
  <c r="AF218" i="5"/>
  <c r="AG218" i="5"/>
  <c r="AH218" i="5"/>
  <c r="AE53" i="5"/>
  <c r="AF53" i="5"/>
  <c r="AG53" i="5"/>
  <c r="AH53" i="5"/>
  <c r="AE54" i="5"/>
  <c r="AF54" i="5"/>
  <c r="AG54" i="5"/>
  <c r="AH54" i="5"/>
  <c r="AE497" i="5"/>
  <c r="AF497" i="5"/>
  <c r="AG497" i="5"/>
  <c r="AH497" i="5"/>
  <c r="AE231" i="5"/>
  <c r="AF231" i="5"/>
  <c r="AG231" i="5"/>
  <c r="AH231" i="5"/>
  <c r="AE264" i="5"/>
  <c r="AF264" i="5"/>
  <c r="AG264" i="5"/>
  <c r="AH264" i="5"/>
  <c r="AE356" i="5"/>
  <c r="AF356" i="5"/>
  <c r="AG356" i="5"/>
  <c r="AH356" i="5"/>
  <c r="AE107" i="5"/>
  <c r="AF107" i="5"/>
  <c r="AG107" i="5"/>
  <c r="AH107" i="5"/>
  <c r="AE33" i="5"/>
  <c r="AF33" i="5"/>
  <c r="AG33" i="5"/>
  <c r="AH33" i="5"/>
  <c r="AE24" i="5"/>
  <c r="AF24" i="5"/>
  <c r="AG24" i="5"/>
  <c r="AH24" i="5"/>
  <c r="AE366" i="5"/>
  <c r="AF366" i="5"/>
  <c r="AG366" i="5"/>
  <c r="AH366" i="5"/>
  <c r="AE81" i="5"/>
  <c r="AF81" i="5"/>
  <c r="AG81" i="5"/>
  <c r="AH81" i="5"/>
  <c r="AE376" i="5"/>
  <c r="AF376" i="5"/>
  <c r="AG376" i="5"/>
  <c r="AH376" i="5"/>
  <c r="AE196" i="5"/>
  <c r="AF196" i="5"/>
  <c r="AG196" i="5"/>
  <c r="AH196" i="5"/>
  <c r="AE567" i="5"/>
  <c r="AF567" i="5"/>
  <c r="AG567" i="5"/>
  <c r="AH567" i="5"/>
  <c r="AE441" i="5"/>
  <c r="AF441" i="5"/>
  <c r="AG441" i="5"/>
  <c r="AH441" i="5"/>
  <c r="AE20" i="5"/>
  <c r="AF20" i="5"/>
  <c r="AG20" i="5"/>
  <c r="AH20" i="5"/>
  <c r="AE5" i="5"/>
  <c r="AF5" i="5"/>
  <c r="AG5" i="5"/>
  <c r="AH5" i="5"/>
  <c r="AE442" i="5"/>
  <c r="AF442" i="5"/>
  <c r="AG442" i="5"/>
  <c r="AH442" i="5"/>
  <c r="AE626" i="5"/>
  <c r="AF626" i="5"/>
  <c r="AG626" i="5"/>
  <c r="AH626" i="5"/>
  <c r="AE232" i="5"/>
  <c r="AF232" i="5"/>
  <c r="AG232" i="5"/>
  <c r="AH232" i="5"/>
  <c r="AE169" i="5"/>
  <c r="AF169" i="5"/>
  <c r="AG169" i="5"/>
  <c r="AH169" i="5"/>
  <c r="AE200" i="5"/>
  <c r="AF200" i="5"/>
  <c r="AG200" i="5"/>
  <c r="AH200" i="5"/>
  <c r="AE318" i="5"/>
  <c r="AF318" i="5"/>
  <c r="AG318" i="5"/>
  <c r="AH318" i="5"/>
  <c r="AE145" i="5"/>
  <c r="AF145" i="5"/>
  <c r="AG145" i="5"/>
  <c r="AH145" i="5"/>
  <c r="AE82" i="5"/>
  <c r="AF82" i="5"/>
  <c r="AG82" i="5"/>
  <c r="AH82" i="5"/>
  <c r="AE233" i="5"/>
  <c r="AF233" i="5"/>
  <c r="AG233" i="5"/>
  <c r="AH233" i="5"/>
  <c r="AE34" i="5"/>
  <c r="AF34" i="5"/>
  <c r="AG34" i="5"/>
  <c r="AH34" i="5"/>
  <c r="AE130" i="5"/>
  <c r="AF130" i="5"/>
  <c r="AG130" i="5"/>
  <c r="AH130" i="5"/>
  <c r="AE399" i="5"/>
  <c r="AF399" i="5"/>
  <c r="AG399" i="5"/>
  <c r="AH399" i="5"/>
  <c r="AE6" i="5"/>
  <c r="AF6" i="5"/>
  <c r="AG6" i="5"/>
  <c r="AH6" i="5"/>
  <c r="AE240" i="5"/>
  <c r="AF240" i="5"/>
  <c r="AG240" i="5"/>
  <c r="AH240" i="5"/>
  <c r="AE485" i="5"/>
  <c r="AF485" i="5"/>
  <c r="AG485" i="5"/>
  <c r="AH485" i="5"/>
  <c r="AE118" i="5"/>
  <c r="AF118" i="5"/>
  <c r="AG118" i="5"/>
  <c r="AH118" i="5"/>
  <c r="AE357" i="5"/>
  <c r="AF357" i="5"/>
  <c r="AG357" i="5"/>
  <c r="AH357" i="5"/>
  <c r="AE425" i="5"/>
  <c r="AF425" i="5"/>
  <c r="AG425" i="5"/>
  <c r="AH425" i="5"/>
  <c r="AE89" i="5"/>
  <c r="AF89" i="5"/>
  <c r="AG89" i="5"/>
  <c r="AH89" i="5"/>
  <c r="AE156" i="5"/>
  <c r="AF156" i="5"/>
  <c r="AG156" i="5"/>
  <c r="AH156" i="5"/>
  <c r="AE90" i="5"/>
  <c r="AF90" i="5"/>
  <c r="AG90" i="5"/>
  <c r="AH90" i="5"/>
  <c r="AE201" i="5"/>
  <c r="AF201" i="5"/>
  <c r="AG201" i="5"/>
  <c r="AH201" i="5"/>
  <c r="AE580" i="5"/>
  <c r="AF580" i="5"/>
  <c r="AG580" i="5"/>
  <c r="AH580" i="5"/>
  <c r="AE55" i="5"/>
  <c r="AF55" i="5"/>
  <c r="AG55" i="5"/>
  <c r="AH55" i="5"/>
  <c r="AE518" i="5"/>
  <c r="AF518" i="5"/>
  <c r="AG518" i="5"/>
  <c r="AH518" i="5"/>
  <c r="AE615" i="5"/>
  <c r="AF615" i="5"/>
  <c r="AG615" i="5"/>
  <c r="AH615" i="5"/>
  <c r="AE247" i="5"/>
  <c r="AF247" i="5"/>
  <c r="AG247" i="5"/>
  <c r="AH247" i="5"/>
  <c r="AE170" i="5"/>
  <c r="AF170" i="5"/>
  <c r="AG170" i="5"/>
  <c r="AH170" i="5"/>
  <c r="AE590" i="5"/>
  <c r="AF590" i="5"/>
  <c r="AG590" i="5"/>
  <c r="AH590" i="5"/>
  <c r="AE550" i="5"/>
  <c r="AF550" i="5"/>
  <c r="AG550" i="5"/>
  <c r="AH550" i="5"/>
  <c r="AE69" i="5"/>
  <c r="AF69" i="5"/>
  <c r="AG69" i="5"/>
  <c r="AH69" i="5"/>
  <c r="AE265" i="5"/>
  <c r="AF265" i="5"/>
  <c r="AG265" i="5"/>
  <c r="AH265" i="5"/>
  <c r="AE498" i="5"/>
  <c r="AF498" i="5"/>
  <c r="AG498" i="5"/>
  <c r="AH498" i="5"/>
  <c r="AE319" i="5"/>
  <c r="AF319" i="5"/>
  <c r="AG319" i="5"/>
  <c r="AH319" i="5"/>
  <c r="AE10" i="5"/>
  <c r="AF10" i="5"/>
  <c r="AG10" i="5"/>
  <c r="AH10" i="5"/>
  <c r="AE11" i="5"/>
  <c r="AF11" i="5"/>
  <c r="AG11" i="5"/>
  <c r="AH11" i="5"/>
  <c r="AE377" i="5"/>
  <c r="AF377" i="5"/>
  <c r="AG377" i="5"/>
  <c r="AH377" i="5"/>
  <c r="AE248" i="5"/>
  <c r="AF248" i="5"/>
  <c r="AG248" i="5"/>
  <c r="AH248" i="5"/>
  <c r="AE12" i="5"/>
  <c r="AF12" i="5"/>
  <c r="AG12" i="5"/>
  <c r="AH12" i="5"/>
  <c r="AE635" i="5"/>
  <c r="AF635" i="5"/>
  <c r="AG635" i="5"/>
  <c r="AH635" i="5"/>
  <c r="AE551" i="5"/>
  <c r="AF551" i="5"/>
  <c r="AG551" i="5"/>
  <c r="AH551" i="5"/>
  <c r="AE299" i="5"/>
  <c r="AF299" i="5"/>
  <c r="AG299" i="5"/>
  <c r="AH299" i="5"/>
  <c r="AE393" i="5"/>
  <c r="AF393" i="5"/>
  <c r="AG393" i="5"/>
  <c r="AH393" i="5"/>
  <c r="AE157" i="5"/>
  <c r="AF157" i="5"/>
  <c r="AG157" i="5"/>
  <c r="AH157" i="5"/>
  <c r="AE202" i="5"/>
  <c r="AF202" i="5"/>
  <c r="AG202" i="5"/>
  <c r="AH202" i="5"/>
  <c r="AE378" i="5"/>
  <c r="AF378" i="5"/>
  <c r="AG378" i="5"/>
  <c r="AH378" i="5"/>
  <c r="AE559" i="5"/>
  <c r="AF559" i="5"/>
  <c r="AG559" i="5"/>
  <c r="AH559" i="5"/>
  <c r="AE443" i="5"/>
  <c r="AF443" i="5"/>
  <c r="AG443" i="5"/>
  <c r="AH443" i="5"/>
  <c r="AE179" i="5"/>
  <c r="AF179" i="5"/>
  <c r="AG179" i="5"/>
  <c r="AH179" i="5"/>
  <c r="AE499" i="5"/>
  <c r="AF499" i="5"/>
  <c r="AG499" i="5"/>
  <c r="AH499" i="5"/>
  <c r="AE486" i="5"/>
  <c r="AF486" i="5"/>
  <c r="AG486" i="5"/>
  <c r="AH486" i="5"/>
  <c r="AE146" i="5"/>
  <c r="AF146" i="5"/>
  <c r="AG146" i="5"/>
  <c r="AH146" i="5"/>
  <c r="AE487" i="5"/>
  <c r="AF487" i="5"/>
  <c r="AG487" i="5"/>
  <c r="AH487" i="5"/>
  <c r="AE358" i="5"/>
  <c r="AF358" i="5"/>
  <c r="AG358" i="5"/>
  <c r="AH358" i="5"/>
  <c r="AE444" i="5"/>
  <c r="AF444" i="5"/>
  <c r="AG444" i="5"/>
  <c r="AH444" i="5"/>
  <c r="AE219" i="5"/>
  <c r="AF219" i="5"/>
  <c r="AG219" i="5"/>
  <c r="AH219" i="5"/>
  <c r="AE400" i="5"/>
  <c r="AF400" i="5"/>
  <c r="AG400" i="5"/>
  <c r="AH400" i="5"/>
  <c r="AE379" i="5"/>
  <c r="AF379" i="5"/>
  <c r="AG379" i="5"/>
  <c r="AH379" i="5"/>
  <c r="AE91" i="5"/>
  <c r="AF91" i="5"/>
  <c r="AG91" i="5"/>
  <c r="AH91" i="5"/>
  <c r="AE119" i="5"/>
  <c r="AF119" i="5"/>
  <c r="AG119" i="5"/>
  <c r="AH119" i="5"/>
  <c r="AE300" i="5"/>
  <c r="AF300" i="5"/>
  <c r="AG300" i="5"/>
  <c r="AH300" i="5"/>
  <c r="AE320" i="5"/>
  <c r="AF320" i="5"/>
  <c r="AG320" i="5"/>
  <c r="AH320" i="5"/>
  <c r="AE203" i="5"/>
  <c r="AF203" i="5"/>
  <c r="AG203" i="5"/>
  <c r="AH203" i="5"/>
  <c r="AE56" i="5"/>
  <c r="AF56" i="5"/>
  <c r="AG56" i="5"/>
  <c r="AH56" i="5"/>
  <c r="AE627" i="5"/>
  <c r="AF627" i="5"/>
  <c r="AG627" i="5"/>
  <c r="AH627" i="5"/>
  <c r="AE57" i="5"/>
  <c r="AF57" i="5"/>
  <c r="AG57" i="5"/>
  <c r="AH57" i="5"/>
  <c r="AE294" i="5"/>
  <c r="AF294" i="5"/>
  <c r="AG294" i="5"/>
  <c r="AH294" i="5"/>
  <c r="AE58" i="5"/>
  <c r="AF58" i="5"/>
  <c r="AG58" i="5"/>
  <c r="AH58" i="5"/>
  <c r="AE147" i="5"/>
  <c r="AF147" i="5"/>
  <c r="AG147" i="5"/>
  <c r="AH147" i="5"/>
  <c r="AE266" i="5"/>
  <c r="AF266" i="5"/>
  <c r="AG266" i="5"/>
  <c r="AH266" i="5"/>
  <c r="AE359" i="5"/>
  <c r="AF359" i="5"/>
  <c r="AG359" i="5"/>
  <c r="AH359" i="5"/>
  <c r="AE301" i="5"/>
  <c r="AF301" i="5"/>
  <c r="AG301" i="5"/>
  <c r="AH301" i="5"/>
  <c r="AE204" i="5"/>
  <c r="AF204" i="5"/>
  <c r="AG204" i="5"/>
  <c r="AH204" i="5"/>
  <c r="AE180" i="5"/>
  <c r="AF180" i="5"/>
  <c r="AG180" i="5"/>
  <c r="AH180" i="5"/>
  <c r="AE46" i="5"/>
  <c r="AF46" i="5"/>
  <c r="AG46" i="5"/>
  <c r="AH46" i="5"/>
  <c r="AE426" i="5"/>
  <c r="AF426" i="5"/>
  <c r="AG426" i="5"/>
  <c r="AH426" i="5"/>
  <c r="AE591" i="5"/>
  <c r="AF591" i="5"/>
  <c r="AG591" i="5"/>
  <c r="AH591" i="5"/>
  <c r="AE536" i="5"/>
  <c r="AF536" i="5"/>
  <c r="AG536" i="5"/>
  <c r="AH536" i="5"/>
  <c r="AE158" i="5"/>
  <c r="AF158" i="5"/>
  <c r="AG158" i="5"/>
  <c r="AH158" i="5"/>
  <c r="AE159" i="5"/>
  <c r="AF159" i="5"/>
  <c r="AG159" i="5"/>
  <c r="AH159" i="5"/>
  <c r="AE267" i="5"/>
  <c r="AF267" i="5"/>
  <c r="AG267" i="5"/>
  <c r="AH267" i="5"/>
  <c r="AE92" i="5"/>
  <c r="AF92" i="5"/>
  <c r="AG92" i="5"/>
  <c r="AH92" i="5"/>
  <c r="AE628" i="5"/>
  <c r="AF628" i="5"/>
  <c r="AG628" i="5"/>
  <c r="AH628" i="5"/>
  <c r="AE471" i="5"/>
  <c r="AF471" i="5"/>
  <c r="AG471" i="5"/>
  <c r="AH471" i="5"/>
  <c r="AE59" i="5"/>
  <c r="AF59" i="5"/>
  <c r="AG59" i="5"/>
  <c r="AH59" i="5"/>
  <c r="AE205" i="5"/>
  <c r="AF205" i="5"/>
  <c r="AG205" i="5"/>
  <c r="AH205" i="5"/>
  <c r="AE592" i="5"/>
  <c r="AF592" i="5"/>
  <c r="AG592" i="5"/>
  <c r="AH592" i="5"/>
  <c r="AE35" i="5"/>
  <c r="AF35" i="5"/>
  <c r="AG35" i="5"/>
  <c r="AH35" i="5"/>
  <c r="AE234" i="5"/>
  <c r="AF234" i="5"/>
  <c r="AG234" i="5"/>
  <c r="AH234" i="5"/>
  <c r="AE519" i="5"/>
  <c r="AF519" i="5"/>
  <c r="AG519" i="5"/>
  <c r="AH519" i="5"/>
  <c r="AE7" i="5"/>
  <c r="AF7" i="5"/>
  <c r="AG7" i="5"/>
  <c r="AH7" i="5"/>
  <c r="AE367" i="5"/>
  <c r="AF367" i="5"/>
  <c r="AG367" i="5"/>
  <c r="AH367" i="5"/>
  <c r="AE249" i="5"/>
  <c r="AF249" i="5"/>
  <c r="AG249" i="5"/>
  <c r="AH249" i="5"/>
  <c r="AE25" i="5"/>
  <c r="AF25" i="5"/>
  <c r="AG25" i="5"/>
  <c r="AH25" i="5"/>
  <c r="AE197" i="5"/>
  <c r="AF197" i="5"/>
  <c r="AG197" i="5"/>
  <c r="AH197" i="5"/>
  <c r="AE26" i="5"/>
  <c r="AF26" i="5"/>
  <c r="AG26" i="5"/>
  <c r="AH26" i="5"/>
  <c r="AE537" i="5"/>
  <c r="AF537" i="5"/>
  <c r="AG537" i="5"/>
  <c r="AH537" i="5"/>
  <c r="AE148" i="5"/>
  <c r="AF148" i="5"/>
  <c r="AG148" i="5"/>
  <c r="AH148" i="5"/>
  <c r="AE181" i="5"/>
  <c r="AF181" i="5"/>
  <c r="AG181" i="5"/>
  <c r="AH181" i="5"/>
  <c r="AE380" i="5"/>
  <c r="AF380" i="5"/>
  <c r="AG380" i="5"/>
  <c r="AH380" i="5"/>
  <c r="AE70" i="5"/>
  <c r="AF70" i="5"/>
  <c r="AG70" i="5"/>
  <c r="AH70" i="5"/>
  <c r="AE131" i="5"/>
  <c r="AF131" i="5"/>
  <c r="AG131" i="5"/>
  <c r="AH131" i="5"/>
  <c r="AE108" i="5"/>
  <c r="AF108" i="5"/>
  <c r="AG108" i="5"/>
  <c r="AH108" i="5"/>
  <c r="AE401" i="5"/>
  <c r="AF401" i="5"/>
  <c r="AG401" i="5"/>
  <c r="AH401" i="5"/>
  <c r="AE241" i="5"/>
  <c r="AF241" i="5"/>
  <c r="AG241" i="5"/>
  <c r="AH241" i="5"/>
  <c r="AE250" i="5"/>
  <c r="AF250" i="5"/>
  <c r="AG250" i="5"/>
  <c r="AH250" i="5"/>
  <c r="AE132" i="5"/>
  <c r="AF132" i="5"/>
  <c r="AG132" i="5"/>
  <c r="AH132" i="5"/>
  <c r="AE160" i="5"/>
  <c r="AF160" i="5"/>
  <c r="AG160" i="5"/>
  <c r="AH160" i="5"/>
  <c r="AE427" i="5"/>
  <c r="AF427" i="5"/>
  <c r="AG427" i="5"/>
  <c r="AH427" i="5"/>
  <c r="AE593" i="5"/>
  <c r="AF593" i="5"/>
  <c r="AG593" i="5"/>
  <c r="AH593" i="5"/>
  <c r="AE109" i="5"/>
  <c r="AF109" i="5"/>
  <c r="AG109" i="5"/>
  <c r="AH109" i="5"/>
  <c r="AE110" i="5"/>
  <c r="AF110" i="5"/>
  <c r="AG110" i="5"/>
  <c r="AH110" i="5"/>
  <c r="AE360" i="5"/>
  <c r="AF360" i="5"/>
  <c r="AG360" i="5"/>
  <c r="AH360" i="5"/>
  <c r="AE431" i="5"/>
  <c r="AF431" i="5"/>
  <c r="AG431" i="5"/>
  <c r="AH431" i="5"/>
  <c r="AE525" i="5"/>
  <c r="AF525" i="5"/>
  <c r="AG525" i="5"/>
  <c r="AH525" i="5"/>
  <c r="AE27" i="5"/>
  <c r="AF27" i="5"/>
  <c r="AG27" i="5"/>
  <c r="AH27" i="5"/>
  <c r="AE500" i="5"/>
  <c r="AF500" i="5"/>
  <c r="AG500" i="5"/>
  <c r="AH500" i="5"/>
  <c r="AE552" i="5"/>
  <c r="AF552" i="5"/>
  <c r="AG552" i="5"/>
  <c r="AH552" i="5"/>
  <c r="AE629" i="5"/>
  <c r="AF629" i="5"/>
  <c r="AG629" i="5"/>
  <c r="AH629" i="5"/>
  <c r="AE302" i="5"/>
  <c r="AF302" i="5"/>
  <c r="AG302" i="5"/>
  <c r="AH302" i="5"/>
  <c r="AE616" i="5"/>
  <c r="AF616" i="5"/>
  <c r="AG616" i="5"/>
  <c r="AH616" i="5"/>
  <c r="AE338" i="5"/>
  <c r="AF338" i="5"/>
  <c r="AG338" i="5"/>
  <c r="AH338" i="5"/>
  <c r="AE268" i="5"/>
  <c r="AF268" i="5"/>
  <c r="AG268" i="5"/>
  <c r="AH268" i="5"/>
  <c r="AE242" i="5"/>
  <c r="AF242" i="5"/>
  <c r="AG242" i="5"/>
  <c r="AH242" i="5"/>
  <c r="AE560" i="5"/>
  <c r="AF560" i="5"/>
  <c r="AG560" i="5"/>
  <c r="AH560" i="5"/>
  <c r="AE630" i="5"/>
  <c r="AF630" i="5"/>
  <c r="AG630" i="5"/>
  <c r="AH630" i="5"/>
  <c r="AE71" i="5"/>
  <c r="AF71" i="5"/>
  <c r="AG71" i="5"/>
  <c r="AH71" i="5"/>
  <c r="AE381" i="5"/>
  <c r="AF381" i="5"/>
  <c r="AG381" i="5"/>
  <c r="AH381" i="5"/>
  <c r="AE631" i="5"/>
  <c r="AF631" i="5"/>
  <c r="AG631" i="5"/>
  <c r="AH631" i="5"/>
  <c r="AE161" i="5"/>
  <c r="AF161" i="5"/>
  <c r="AG161" i="5"/>
  <c r="AH161" i="5"/>
  <c r="AE321" i="5"/>
  <c r="AF321" i="5"/>
  <c r="AG321" i="5"/>
  <c r="AH321" i="5"/>
  <c r="AE402" i="5"/>
  <c r="AF402" i="5"/>
  <c r="AG402" i="5"/>
  <c r="AH402" i="5"/>
  <c r="AE488" i="5"/>
  <c r="AF488" i="5"/>
  <c r="AG488" i="5"/>
  <c r="AH488" i="5"/>
  <c r="AE111" i="5"/>
  <c r="AF111" i="5"/>
  <c r="AG111" i="5"/>
  <c r="AH111" i="5"/>
  <c r="AE459" i="5"/>
  <c r="AF459" i="5"/>
  <c r="AG459" i="5"/>
  <c r="AH459" i="5"/>
  <c r="AE526" i="5"/>
  <c r="AF526" i="5"/>
  <c r="AG526" i="5"/>
  <c r="AH526" i="5"/>
  <c r="AE72" i="5"/>
  <c r="AF72" i="5"/>
  <c r="AG72" i="5"/>
  <c r="AH72" i="5"/>
  <c r="AE295" i="5"/>
  <c r="AF295" i="5"/>
  <c r="AG295" i="5"/>
  <c r="AH295" i="5"/>
  <c r="AE243" i="5"/>
  <c r="AF243" i="5"/>
  <c r="AG243" i="5"/>
  <c r="AH243" i="5"/>
  <c r="AE322" i="5"/>
  <c r="AF322" i="5"/>
  <c r="AG322" i="5"/>
  <c r="AH322" i="5"/>
  <c r="AE478" i="5"/>
  <c r="AF478" i="5"/>
  <c r="AG478" i="5"/>
  <c r="AH478" i="5"/>
  <c r="AE60" i="5"/>
  <c r="AF60" i="5"/>
  <c r="AG60" i="5"/>
  <c r="AH60" i="5"/>
  <c r="AE133" i="5"/>
  <c r="AF133" i="5"/>
  <c r="AG133" i="5"/>
  <c r="AH133" i="5"/>
  <c r="AE244" i="5"/>
  <c r="AF244" i="5"/>
  <c r="AG244" i="5"/>
  <c r="AH244" i="5"/>
  <c r="AE632" i="5"/>
  <c r="AF632" i="5"/>
  <c r="AG632" i="5"/>
  <c r="AH632" i="5"/>
  <c r="AE561" i="5"/>
  <c r="AF561" i="5"/>
  <c r="AG561" i="5"/>
  <c r="AH561" i="5"/>
  <c r="AE323" i="5"/>
  <c r="AF323" i="5"/>
  <c r="AG323" i="5"/>
  <c r="AH323" i="5"/>
  <c r="AE581" i="5"/>
  <c r="AF581" i="5"/>
  <c r="AG581" i="5"/>
  <c r="AH581" i="5"/>
  <c r="AE501" i="5"/>
  <c r="AF501" i="5"/>
  <c r="AG501" i="5"/>
  <c r="AH501" i="5"/>
  <c r="AE445" i="5"/>
  <c r="AF445" i="5"/>
  <c r="AG445" i="5"/>
  <c r="AH445" i="5"/>
  <c r="AE413" i="5"/>
  <c r="AF413" i="5"/>
  <c r="AG413" i="5"/>
  <c r="AH413" i="5"/>
  <c r="AE594" i="5"/>
  <c r="AF594" i="5"/>
  <c r="AG594" i="5"/>
  <c r="AH594" i="5"/>
  <c r="AE339" i="5"/>
  <c r="AF339" i="5"/>
  <c r="AG339" i="5"/>
  <c r="AH339" i="5"/>
  <c r="AE446" i="5"/>
  <c r="AF446" i="5"/>
  <c r="AG446" i="5"/>
  <c r="AH446" i="5"/>
  <c r="AE421" i="5"/>
  <c r="AF421" i="5"/>
  <c r="AG421" i="5"/>
  <c r="AH421" i="5"/>
  <c r="AE595" i="5"/>
  <c r="AF595" i="5"/>
  <c r="AG595" i="5"/>
  <c r="AH595" i="5"/>
  <c r="AE47" i="5"/>
  <c r="AF47" i="5"/>
  <c r="AG47" i="5"/>
  <c r="AH47" i="5"/>
  <c r="AE269" i="5"/>
  <c r="AF269" i="5"/>
  <c r="AG269" i="5"/>
  <c r="AH269" i="5"/>
  <c r="AE502" i="5"/>
  <c r="AF502" i="5"/>
  <c r="AG502" i="5"/>
  <c r="AH502" i="5"/>
  <c r="AE251" i="5"/>
  <c r="AF251" i="5"/>
  <c r="AG251" i="5"/>
  <c r="AH251" i="5"/>
  <c r="AE48" i="5"/>
  <c r="AF48" i="5"/>
  <c r="AG48" i="5"/>
  <c r="AH48" i="5"/>
  <c r="AE324" i="5"/>
  <c r="AF324" i="5"/>
  <c r="AG324" i="5"/>
  <c r="AH324" i="5"/>
  <c r="AE270" i="5"/>
  <c r="AF270" i="5"/>
  <c r="AG270" i="5"/>
  <c r="AH270" i="5"/>
  <c r="AE472" i="5"/>
  <c r="AF472" i="5"/>
  <c r="AG472" i="5"/>
  <c r="AH472" i="5"/>
  <c r="AE394" i="5"/>
  <c r="AF394" i="5"/>
  <c r="AG394" i="5"/>
  <c r="AH394" i="5"/>
  <c r="AE73" i="5"/>
  <c r="AF73" i="5"/>
  <c r="AG73" i="5"/>
  <c r="AH73" i="5"/>
  <c r="AE61" i="5"/>
  <c r="AF61" i="5"/>
  <c r="AG61" i="5"/>
  <c r="AH61" i="5"/>
  <c r="AE582" i="5"/>
  <c r="AF582" i="5"/>
  <c r="AG582" i="5"/>
  <c r="AH582" i="5"/>
  <c r="AE296" i="5"/>
  <c r="AF296" i="5"/>
  <c r="AG296" i="5"/>
  <c r="AH296" i="5"/>
  <c r="AE171" i="5"/>
  <c r="AF171" i="5"/>
  <c r="AG171" i="5"/>
  <c r="AH171" i="5"/>
  <c r="AE182" i="5"/>
  <c r="AF182" i="5"/>
  <c r="AG182" i="5"/>
  <c r="AH182" i="5"/>
  <c r="AE62" i="5"/>
  <c r="AF62" i="5"/>
  <c r="AG62" i="5"/>
  <c r="AH62" i="5"/>
  <c r="AE149" i="5"/>
  <c r="AF149" i="5"/>
  <c r="AG149" i="5"/>
  <c r="AH149" i="5"/>
  <c r="AE325" i="5"/>
  <c r="AF325" i="5"/>
  <c r="AG325" i="5"/>
  <c r="AH325" i="5"/>
  <c r="AE245" i="5"/>
  <c r="AF245" i="5"/>
  <c r="AG245" i="5"/>
  <c r="AH245" i="5"/>
  <c r="AE503" i="5"/>
  <c r="AF503" i="5"/>
  <c r="AG503" i="5"/>
  <c r="AH503" i="5"/>
  <c r="AE382" i="5"/>
  <c r="AF382" i="5"/>
  <c r="AG382" i="5"/>
  <c r="AH382" i="5"/>
  <c r="AE303" i="5"/>
  <c r="AF303" i="5"/>
  <c r="AG303" i="5"/>
  <c r="AH303" i="5"/>
  <c r="AE120" i="5"/>
  <c r="AF120" i="5"/>
  <c r="AG120" i="5"/>
  <c r="AH120" i="5"/>
  <c r="AE134" i="5"/>
  <c r="AF134" i="5"/>
  <c r="AG134" i="5"/>
  <c r="AH134" i="5"/>
  <c r="AE596" i="5"/>
  <c r="AF596" i="5"/>
  <c r="AG596" i="5"/>
  <c r="AH596" i="5"/>
  <c r="AE617" i="5"/>
  <c r="AF617" i="5"/>
  <c r="AG617" i="5"/>
  <c r="AH617" i="5"/>
  <c r="AE235" i="5"/>
  <c r="AF235" i="5"/>
  <c r="AG235" i="5"/>
  <c r="AH235" i="5"/>
  <c r="AE121" i="5"/>
  <c r="AF121" i="5"/>
  <c r="AG121" i="5"/>
  <c r="AH121" i="5"/>
  <c r="AE271" i="5"/>
  <c r="AF271" i="5"/>
  <c r="AG271" i="5"/>
  <c r="AH271" i="5"/>
  <c r="AE460" i="5"/>
  <c r="AF460" i="5"/>
  <c r="AG460" i="5"/>
  <c r="AH460" i="5"/>
  <c r="AE150" i="5"/>
  <c r="AF150" i="5"/>
  <c r="AG150" i="5"/>
  <c r="AH150" i="5"/>
  <c r="AE183" i="5"/>
  <c r="AF183" i="5"/>
  <c r="AG183" i="5"/>
  <c r="AH183" i="5"/>
  <c r="AE184" i="5"/>
  <c r="AF184" i="5"/>
  <c r="AG184" i="5"/>
  <c r="AH184" i="5"/>
  <c r="AE326" i="5"/>
  <c r="AF326" i="5"/>
  <c r="AG326" i="5"/>
  <c r="AH326" i="5"/>
  <c r="AE198" i="5"/>
  <c r="AF198" i="5"/>
  <c r="AG198" i="5"/>
  <c r="AH198" i="5"/>
  <c r="AE21" i="5"/>
  <c r="AF21" i="5"/>
  <c r="AG21" i="5"/>
  <c r="AH21" i="5"/>
  <c r="AE185" i="5"/>
  <c r="AF185" i="5"/>
  <c r="AG185" i="5"/>
  <c r="AH185" i="5"/>
  <c r="AE538" i="5"/>
  <c r="AF538" i="5"/>
  <c r="AG538" i="5"/>
  <c r="AH538" i="5"/>
  <c r="AE383" i="5"/>
  <c r="AF383" i="5"/>
  <c r="AG383" i="5"/>
  <c r="AH383" i="5"/>
  <c r="AE618" i="5"/>
  <c r="AF618" i="5"/>
  <c r="AG618" i="5"/>
  <c r="AH618" i="5"/>
  <c r="AE489" i="5"/>
  <c r="AF489" i="5"/>
  <c r="AG489" i="5"/>
  <c r="AH489" i="5"/>
  <c r="AE395" i="5"/>
  <c r="AF395" i="5"/>
  <c r="AG395" i="5"/>
  <c r="AH395" i="5"/>
  <c r="AE583" i="5"/>
  <c r="AF583" i="5"/>
  <c r="AG583" i="5"/>
  <c r="AH583" i="5"/>
  <c r="AE135" i="5"/>
  <c r="AF135" i="5"/>
  <c r="AG135" i="5"/>
  <c r="AH135" i="5"/>
  <c r="AE49" i="5"/>
  <c r="AF49" i="5"/>
  <c r="AG49" i="5"/>
  <c r="AH49" i="5"/>
  <c r="AE327" i="5"/>
  <c r="AF327" i="5"/>
  <c r="AG327" i="5"/>
  <c r="AH327" i="5"/>
  <c r="AE562" i="5"/>
  <c r="AF562" i="5"/>
  <c r="AG562" i="5"/>
  <c r="AH562" i="5"/>
  <c r="AE172" i="5"/>
  <c r="AF172" i="5"/>
  <c r="AG172" i="5"/>
  <c r="AH172" i="5"/>
  <c r="AE136" i="5"/>
  <c r="AF136" i="5"/>
  <c r="AG136" i="5"/>
  <c r="AH136" i="5"/>
  <c r="AE151" i="5"/>
  <c r="AF151" i="5"/>
  <c r="AG151" i="5"/>
  <c r="AH151" i="5"/>
  <c r="AE340" i="5"/>
  <c r="AF340" i="5"/>
  <c r="AG340" i="5"/>
  <c r="AH340" i="5"/>
  <c r="AE384" i="5"/>
  <c r="AF384" i="5"/>
  <c r="AG384" i="5"/>
  <c r="AH384" i="5"/>
  <c r="AE137" i="5"/>
  <c r="AF137" i="5"/>
  <c r="AG137" i="5"/>
  <c r="AH137" i="5"/>
  <c r="AE341" i="5"/>
  <c r="AF341" i="5"/>
  <c r="AG341" i="5"/>
  <c r="AH341" i="5"/>
  <c r="AE414" i="5"/>
  <c r="AF414" i="5"/>
  <c r="AG414" i="5"/>
  <c r="AH414" i="5"/>
  <c r="AE112" i="5"/>
  <c r="AF112" i="5"/>
  <c r="AG112" i="5"/>
  <c r="AH112" i="5"/>
  <c r="AE36" i="5"/>
  <c r="AF36" i="5"/>
  <c r="AG36" i="5"/>
  <c r="AH36" i="5"/>
  <c r="AE252" i="5"/>
  <c r="AF252" i="5"/>
  <c r="AG252" i="5"/>
  <c r="AH252" i="5"/>
  <c r="AE553" i="5"/>
  <c r="AF553" i="5"/>
  <c r="AG553" i="5"/>
  <c r="AH553" i="5"/>
  <c r="AE473" i="5"/>
  <c r="AF473" i="5"/>
  <c r="AG473" i="5"/>
  <c r="AH473" i="5"/>
  <c r="AE474" i="5"/>
  <c r="AF474" i="5"/>
  <c r="AG474" i="5"/>
  <c r="AH474" i="5"/>
  <c r="AE396" i="5"/>
  <c r="AF396" i="5"/>
  <c r="AG396" i="5"/>
  <c r="AH396" i="5"/>
  <c r="AE584" i="5"/>
  <c r="AF584" i="5"/>
  <c r="AG584" i="5"/>
  <c r="AH584" i="5"/>
  <c r="AE545" i="5"/>
  <c r="AF545" i="5"/>
  <c r="AG545" i="5"/>
  <c r="AH545" i="5"/>
  <c r="AE633" i="5"/>
  <c r="AF633" i="5"/>
  <c r="AG633" i="5"/>
  <c r="AH633" i="5"/>
  <c r="AE403" i="5"/>
  <c r="AF403" i="5"/>
  <c r="AG403" i="5"/>
  <c r="AH403" i="5"/>
  <c r="AE22" i="5"/>
  <c r="AF22" i="5"/>
  <c r="AG22" i="5"/>
  <c r="AH22" i="5"/>
  <c r="AE504" i="5"/>
  <c r="AF504" i="5"/>
  <c r="AG504" i="5"/>
  <c r="AH504" i="5"/>
  <c r="AE447" i="5"/>
  <c r="AF447" i="5"/>
  <c r="AG447" i="5"/>
  <c r="AH447" i="5"/>
  <c r="AE206" i="5"/>
  <c r="AF206" i="5"/>
  <c r="AG206" i="5"/>
  <c r="AH206" i="5"/>
  <c r="AE13" i="5"/>
  <c r="AF13" i="5"/>
  <c r="AG13" i="5"/>
  <c r="AH13" i="5"/>
  <c r="AE272" i="5"/>
  <c r="AF272" i="5"/>
  <c r="AG272" i="5"/>
  <c r="AH272" i="5"/>
  <c r="AE173" i="5"/>
  <c r="AF173" i="5"/>
  <c r="AG173" i="5"/>
  <c r="AH173" i="5"/>
  <c r="AE634" i="5"/>
  <c r="AF634" i="5"/>
  <c r="AG634" i="5"/>
  <c r="AH634" i="5"/>
  <c r="AE284" i="5"/>
  <c r="AF284" i="5"/>
  <c r="AG284" i="5"/>
  <c r="AH284" i="5"/>
  <c r="AE162" i="5"/>
  <c r="AF162" i="5"/>
  <c r="AG162" i="5"/>
  <c r="AH162" i="5"/>
  <c r="AE63" i="5"/>
  <c r="AF63" i="5"/>
  <c r="AG63" i="5"/>
  <c r="AH63" i="5"/>
  <c r="AE397" i="5"/>
  <c r="AF397" i="5"/>
  <c r="AG397" i="5"/>
  <c r="AH397" i="5"/>
  <c r="AE597" i="5"/>
  <c r="AF597" i="5"/>
  <c r="AG597" i="5"/>
  <c r="AH597" i="5"/>
  <c r="AE304" i="5"/>
  <c r="AF304" i="5"/>
  <c r="AG304" i="5"/>
  <c r="AH304" i="5"/>
  <c r="AE163" i="5"/>
  <c r="AF163" i="5"/>
  <c r="AG163" i="5"/>
  <c r="AH163" i="5"/>
  <c r="AE527" i="5"/>
  <c r="AF527" i="5"/>
  <c r="AG527" i="5"/>
  <c r="AH527" i="5"/>
  <c r="AE207" i="5"/>
  <c r="AF207" i="5"/>
  <c r="AG207" i="5"/>
  <c r="AH207" i="5"/>
  <c r="AE113" i="5"/>
  <c r="AF113" i="5"/>
  <c r="AG113" i="5"/>
  <c r="AH113" i="5"/>
  <c r="AE568" i="5"/>
  <c r="AF568" i="5"/>
  <c r="AG568" i="5"/>
  <c r="AH568" i="5"/>
  <c r="AE297" i="5"/>
  <c r="AF297" i="5"/>
  <c r="AG297" i="5"/>
  <c r="AH297" i="5"/>
  <c r="AE619" i="5"/>
  <c r="AF619" i="5"/>
  <c r="AG619" i="5"/>
  <c r="AH619" i="5"/>
  <c r="AE361" i="5"/>
  <c r="AF361" i="5"/>
  <c r="AG361" i="5"/>
  <c r="AH361" i="5"/>
  <c r="AE186" i="5"/>
  <c r="AF186" i="5"/>
  <c r="AG186" i="5"/>
  <c r="AH186" i="5"/>
  <c r="AE164" i="5"/>
  <c r="AF164" i="5"/>
  <c r="AG164" i="5"/>
  <c r="AH164" i="5"/>
  <c r="AE479" i="5"/>
  <c r="AF479" i="5"/>
  <c r="AG479" i="5"/>
  <c r="AH479" i="5"/>
  <c r="AE152" i="5"/>
  <c r="AF152" i="5"/>
  <c r="AG152" i="5"/>
  <c r="AH152" i="5"/>
  <c r="AE585" i="5"/>
  <c r="AF585" i="5"/>
  <c r="AG585" i="5"/>
  <c r="AH585" i="5"/>
  <c r="AE569" i="5"/>
  <c r="AF569" i="5"/>
  <c r="AG569" i="5"/>
  <c r="AH569" i="5"/>
  <c r="AE520" i="5"/>
  <c r="AF520" i="5"/>
  <c r="AG520" i="5"/>
  <c r="AH520" i="5"/>
  <c r="AE570" i="5"/>
  <c r="AF570" i="5"/>
  <c r="AG570" i="5"/>
  <c r="AH570" i="5"/>
  <c r="AE404" i="5"/>
  <c r="AF404" i="5"/>
  <c r="AG404" i="5"/>
  <c r="AH404" i="5"/>
  <c r="AE398" i="5"/>
  <c r="AF398" i="5"/>
  <c r="AG398" i="5"/>
  <c r="AH398" i="5"/>
  <c r="AE328" i="5"/>
  <c r="AF328" i="5"/>
  <c r="AG328" i="5"/>
  <c r="AH328" i="5"/>
  <c r="AE448" i="5"/>
  <c r="AF448" i="5"/>
  <c r="AG448" i="5"/>
  <c r="AH448" i="5"/>
  <c r="AE385" i="5"/>
  <c r="AF385" i="5"/>
  <c r="AG385" i="5"/>
  <c r="AH385" i="5"/>
  <c r="AE208" i="5"/>
  <c r="AF208" i="5"/>
  <c r="AG208" i="5"/>
  <c r="AH208" i="5"/>
  <c r="AE114" i="5"/>
  <c r="AF114" i="5"/>
  <c r="AG114" i="5"/>
  <c r="AH114" i="5"/>
  <c r="AE521" i="5"/>
  <c r="AF521" i="5"/>
  <c r="AG521" i="5"/>
  <c r="AH521" i="5"/>
  <c r="AE598" i="5"/>
  <c r="AF598" i="5"/>
  <c r="AG598" i="5"/>
  <c r="AH598" i="5"/>
  <c r="AE528" i="5"/>
  <c r="AF528" i="5"/>
  <c r="AG528" i="5"/>
  <c r="AH528" i="5"/>
  <c r="AE539" i="5"/>
  <c r="AF539" i="5"/>
  <c r="AG539" i="5"/>
  <c r="AH539" i="5"/>
  <c r="AE554" i="5"/>
  <c r="AF554" i="5"/>
  <c r="AG554" i="5"/>
  <c r="AH554" i="5"/>
  <c r="AE546" i="5"/>
  <c r="AF546" i="5"/>
  <c r="AG546" i="5"/>
  <c r="AH546" i="5"/>
  <c r="AE606" i="5"/>
  <c r="AF606" i="5"/>
  <c r="AG606" i="5"/>
  <c r="AH606" i="5"/>
  <c r="AE342" i="5"/>
  <c r="AF342" i="5"/>
  <c r="AG342" i="5"/>
  <c r="AH342" i="5"/>
  <c r="AE522" i="5"/>
  <c r="AF522" i="5"/>
  <c r="AG522" i="5"/>
  <c r="AH522" i="5"/>
  <c r="AE253" i="5"/>
  <c r="AF253" i="5"/>
  <c r="AG253" i="5"/>
  <c r="AH253" i="5"/>
  <c r="AE480" i="5"/>
  <c r="AF480" i="5"/>
  <c r="AG480" i="5"/>
  <c r="AH480" i="5"/>
  <c r="AE329" i="5"/>
  <c r="AF329" i="5"/>
  <c r="AG329" i="5"/>
  <c r="AH329" i="5"/>
  <c r="AE363" i="5"/>
  <c r="AF363" i="5"/>
  <c r="AG363" i="5"/>
  <c r="AH363" i="5"/>
  <c r="AE273" i="5"/>
  <c r="AF273" i="5"/>
  <c r="AG273" i="5"/>
  <c r="AH273" i="5"/>
  <c r="AE555" i="5"/>
  <c r="AF555" i="5"/>
  <c r="AG555" i="5"/>
  <c r="AH555" i="5"/>
  <c r="AE254" i="5"/>
  <c r="AF254" i="5"/>
  <c r="AG254" i="5"/>
  <c r="AH254" i="5"/>
  <c r="AE93" i="5"/>
  <c r="AF93" i="5"/>
  <c r="AG93" i="5"/>
  <c r="AH93" i="5"/>
  <c r="AE505" i="5"/>
  <c r="AF505" i="5"/>
  <c r="AG505" i="5"/>
  <c r="AH505" i="5"/>
  <c r="AE405" i="5"/>
  <c r="AF405" i="5"/>
  <c r="AG405" i="5"/>
  <c r="AH405" i="5"/>
  <c r="AE571" i="5"/>
  <c r="AF571" i="5"/>
  <c r="AG571" i="5"/>
  <c r="AH571" i="5"/>
  <c r="AE165" i="5"/>
  <c r="AF165" i="5"/>
  <c r="AG165" i="5"/>
  <c r="AH165" i="5"/>
  <c r="AE599" i="5"/>
  <c r="AF599" i="5"/>
  <c r="AG599" i="5"/>
  <c r="AH599" i="5"/>
  <c r="AE305" i="5"/>
  <c r="AF305" i="5"/>
  <c r="AG305" i="5"/>
  <c r="AH305" i="5"/>
  <c r="AE187" i="5"/>
  <c r="AF187" i="5"/>
  <c r="AG187" i="5"/>
  <c r="AH187" i="5"/>
  <c r="AE153" i="5"/>
  <c r="AF153" i="5"/>
  <c r="AG153" i="5"/>
  <c r="AH153" i="5"/>
  <c r="AE563" i="5"/>
  <c r="AF563" i="5"/>
  <c r="AG563" i="5"/>
  <c r="AH563" i="5"/>
  <c r="AE406" i="5"/>
  <c r="AF406" i="5"/>
  <c r="AG406" i="5"/>
  <c r="AH406" i="5"/>
  <c r="AE475" i="5"/>
  <c r="AF475" i="5"/>
  <c r="AG475" i="5"/>
  <c r="AH475" i="5"/>
  <c r="AE362" i="5"/>
  <c r="AF362" i="5"/>
  <c r="AG362" i="5"/>
  <c r="AH362" i="5"/>
  <c r="AE138" i="5"/>
  <c r="AF138" i="5"/>
  <c r="AG138" i="5"/>
  <c r="AH138" i="5"/>
  <c r="AE586" i="5"/>
  <c r="AF586" i="5"/>
  <c r="AG586" i="5"/>
  <c r="AH586" i="5"/>
  <c r="AE461" i="5"/>
  <c r="AF461" i="5"/>
  <c r="AG461" i="5"/>
  <c r="AH461" i="5"/>
  <c r="AE209" i="5"/>
  <c r="AF209" i="5"/>
  <c r="AG209" i="5"/>
  <c r="AH209" i="5"/>
  <c r="AE174" i="5"/>
  <c r="AF174" i="5"/>
  <c r="AG174" i="5"/>
  <c r="AH174" i="5"/>
  <c r="AE306" i="5"/>
  <c r="AF306" i="5"/>
  <c r="AG306" i="5"/>
  <c r="AH306" i="5"/>
  <c r="AE587" i="5"/>
  <c r="AF587" i="5"/>
  <c r="AG587" i="5"/>
  <c r="AH587" i="5"/>
  <c r="AE64" i="5"/>
  <c r="AF64" i="5"/>
  <c r="AG64" i="5"/>
  <c r="AH64" i="5"/>
  <c r="AE523" i="5"/>
  <c r="AF523" i="5"/>
  <c r="AG523" i="5"/>
  <c r="AH523" i="5"/>
  <c r="AE556" i="5"/>
  <c r="AF556" i="5"/>
  <c r="AG556" i="5"/>
  <c r="AH556" i="5"/>
  <c r="AE490" i="5"/>
  <c r="AF490" i="5"/>
  <c r="AG490" i="5"/>
  <c r="AH490" i="5"/>
  <c r="AE115" i="5"/>
  <c r="AF115" i="5"/>
  <c r="AG115" i="5"/>
  <c r="AH115" i="5"/>
  <c r="AE506" i="5"/>
  <c r="AF506" i="5"/>
  <c r="AG506" i="5"/>
  <c r="AH506" i="5"/>
  <c r="AE14" i="5"/>
  <c r="AF14" i="5"/>
  <c r="AG14" i="5"/>
  <c r="AH14" i="5"/>
  <c r="AE557" i="5"/>
  <c r="AF557" i="5"/>
  <c r="AG557" i="5"/>
  <c r="AH557" i="5"/>
  <c r="AE343" i="5"/>
  <c r="AF343" i="5"/>
  <c r="AG343" i="5"/>
  <c r="AH343" i="5"/>
  <c r="AE572" i="5"/>
  <c r="AF572" i="5"/>
  <c r="AG572" i="5"/>
  <c r="AH572" i="5"/>
  <c r="AE65" i="5"/>
  <c r="AF65" i="5"/>
  <c r="AG65" i="5"/>
  <c r="AH65" i="5"/>
  <c r="AE298" i="5"/>
  <c r="AF298" i="5"/>
  <c r="AG298" i="5"/>
  <c r="AH298" i="5"/>
  <c r="AE529" i="5"/>
  <c r="AF529" i="5"/>
  <c r="AG529" i="5"/>
  <c r="AH529" i="5"/>
  <c r="AE188" i="5"/>
  <c r="AF188" i="5"/>
  <c r="AG188" i="5"/>
  <c r="AH188" i="5"/>
  <c r="AE432" i="5"/>
  <c r="AF432" i="5"/>
  <c r="AG432" i="5"/>
  <c r="AH432" i="5"/>
  <c r="AE422" i="5"/>
  <c r="AF422" i="5"/>
  <c r="AG422" i="5"/>
  <c r="AH422" i="5"/>
  <c r="AE481" i="5"/>
  <c r="AF481" i="5"/>
  <c r="AG481" i="5"/>
  <c r="AH481" i="5"/>
  <c r="AE449" i="5"/>
  <c r="AF449" i="5"/>
  <c r="AG449" i="5"/>
  <c r="AH449" i="5"/>
  <c r="AE368" i="5"/>
  <c r="AF368" i="5"/>
  <c r="AG368" i="5"/>
  <c r="AH368" i="5"/>
  <c r="AE530" i="5"/>
  <c r="AF530" i="5"/>
  <c r="AG530" i="5"/>
  <c r="AH530" i="5"/>
  <c r="AE344" i="5"/>
  <c r="AF344" i="5"/>
  <c r="AG344" i="5"/>
  <c r="AH344" i="5"/>
  <c r="AE620" i="5"/>
  <c r="AF620" i="5"/>
  <c r="AG620" i="5"/>
  <c r="AH620" i="5"/>
  <c r="AE369" i="5"/>
  <c r="AF369" i="5"/>
  <c r="AG369" i="5"/>
  <c r="AH369" i="5"/>
  <c r="AE330" i="5"/>
  <c r="AF330" i="5"/>
  <c r="AG330" i="5"/>
  <c r="AH330" i="5"/>
  <c r="AE307" i="5"/>
  <c r="AF307" i="5"/>
  <c r="AG307" i="5"/>
  <c r="AH307" i="5"/>
  <c r="AE189" i="5"/>
  <c r="AF189" i="5"/>
  <c r="AG189" i="5"/>
  <c r="AH189" i="5"/>
  <c r="AE274" i="5"/>
  <c r="AF274" i="5"/>
  <c r="AG274" i="5"/>
  <c r="AH274" i="5"/>
  <c r="AE190" i="5"/>
  <c r="AF190" i="5"/>
  <c r="AG190" i="5"/>
  <c r="AH190" i="5"/>
  <c r="AE154" i="5"/>
  <c r="AF154" i="5"/>
  <c r="AG154" i="5"/>
  <c r="AH154" i="5"/>
  <c r="AE191" i="5"/>
  <c r="AF191" i="5"/>
  <c r="AG191" i="5"/>
  <c r="AH191" i="5"/>
  <c r="AE255" i="5"/>
  <c r="AF255" i="5"/>
  <c r="AG255" i="5"/>
  <c r="AH255" i="5"/>
  <c r="AE210" i="5"/>
  <c r="AF210" i="5"/>
  <c r="AG210" i="5"/>
  <c r="AH210" i="5"/>
  <c r="AE275" i="5"/>
  <c r="AF275" i="5"/>
  <c r="AG275" i="5"/>
  <c r="AH275" i="5"/>
  <c r="AE462" i="5"/>
  <c r="AF462" i="5"/>
  <c r="AG462" i="5"/>
  <c r="AH462" i="5"/>
  <c r="AE621" i="5"/>
  <c r="AF621" i="5"/>
  <c r="AG621" i="5"/>
  <c r="AH621" i="5"/>
  <c r="AE83" i="5"/>
  <c r="AF83" i="5"/>
  <c r="AG83" i="5"/>
  <c r="AH83" i="5"/>
  <c r="AE540" i="5"/>
  <c r="AF540" i="5"/>
  <c r="AG540" i="5"/>
  <c r="AH540" i="5"/>
  <c r="AE463" i="5"/>
  <c r="AF463" i="5"/>
  <c r="AG463" i="5"/>
  <c r="AH463" i="5"/>
  <c r="AE564" i="5"/>
  <c r="AF564" i="5"/>
  <c r="AG564" i="5"/>
  <c r="AH564" i="5"/>
  <c r="AE276" i="5"/>
  <c r="AF276" i="5"/>
  <c r="AG276" i="5"/>
  <c r="AH276" i="5"/>
  <c r="AE450" i="5"/>
  <c r="AF450" i="5"/>
  <c r="AG450" i="5"/>
  <c r="AH450" i="5"/>
  <c r="AE236" i="5"/>
  <c r="AF236" i="5"/>
  <c r="AG236" i="5"/>
  <c r="AH236" i="5"/>
  <c r="AE491" i="5"/>
  <c r="AF491" i="5"/>
  <c r="AG491" i="5"/>
  <c r="AH491" i="5"/>
  <c r="AE256" i="5"/>
  <c r="AF256" i="5"/>
  <c r="AG256" i="5"/>
  <c r="AH256" i="5"/>
  <c r="AE565" i="5"/>
  <c r="AF565" i="5"/>
  <c r="AG565" i="5"/>
  <c r="AH565" i="5"/>
  <c r="AE531" i="5"/>
  <c r="AF531" i="5"/>
  <c r="AG531" i="5"/>
  <c r="AH531" i="5"/>
  <c r="AE94" i="5"/>
  <c r="AF94" i="5"/>
  <c r="AG94" i="5"/>
  <c r="AH94" i="5"/>
  <c r="AE345" i="5"/>
  <c r="AF345" i="5"/>
  <c r="AG345" i="5"/>
  <c r="AH345" i="5"/>
  <c r="AE451" i="5"/>
  <c r="AF451" i="5"/>
  <c r="AG451" i="5"/>
  <c r="AH451" i="5"/>
  <c r="AE415" i="5"/>
  <c r="AF415" i="5"/>
  <c r="AG415" i="5"/>
  <c r="AH415" i="5"/>
  <c r="AE139" i="5"/>
  <c r="AF139" i="5"/>
  <c r="AG139" i="5"/>
  <c r="AH139" i="5"/>
  <c r="AE37" i="5"/>
  <c r="AF37" i="5"/>
  <c r="AG37" i="5"/>
  <c r="AH37" i="5"/>
  <c r="AE532" i="5"/>
  <c r="AF532" i="5"/>
  <c r="AG532" i="5"/>
  <c r="AH532" i="5"/>
  <c r="AE74" i="5"/>
  <c r="AF74" i="5"/>
  <c r="AG74" i="5"/>
  <c r="AH74" i="5"/>
  <c r="AE28" i="5"/>
  <c r="AF28" i="5"/>
  <c r="AG28" i="5"/>
  <c r="AH28" i="5"/>
  <c r="AE433" i="5"/>
  <c r="AF433" i="5"/>
  <c r="AG433" i="5"/>
  <c r="AH433" i="5"/>
  <c r="AE257" i="5"/>
  <c r="AF257" i="5"/>
  <c r="AG257" i="5"/>
  <c r="AH257" i="5"/>
  <c r="AE434" i="5"/>
  <c r="AF434" i="5"/>
  <c r="AG434" i="5"/>
  <c r="AH434" i="5"/>
  <c r="AE277" i="5"/>
  <c r="AF277" i="5"/>
  <c r="AG277" i="5"/>
  <c r="AH277" i="5"/>
  <c r="AE38" i="5"/>
  <c r="AF38" i="5"/>
  <c r="AG38" i="5"/>
  <c r="AH38" i="5"/>
  <c r="AE331" i="5"/>
  <c r="AF331" i="5"/>
  <c r="AG331" i="5"/>
  <c r="AH331" i="5"/>
  <c r="AE308" i="5"/>
  <c r="AF308" i="5"/>
  <c r="AG308" i="5"/>
  <c r="AH308" i="5"/>
  <c r="AE507" i="5"/>
  <c r="AF507" i="5"/>
  <c r="AG507" i="5"/>
  <c r="AH507" i="5"/>
  <c r="AE39" i="5"/>
  <c r="AF39" i="5"/>
  <c r="AG39" i="5"/>
  <c r="AH39" i="5"/>
  <c r="AE464" i="5"/>
  <c r="AF464" i="5"/>
  <c r="AG464" i="5"/>
  <c r="AH464" i="5"/>
  <c r="AE573" i="5"/>
  <c r="AF573" i="5"/>
  <c r="AG573" i="5"/>
  <c r="AH573" i="5"/>
  <c r="AE278" i="5"/>
  <c r="AF278" i="5"/>
  <c r="AG278" i="5"/>
  <c r="AH278" i="5"/>
  <c r="AE309" i="5"/>
  <c r="AF309" i="5"/>
  <c r="AG309" i="5"/>
  <c r="AH309" i="5"/>
  <c r="AE29" i="5"/>
  <c r="AF29" i="5"/>
  <c r="AG29" i="5"/>
  <c r="AH29" i="5"/>
  <c r="AE452" i="5"/>
  <c r="AF452" i="5"/>
  <c r="AG452" i="5"/>
  <c r="AH452" i="5"/>
  <c r="AE50" i="5"/>
  <c r="AF50" i="5"/>
  <c r="AG50" i="5"/>
  <c r="AH50" i="5"/>
  <c r="AE15" i="5"/>
  <c r="AF15" i="5"/>
  <c r="AG15" i="5"/>
  <c r="AH15" i="5"/>
  <c r="AE482" i="5"/>
  <c r="AF482" i="5"/>
  <c r="AG482" i="5"/>
  <c r="AH482" i="5"/>
  <c r="AE40" i="5"/>
  <c r="AF40" i="5"/>
  <c r="AG40" i="5"/>
  <c r="AH40" i="5"/>
  <c r="AE140" i="5"/>
  <c r="AF140" i="5"/>
  <c r="AG140" i="5"/>
  <c r="AH140" i="5"/>
  <c r="AE16" i="5"/>
  <c r="AF16" i="5"/>
  <c r="AG16" i="5"/>
  <c r="AH16" i="5"/>
  <c r="AE533" i="5"/>
  <c r="AF533" i="5"/>
  <c r="AG533" i="5"/>
  <c r="AH533" i="5"/>
  <c r="AE192" i="5"/>
  <c r="AF192" i="5"/>
  <c r="AG192" i="5"/>
  <c r="AH192" i="5"/>
  <c r="AE285" i="5"/>
  <c r="AF285" i="5"/>
  <c r="AG285" i="5"/>
  <c r="AH285" i="5"/>
  <c r="AE211" i="5"/>
  <c r="AF211" i="5"/>
  <c r="AG211" i="5"/>
  <c r="AH211" i="5"/>
  <c r="AE17" i="5"/>
  <c r="AF17" i="5"/>
  <c r="AG17" i="5"/>
  <c r="AH17" i="5"/>
  <c r="AE370" i="5"/>
  <c r="AF370" i="5"/>
  <c r="AG370" i="5"/>
  <c r="AH370" i="5"/>
  <c r="AE212" i="5"/>
  <c r="AF212" i="5"/>
  <c r="AG212" i="5"/>
  <c r="AH212" i="5"/>
  <c r="AE141" i="5"/>
  <c r="AF141" i="5"/>
  <c r="AG141" i="5"/>
  <c r="AH141" i="5"/>
  <c r="AE279" i="5"/>
  <c r="AF279" i="5"/>
  <c r="AG279" i="5"/>
  <c r="AH279" i="5"/>
  <c r="AE75" i="5"/>
  <c r="AF75" i="5"/>
  <c r="AG75" i="5"/>
  <c r="AH75" i="5"/>
  <c r="AE286" i="5"/>
  <c r="AF286" i="5"/>
  <c r="AG286" i="5"/>
  <c r="AH286" i="5"/>
  <c r="AE541" i="5"/>
  <c r="AF541" i="5"/>
  <c r="AG541" i="5"/>
  <c r="AH541" i="5"/>
  <c r="AE51" i="5"/>
  <c r="AF51" i="5"/>
  <c r="AG51" i="5"/>
  <c r="AH51" i="5"/>
  <c r="AE435" i="5"/>
  <c r="AF435" i="5"/>
  <c r="AG435" i="5"/>
  <c r="AH435" i="5"/>
  <c r="AE41" i="5"/>
  <c r="AF41" i="5"/>
  <c r="AG41" i="5"/>
  <c r="AH41" i="5"/>
  <c r="AE407" i="5"/>
  <c r="AF407" i="5"/>
  <c r="AG407" i="5"/>
  <c r="AH407" i="5"/>
  <c r="AE258" i="5"/>
  <c r="AF258" i="5"/>
  <c r="AG258" i="5"/>
  <c r="AH258" i="5"/>
  <c r="AE607" i="5"/>
  <c r="AF607" i="5"/>
  <c r="AG607" i="5"/>
  <c r="AH607" i="5"/>
  <c r="AE287" i="5"/>
  <c r="AF287" i="5"/>
  <c r="AG287" i="5"/>
  <c r="AH287" i="5"/>
  <c r="AE95" i="5"/>
  <c r="AF95" i="5"/>
  <c r="AG95" i="5"/>
  <c r="AH95" i="5"/>
  <c r="AE193" i="5"/>
  <c r="AF193" i="5"/>
  <c r="AG193" i="5"/>
  <c r="AH193" i="5"/>
  <c r="AE220" i="5"/>
  <c r="AF220" i="5"/>
  <c r="AG220" i="5"/>
  <c r="AH220" i="5"/>
  <c r="AE371" i="5"/>
  <c r="AF371" i="5"/>
  <c r="AG371" i="5"/>
  <c r="AH371" i="5"/>
  <c r="AE280" i="5"/>
  <c r="AF280" i="5"/>
  <c r="AG280" i="5"/>
  <c r="AH280" i="5"/>
  <c r="AE622" i="5"/>
  <c r="AF622" i="5"/>
  <c r="AG622" i="5"/>
  <c r="AH622" i="5"/>
  <c r="AE237" i="5"/>
  <c r="AF237" i="5"/>
  <c r="AG237" i="5"/>
  <c r="AH237" i="5"/>
  <c r="AE534" i="5"/>
  <c r="AF534" i="5"/>
  <c r="AG534" i="5"/>
  <c r="AH534" i="5"/>
  <c r="AE332" i="5"/>
  <c r="AF332" i="5"/>
  <c r="AG332" i="5"/>
  <c r="AH332" i="5"/>
  <c r="AE492" i="5"/>
  <c r="AF492" i="5"/>
  <c r="AG492" i="5"/>
  <c r="AH492" i="5"/>
  <c r="AE623" i="5"/>
  <c r="AF623" i="5"/>
  <c r="AG623" i="5"/>
  <c r="AH623" i="5"/>
  <c r="AE408" i="5"/>
  <c r="AF408" i="5"/>
  <c r="AG408" i="5"/>
  <c r="AH408" i="5"/>
  <c r="AE346" i="5"/>
  <c r="AF346" i="5"/>
  <c r="AG346" i="5"/>
  <c r="AH346" i="5"/>
  <c r="AE213" i="5"/>
  <c r="AF213" i="5"/>
  <c r="AG213" i="5"/>
  <c r="AH213" i="5"/>
  <c r="AE96" i="5"/>
  <c r="AF96" i="5"/>
  <c r="AG96" i="5"/>
  <c r="AH96" i="5"/>
  <c r="AE347" i="5"/>
  <c r="AF347" i="5"/>
  <c r="AG347" i="5"/>
  <c r="AH347" i="5"/>
  <c r="AE436" i="5"/>
  <c r="AF436" i="5"/>
  <c r="AG436" i="5"/>
  <c r="AH436" i="5"/>
  <c r="AE8" i="5"/>
  <c r="AF8" i="5"/>
  <c r="AG8" i="5"/>
  <c r="AH8" i="5"/>
  <c r="AE372" i="5"/>
  <c r="AF372" i="5"/>
  <c r="AG372" i="5"/>
  <c r="AH372" i="5"/>
  <c r="AE423" i="5"/>
  <c r="AF423" i="5"/>
  <c r="AG423" i="5"/>
  <c r="AH423" i="5"/>
  <c r="AE84" i="5"/>
  <c r="AF84" i="5"/>
  <c r="AG84" i="5"/>
  <c r="AH84" i="5"/>
  <c r="AE574" i="5"/>
  <c r="AF574" i="5"/>
  <c r="AG574" i="5"/>
  <c r="AH574" i="5"/>
  <c r="AE493" i="5"/>
  <c r="AF493" i="5"/>
  <c r="AG493" i="5"/>
  <c r="AH493" i="5"/>
  <c r="AE97" i="5"/>
  <c r="AF97" i="5"/>
  <c r="AG97" i="5"/>
  <c r="AH97" i="5"/>
  <c r="AE76" i="5"/>
  <c r="AF76" i="5"/>
  <c r="AG76" i="5"/>
  <c r="AH76" i="5"/>
  <c r="AE288" i="5"/>
  <c r="AF288" i="5"/>
  <c r="AG288" i="5"/>
  <c r="AH288" i="5"/>
  <c r="AE310" i="5"/>
  <c r="AF310" i="5"/>
  <c r="AG310" i="5"/>
  <c r="AH310" i="5"/>
  <c r="AE122" i="5"/>
  <c r="AF122" i="5"/>
  <c r="AG122" i="5"/>
  <c r="AH122" i="5"/>
  <c r="AE416" i="5"/>
  <c r="AF416" i="5"/>
  <c r="AG416" i="5"/>
  <c r="AH416" i="5"/>
  <c r="AE221" i="5"/>
  <c r="AF221" i="5"/>
  <c r="AG221" i="5"/>
  <c r="AH221" i="5"/>
  <c r="AE98" i="5"/>
  <c r="AF98" i="5"/>
  <c r="AG98" i="5"/>
  <c r="AH98" i="5"/>
  <c r="AE437" i="5"/>
  <c r="AF437" i="5"/>
  <c r="AG437" i="5"/>
  <c r="AH437" i="5"/>
  <c r="AE333" i="5"/>
  <c r="AF333" i="5"/>
  <c r="AG333" i="5"/>
  <c r="AH333" i="5"/>
  <c r="AE465" i="5"/>
  <c r="AF465" i="5"/>
  <c r="AG465" i="5"/>
  <c r="AH465" i="5"/>
  <c r="AE259" i="5"/>
  <c r="AF259" i="5"/>
  <c r="AG259" i="5"/>
  <c r="AH259" i="5"/>
  <c r="AE155" i="5"/>
  <c r="AF155" i="5"/>
  <c r="AG155" i="5"/>
  <c r="AH155" i="5"/>
  <c r="AE85" i="5"/>
  <c r="AF85" i="5"/>
  <c r="AG85" i="5"/>
  <c r="AH85" i="5"/>
  <c r="AE222" i="5"/>
  <c r="AF222" i="5"/>
  <c r="AG222" i="5"/>
  <c r="AH222" i="5"/>
  <c r="AE409" i="5"/>
  <c r="AF409" i="5"/>
  <c r="AG409" i="5"/>
  <c r="AH409" i="5"/>
  <c r="AE223" i="5"/>
  <c r="AF223" i="5"/>
  <c r="AG223" i="5"/>
  <c r="AH223" i="5"/>
  <c r="AE348" i="5"/>
  <c r="AF348" i="5"/>
  <c r="AG348" i="5"/>
  <c r="AH348" i="5"/>
  <c r="AE608" i="5"/>
  <c r="AF608" i="5"/>
  <c r="AG608" i="5"/>
  <c r="AH608" i="5"/>
  <c r="AE609" i="5"/>
  <c r="AF609" i="5"/>
  <c r="AG609" i="5"/>
  <c r="AH609" i="5"/>
  <c r="AE30" i="5"/>
  <c r="AF30" i="5"/>
  <c r="AG30" i="5"/>
  <c r="AH30" i="5"/>
  <c r="AE453" i="5"/>
  <c r="AF453" i="5"/>
  <c r="AG453" i="5"/>
  <c r="AH453" i="5"/>
  <c r="AE224" i="5"/>
  <c r="AF224" i="5"/>
  <c r="AG224" i="5"/>
  <c r="AH224" i="5"/>
  <c r="AE349" i="5"/>
  <c r="AF349" i="5"/>
  <c r="AG349" i="5"/>
  <c r="AH349" i="5"/>
  <c r="AE508" i="5"/>
  <c r="AF508" i="5"/>
  <c r="AG508" i="5"/>
  <c r="AH508" i="5"/>
  <c r="AE509" i="5"/>
  <c r="AF509" i="5"/>
  <c r="AG509" i="5"/>
  <c r="AH509" i="5"/>
  <c r="AE42" i="5"/>
  <c r="AF42" i="5"/>
  <c r="AG42" i="5"/>
  <c r="AH42" i="5"/>
  <c r="AE510" i="5"/>
  <c r="AF510" i="5"/>
  <c r="AG510" i="5"/>
  <c r="AH510" i="5"/>
  <c r="AE610" i="5"/>
  <c r="AF610" i="5"/>
  <c r="AG610" i="5"/>
  <c r="AH610" i="5"/>
  <c r="AE289" i="5"/>
  <c r="AF289" i="5"/>
  <c r="AG289" i="5"/>
  <c r="AH289" i="5"/>
  <c r="AE466" i="5"/>
  <c r="AF466" i="5"/>
  <c r="AG466" i="5"/>
  <c r="AH466" i="5"/>
  <c r="AE454" i="5"/>
  <c r="AF454" i="5"/>
  <c r="AG454" i="5"/>
  <c r="AH454" i="5"/>
  <c r="AE624" i="5"/>
  <c r="AF624" i="5"/>
  <c r="AG624" i="5"/>
  <c r="AH624" i="5"/>
  <c r="AE350" i="5"/>
  <c r="AF350" i="5"/>
  <c r="AG350" i="5"/>
  <c r="AH350" i="5"/>
  <c r="AE52" i="5"/>
  <c r="AF52" i="5"/>
  <c r="AG52" i="5"/>
  <c r="AH52" i="5"/>
  <c r="AE611" i="5"/>
  <c r="AF611" i="5"/>
  <c r="AG611" i="5"/>
  <c r="AH611" i="5"/>
  <c r="AE225" i="5"/>
  <c r="AF225" i="5"/>
  <c r="AG225" i="5"/>
  <c r="AH225" i="5"/>
  <c r="AE86" i="5"/>
  <c r="AF86" i="5"/>
  <c r="AG86" i="5"/>
  <c r="AH86" i="5"/>
  <c r="AE99" i="5"/>
  <c r="AF99" i="5"/>
  <c r="AG99" i="5"/>
  <c r="AH99" i="5"/>
  <c r="AE417" i="5"/>
  <c r="AF417" i="5"/>
  <c r="AG417" i="5"/>
  <c r="AH417" i="5"/>
  <c r="AE386" i="5"/>
  <c r="AF386" i="5"/>
  <c r="AG386" i="5"/>
  <c r="AH386" i="5"/>
  <c r="AE260" i="5"/>
  <c r="AF260" i="5"/>
  <c r="AG260" i="5"/>
  <c r="AH260" i="5"/>
  <c r="AE238" i="5"/>
  <c r="AF238" i="5"/>
  <c r="AG238" i="5"/>
  <c r="AH238" i="5"/>
  <c r="AE214" i="5"/>
  <c r="AF214" i="5"/>
  <c r="AG214" i="5"/>
  <c r="AH214" i="5"/>
  <c r="AE455" i="5"/>
  <c r="AF455" i="5"/>
  <c r="AG455" i="5"/>
  <c r="AH455" i="5"/>
  <c r="AE43" i="5"/>
  <c r="AF43" i="5"/>
  <c r="AG43" i="5"/>
  <c r="AH43" i="5"/>
  <c r="AE311" i="5"/>
  <c r="AF311" i="5"/>
  <c r="AG311" i="5"/>
  <c r="AH311" i="5"/>
  <c r="AE600" i="5"/>
  <c r="AF600" i="5"/>
  <c r="AG600" i="5"/>
  <c r="AH600" i="5"/>
  <c r="AE575" i="5"/>
  <c r="AF575" i="5"/>
  <c r="AG575" i="5"/>
  <c r="AH575" i="5"/>
  <c r="AE175" i="5"/>
  <c r="AF175" i="5"/>
  <c r="AG175" i="5"/>
  <c r="AH175" i="5"/>
  <c r="AE456" i="5"/>
  <c r="AF456" i="5"/>
  <c r="AG456" i="5"/>
  <c r="AH456" i="5"/>
  <c r="AE558" i="5"/>
  <c r="AF558" i="5"/>
  <c r="AG558" i="5"/>
  <c r="AH558" i="5"/>
  <c r="AE123" i="5"/>
  <c r="AF123" i="5"/>
  <c r="AG123" i="5"/>
  <c r="AH123" i="5"/>
  <c r="AE483" i="5"/>
  <c r="AF483" i="5"/>
  <c r="AG483" i="5"/>
  <c r="AH483" i="5"/>
  <c r="AE281" i="5"/>
  <c r="AF281" i="5"/>
  <c r="AG281" i="5"/>
  <c r="AH281" i="5"/>
  <c r="AE438" i="5"/>
  <c r="AF438" i="5"/>
  <c r="AG438" i="5"/>
  <c r="AH438" i="5"/>
  <c r="AE100" i="5"/>
  <c r="AF100" i="5"/>
  <c r="AG100" i="5"/>
  <c r="AH100" i="5"/>
  <c r="AE511" i="5"/>
  <c r="AF511" i="5"/>
  <c r="AG511" i="5"/>
  <c r="AH511" i="5"/>
  <c r="AE351" i="5"/>
  <c r="AF351" i="5"/>
  <c r="AG351" i="5"/>
  <c r="AH351" i="5"/>
  <c r="AE410" i="5"/>
  <c r="AF410" i="5"/>
  <c r="AG410" i="5"/>
  <c r="AH410" i="5"/>
  <c r="AE334" i="5"/>
  <c r="AF334" i="5"/>
  <c r="AG334" i="5"/>
  <c r="AH334" i="5"/>
  <c r="AE290" i="5"/>
  <c r="AF290" i="5"/>
  <c r="AG290" i="5"/>
  <c r="AH290" i="5"/>
  <c r="AE87" i="5"/>
  <c r="AF87" i="5"/>
  <c r="AG87" i="5"/>
  <c r="AH87" i="5"/>
  <c r="AF77" i="5"/>
  <c r="AG77" i="5"/>
  <c r="AH77" i="5"/>
  <c r="AE77" i="5"/>
  <c r="F1" i="6"/>
  <c r="T3" i="3" l="1"/>
  <c r="R3" i="3" s="1"/>
  <c r="T4" i="3"/>
  <c r="R4" i="3" s="1"/>
  <c r="T5" i="3"/>
  <c r="R5" i="3" s="1"/>
  <c r="T6" i="3"/>
  <c r="R6" i="3" s="1"/>
  <c r="T7" i="3"/>
  <c r="R7" i="3" s="1"/>
  <c r="T8" i="3"/>
  <c r="R8" i="3" s="1"/>
  <c r="T9" i="3"/>
  <c r="R9" i="3" s="1"/>
  <c r="T10" i="3"/>
  <c r="R10" i="3" s="1"/>
  <c r="T11" i="3"/>
  <c r="R11" i="3" s="1"/>
  <c r="T12" i="3"/>
  <c r="R12" i="3" s="1"/>
  <c r="T13" i="3"/>
  <c r="R13" i="3" s="1"/>
  <c r="T14" i="3"/>
  <c r="R14" i="3" s="1"/>
  <c r="T15" i="3"/>
  <c r="R15" i="3" s="1"/>
  <c r="T16" i="3"/>
  <c r="R16" i="3" s="1"/>
  <c r="T17" i="3"/>
  <c r="R17" i="3" s="1"/>
  <c r="T18" i="3"/>
  <c r="R18" i="3" s="1"/>
  <c r="T19" i="3"/>
  <c r="R19" i="3" s="1"/>
  <c r="T20" i="3"/>
  <c r="R20" i="3" s="1"/>
  <c r="T21" i="3"/>
  <c r="R21" i="3" s="1"/>
  <c r="T22" i="3"/>
  <c r="R22" i="3" s="1"/>
  <c r="T23" i="3"/>
  <c r="R23" i="3" s="1"/>
  <c r="T24" i="3"/>
  <c r="R24" i="3" s="1"/>
  <c r="T25" i="3"/>
  <c r="R25" i="3" s="1"/>
  <c r="T26" i="3"/>
  <c r="R26" i="3" s="1"/>
  <c r="T27" i="3"/>
  <c r="R27" i="3" s="1"/>
  <c r="T28" i="3"/>
  <c r="R28" i="3" s="1"/>
  <c r="T29" i="3"/>
  <c r="R29" i="3" s="1"/>
  <c r="T30" i="3"/>
  <c r="R30" i="3" s="1"/>
  <c r="T31" i="3"/>
  <c r="R31" i="3" s="1"/>
  <c r="T32" i="3"/>
  <c r="R32" i="3" s="1"/>
  <c r="T33" i="3"/>
  <c r="R33" i="3" s="1"/>
  <c r="T34" i="3"/>
  <c r="R34" i="3" s="1"/>
  <c r="T35" i="3"/>
  <c r="R35" i="3" s="1"/>
  <c r="T36" i="3"/>
  <c r="R36" i="3" s="1"/>
  <c r="T37" i="3"/>
  <c r="R37" i="3" s="1"/>
  <c r="T38" i="3"/>
  <c r="R38" i="3" s="1"/>
  <c r="T39" i="3"/>
  <c r="R39" i="3" s="1"/>
  <c r="T40" i="3"/>
  <c r="R40" i="3" s="1"/>
  <c r="T41" i="3"/>
  <c r="R41" i="3" s="1"/>
  <c r="T42" i="3"/>
  <c r="R42" i="3" s="1"/>
  <c r="T43" i="3"/>
  <c r="R43" i="3" s="1"/>
  <c r="T44" i="3"/>
  <c r="R44" i="3" s="1"/>
  <c r="T45" i="3"/>
  <c r="R45" i="3" s="1"/>
  <c r="T46" i="3"/>
  <c r="R46" i="3" s="1"/>
  <c r="T47" i="3"/>
  <c r="R47" i="3" s="1"/>
  <c r="T48" i="3"/>
  <c r="R48" i="3" s="1"/>
  <c r="T49" i="3"/>
  <c r="R49" i="3" s="1"/>
  <c r="T50" i="3"/>
  <c r="R50" i="3" s="1"/>
  <c r="T51" i="3"/>
  <c r="R51" i="3" s="1"/>
  <c r="T52" i="3"/>
  <c r="R52" i="3" s="1"/>
  <c r="T53" i="3"/>
  <c r="R53" i="3" s="1"/>
  <c r="T54" i="3"/>
  <c r="R54" i="3" s="1"/>
  <c r="T55" i="3"/>
  <c r="R55" i="3" s="1"/>
  <c r="T56" i="3"/>
  <c r="R56" i="3" s="1"/>
  <c r="T57" i="3"/>
  <c r="R57" i="3" s="1"/>
  <c r="T58" i="3"/>
  <c r="R58" i="3" s="1"/>
  <c r="T59" i="3"/>
  <c r="R59" i="3" s="1"/>
  <c r="T60" i="3"/>
  <c r="R60" i="3" s="1"/>
  <c r="T61" i="3"/>
  <c r="R61" i="3" s="1"/>
  <c r="T62" i="3"/>
  <c r="R62" i="3" s="1"/>
  <c r="T63" i="3"/>
  <c r="R63" i="3" s="1"/>
  <c r="T64" i="3"/>
  <c r="R64" i="3" s="1"/>
  <c r="T65" i="3"/>
  <c r="R65" i="3" s="1"/>
  <c r="T66" i="3"/>
  <c r="R66" i="3" s="1"/>
  <c r="T67" i="3"/>
  <c r="R67" i="3" s="1"/>
  <c r="T68" i="3"/>
  <c r="R68" i="3" s="1"/>
  <c r="T69" i="3"/>
  <c r="R69" i="3" s="1"/>
  <c r="T70" i="3"/>
  <c r="R70" i="3" s="1"/>
  <c r="T71" i="3"/>
  <c r="R71" i="3" s="1"/>
  <c r="T72" i="3"/>
  <c r="R72" i="3" s="1"/>
  <c r="T73" i="3"/>
  <c r="R73" i="3" s="1"/>
  <c r="T74" i="3"/>
  <c r="R74" i="3" s="1"/>
  <c r="T75" i="3"/>
  <c r="R75" i="3" s="1"/>
  <c r="T76" i="3"/>
  <c r="R76" i="3" s="1"/>
  <c r="T77" i="3"/>
  <c r="R77" i="3" s="1"/>
  <c r="T78" i="3"/>
  <c r="R78" i="3" s="1"/>
  <c r="T79" i="3"/>
  <c r="R79" i="3" s="1"/>
  <c r="T80" i="3"/>
  <c r="R80" i="3" s="1"/>
  <c r="T81" i="3"/>
  <c r="R81" i="3" s="1"/>
  <c r="T82" i="3"/>
  <c r="R82" i="3" s="1"/>
  <c r="T83" i="3"/>
  <c r="R83" i="3" s="1"/>
  <c r="T84" i="3"/>
  <c r="R84" i="3" s="1"/>
  <c r="T85" i="3"/>
  <c r="R85" i="3" s="1"/>
  <c r="T86" i="3"/>
  <c r="R86" i="3" s="1"/>
  <c r="T87" i="3"/>
  <c r="R87" i="3" s="1"/>
  <c r="T88" i="3"/>
  <c r="R88" i="3" s="1"/>
  <c r="T89" i="3"/>
  <c r="R89" i="3" s="1"/>
  <c r="T90" i="3"/>
  <c r="R90" i="3" s="1"/>
  <c r="T91" i="3"/>
  <c r="R91" i="3" s="1"/>
  <c r="T92" i="3"/>
  <c r="R92" i="3" s="1"/>
  <c r="T93" i="3"/>
  <c r="R93" i="3" s="1"/>
  <c r="T94" i="3"/>
  <c r="R94" i="3" s="1"/>
  <c r="T95" i="3"/>
  <c r="R95" i="3" s="1"/>
  <c r="T96" i="3"/>
  <c r="R96" i="3" s="1"/>
  <c r="T97" i="3"/>
  <c r="R97" i="3" s="1"/>
  <c r="T98" i="3"/>
  <c r="R98" i="3" s="1"/>
  <c r="T99" i="3"/>
  <c r="R99" i="3" s="1"/>
  <c r="T100" i="3"/>
  <c r="R100" i="3" s="1"/>
  <c r="T101" i="3"/>
  <c r="R101" i="3" s="1"/>
  <c r="T102" i="3"/>
  <c r="R102" i="3" s="1"/>
  <c r="T103" i="3"/>
  <c r="R103" i="3" s="1"/>
  <c r="T104" i="3"/>
  <c r="R104" i="3" s="1"/>
  <c r="T105" i="3"/>
  <c r="R105" i="3" s="1"/>
  <c r="T106" i="3"/>
  <c r="R106" i="3" s="1"/>
  <c r="T107" i="3"/>
  <c r="R107" i="3" s="1"/>
  <c r="T108" i="3"/>
  <c r="R108" i="3" s="1"/>
  <c r="T109" i="3"/>
  <c r="R109" i="3" s="1"/>
  <c r="T110" i="3"/>
  <c r="R110" i="3" s="1"/>
  <c r="T111" i="3"/>
  <c r="R111" i="3" s="1"/>
  <c r="T112" i="3"/>
  <c r="R112" i="3" s="1"/>
  <c r="T113" i="3"/>
  <c r="R113" i="3" s="1"/>
  <c r="T114" i="3"/>
  <c r="R114" i="3" s="1"/>
  <c r="T115" i="3"/>
  <c r="R115" i="3" s="1"/>
  <c r="T116" i="3"/>
  <c r="R116" i="3" s="1"/>
  <c r="T117" i="3"/>
  <c r="R117" i="3" s="1"/>
  <c r="T118" i="3"/>
  <c r="R118" i="3" s="1"/>
  <c r="T119" i="3"/>
  <c r="R119" i="3" s="1"/>
  <c r="T120" i="3"/>
  <c r="R120" i="3" s="1"/>
  <c r="T121" i="3"/>
  <c r="R121" i="3" s="1"/>
  <c r="T122" i="3"/>
  <c r="R122" i="3" s="1"/>
  <c r="T123" i="3"/>
  <c r="R123" i="3" s="1"/>
  <c r="T124" i="3"/>
  <c r="R124" i="3" s="1"/>
  <c r="T125" i="3"/>
  <c r="R125" i="3" s="1"/>
  <c r="T126" i="3"/>
  <c r="R126" i="3" s="1"/>
  <c r="T127" i="3"/>
  <c r="R127" i="3" s="1"/>
  <c r="T128" i="3"/>
  <c r="R128" i="3" s="1"/>
  <c r="T129" i="3"/>
  <c r="R129" i="3" s="1"/>
  <c r="T130" i="3"/>
  <c r="R130" i="3" s="1"/>
  <c r="T131" i="3"/>
  <c r="R131" i="3" s="1"/>
  <c r="T132" i="3"/>
  <c r="R132" i="3" s="1"/>
  <c r="T133" i="3"/>
  <c r="R133" i="3" s="1"/>
  <c r="T134" i="3"/>
  <c r="R134" i="3" s="1"/>
  <c r="T135" i="3"/>
  <c r="R135" i="3" s="1"/>
  <c r="T136" i="3"/>
  <c r="R136" i="3" s="1"/>
  <c r="T137" i="3"/>
  <c r="R137" i="3" s="1"/>
  <c r="T138" i="3"/>
  <c r="R138" i="3" s="1"/>
  <c r="T139" i="3"/>
  <c r="R139" i="3" s="1"/>
  <c r="T140" i="3"/>
  <c r="R140" i="3" s="1"/>
  <c r="T141" i="3"/>
  <c r="R141" i="3" s="1"/>
  <c r="T142" i="3"/>
  <c r="R142" i="3" s="1"/>
  <c r="T143" i="3"/>
  <c r="R143" i="3" s="1"/>
  <c r="T144" i="3"/>
  <c r="R144" i="3" s="1"/>
  <c r="T145" i="3"/>
  <c r="R145" i="3" s="1"/>
  <c r="T146" i="3"/>
  <c r="R146" i="3" s="1"/>
  <c r="T147" i="3"/>
  <c r="R147" i="3" s="1"/>
  <c r="T148" i="3"/>
  <c r="R148" i="3" s="1"/>
  <c r="T149" i="3"/>
  <c r="R149" i="3" s="1"/>
  <c r="T150" i="3"/>
  <c r="R150" i="3" s="1"/>
  <c r="T151" i="3"/>
  <c r="R151" i="3" s="1"/>
  <c r="T152" i="3"/>
  <c r="R152" i="3" s="1"/>
  <c r="T153" i="3"/>
  <c r="R153" i="3" s="1"/>
  <c r="T154" i="3"/>
  <c r="R154" i="3" s="1"/>
  <c r="T155" i="3"/>
  <c r="R155" i="3" s="1"/>
  <c r="T156" i="3"/>
  <c r="R156" i="3" s="1"/>
  <c r="T157" i="3"/>
  <c r="R157" i="3" s="1"/>
  <c r="T158" i="3"/>
  <c r="R158" i="3" s="1"/>
  <c r="T159" i="3"/>
  <c r="R159" i="3" s="1"/>
  <c r="T160" i="3"/>
  <c r="R160" i="3" s="1"/>
  <c r="T161" i="3"/>
  <c r="R161" i="3" s="1"/>
  <c r="T162" i="3"/>
  <c r="R162" i="3" s="1"/>
  <c r="T163" i="3"/>
  <c r="R163" i="3" s="1"/>
  <c r="T164" i="3"/>
  <c r="R164" i="3" s="1"/>
  <c r="T165" i="3"/>
  <c r="R165" i="3" s="1"/>
  <c r="T166" i="3"/>
  <c r="R166" i="3" s="1"/>
  <c r="T167" i="3"/>
  <c r="R167" i="3" s="1"/>
  <c r="T168" i="3"/>
  <c r="R168" i="3" s="1"/>
  <c r="T169" i="3"/>
  <c r="R169" i="3" s="1"/>
  <c r="T170" i="3"/>
  <c r="R170" i="3" s="1"/>
  <c r="T171" i="3"/>
  <c r="R171" i="3" s="1"/>
  <c r="T172" i="3"/>
  <c r="R172" i="3" s="1"/>
  <c r="T173" i="3"/>
  <c r="R173" i="3" s="1"/>
  <c r="T174" i="3"/>
  <c r="R174" i="3" s="1"/>
  <c r="T175" i="3"/>
  <c r="R175" i="3" s="1"/>
  <c r="T176" i="3"/>
  <c r="R176" i="3" s="1"/>
  <c r="T177" i="3"/>
  <c r="R177" i="3" s="1"/>
  <c r="T178" i="3"/>
  <c r="R178" i="3" s="1"/>
  <c r="T179" i="3"/>
  <c r="R179" i="3" s="1"/>
  <c r="T180" i="3"/>
  <c r="R180" i="3" s="1"/>
  <c r="T181" i="3"/>
  <c r="R181" i="3" s="1"/>
  <c r="T182" i="3"/>
  <c r="R182" i="3" s="1"/>
  <c r="T183" i="3"/>
  <c r="R183" i="3" s="1"/>
  <c r="T184" i="3"/>
  <c r="R184" i="3" s="1"/>
  <c r="T185" i="3"/>
  <c r="R185" i="3" s="1"/>
  <c r="T186" i="3"/>
  <c r="R186" i="3" s="1"/>
  <c r="T187" i="3"/>
  <c r="R187" i="3" s="1"/>
  <c r="T188" i="3"/>
  <c r="R188" i="3" s="1"/>
  <c r="T189" i="3"/>
  <c r="R189" i="3" s="1"/>
  <c r="T190" i="3"/>
  <c r="R190" i="3" s="1"/>
  <c r="T191" i="3"/>
  <c r="R191" i="3" s="1"/>
  <c r="T192" i="3"/>
  <c r="R192" i="3" s="1"/>
  <c r="T193" i="3"/>
  <c r="R193" i="3" s="1"/>
  <c r="T194" i="3"/>
  <c r="R194" i="3" s="1"/>
  <c r="T195" i="3"/>
  <c r="R195" i="3" s="1"/>
  <c r="T196" i="3"/>
  <c r="R196" i="3" s="1"/>
  <c r="T197" i="3"/>
  <c r="R197" i="3" s="1"/>
  <c r="T198" i="3"/>
  <c r="R198" i="3" s="1"/>
  <c r="T199" i="3"/>
  <c r="R199" i="3" s="1"/>
  <c r="T200" i="3"/>
  <c r="R200" i="3" s="1"/>
  <c r="T201" i="3"/>
  <c r="R201" i="3" s="1"/>
  <c r="T202" i="3"/>
  <c r="R202" i="3" s="1"/>
  <c r="T203" i="3"/>
  <c r="R203" i="3" s="1"/>
  <c r="T204" i="3"/>
  <c r="R204" i="3" s="1"/>
  <c r="T205" i="3"/>
  <c r="R205" i="3" s="1"/>
  <c r="T206" i="3"/>
  <c r="R206" i="3" s="1"/>
  <c r="T207" i="3"/>
  <c r="R207" i="3" s="1"/>
  <c r="T208" i="3"/>
  <c r="R208" i="3" s="1"/>
  <c r="T209" i="3"/>
  <c r="R209" i="3" s="1"/>
  <c r="T210" i="3"/>
  <c r="R210" i="3" s="1"/>
  <c r="T211" i="3"/>
  <c r="R211" i="3" s="1"/>
  <c r="T212" i="3"/>
  <c r="R212" i="3" s="1"/>
  <c r="T213" i="3"/>
  <c r="R213" i="3" s="1"/>
  <c r="T214" i="3"/>
  <c r="R214" i="3" s="1"/>
  <c r="T215" i="3"/>
  <c r="R215" i="3" s="1"/>
  <c r="T216" i="3"/>
  <c r="R216" i="3" s="1"/>
  <c r="T217" i="3"/>
  <c r="R217" i="3" s="1"/>
  <c r="T218" i="3"/>
  <c r="R218" i="3" s="1"/>
  <c r="T219" i="3"/>
  <c r="R219" i="3" s="1"/>
  <c r="T220" i="3"/>
  <c r="R220" i="3" s="1"/>
  <c r="T221" i="3"/>
  <c r="R221" i="3" s="1"/>
  <c r="T222" i="3"/>
  <c r="R222" i="3" s="1"/>
  <c r="T223" i="3"/>
  <c r="R223" i="3" s="1"/>
  <c r="T224" i="3"/>
  <c r="R224" i="3" s="1"/>
  <c r="T225" i="3"/>
  <c r="R225" i="3" s="1"/>
  <c r="T226" i="3"/>
  <c r="R226" i="3" s="1"/>
  <c r="T227" i="3"/>
  <c r="R227" i="3" s="1"/>
  <c r="T228" i="3"/>
  <c r="R228" i="3" s="1"/>
  <c r="T229" i="3"/>
  <c r="R229" i="3" s="1"/>
  <c r="T230" i="3"/>
  <c r="R230" i="3" s="1"/>
  <c r="T231" i="3"/>
  <c r="R231" i="3" s="1"/>
  <c r="T232" i="3"/>
  <c r="R232" i="3" s="1"/>
  <c r="T233" i="3"/>
  <c r="R233" i="3" s="1"/>
  <c r="T234" i="3"/>
  <c r="R234" i="3" s="1"/>
  <c r="T235" i="3"/>
  <c r="R235" i="3" s="1"/>
  <c r="T236" i="3"/>
  <c r="R236" i="3" s="1"/>
  <c r="T237" i="3"/>
  <c r="R237" i="3" s="1"/>
  <c r="T238" i="3"/>
  <c r="R238" i="3" s="1"/>
  <c r="T239" i="3"/>
  <c r="R239" i="3" s="1"/>
  <c r="T240" i="3"/>
  <c r="R240" i="3" s="1"/>
  <c r="T241" i="3"/>
  <c r="R241" i="3" s="1"/>
  <c r="T242" i="3"/>
  <c r="R242" i="3" s="1"/>
  <c r="T243" i="3"/>
  <c r="R243" i="3" s="1"/>
  <c r="T244" i="3"/>
  <c r="R244" i="3" s="1"/>
  <c r="T245" i="3"/>
  <c r="R245" i="3" s="1"/>
  <c r="T246" i="3"/>
  <c r="R246" i="3" s="1"/>
  <c r="T247" i="3"/>
  <c r="R247" i="3" s="1"/>
  <c r="T248" i="3"/>
  <c r="R248" i="3" s="1"/>
  <c r="T249" i="3"/>
  <c r="R249" i="3" s="1"/>
  <c r="T250" i="3"/>
  <c r="R250" i="3" s="1"/>
  <c r="T251" i="3"/>
  <c r="R251" i="3" s="1"/>
  <c r="T252" i="3"/>
  <c r="R252" i="3" s="1"/>
  <c r="T253" i="3"/>
  <c r="R253" i="3" s="1"/>
  <c r="T254" i="3"/>
  <c r="R254" i="3" s="1"/>
  <c r="T255" i="3"/>
  <c r="R255" i="3" s="1"/>
  <c r="T256" i="3"/>
  <c r="R256" i="3" s="1"/>
  <c r="T257" i="3"/>
  <c r="R257" i="3" s="1"/>
  <c r="T258" i="3"/>
  <c r="R258" i="3" s="1"/>
  <c r="T259" i="3"/>
  <c r="R259" i="3" s="1"/>
  <c r="T260" i="3"/>
  <c r="R260" i="3" s="1"/>
  <c r="T261" i="3"/>
  <c r="R261" i="3" s="1"/>
  <c r="T262" i="3"/>
  <c r="R262" i="3" s="1"/>
  <c r="T263" i="3"/>
  <c r="R263" i="3" s="1"/>
  <c r="T264" i="3"/>
  <c r="R264" i="3" s="1"/>
  <c r="T265" i="3"/>
  <c r="R265" i="3" s="1"/>
  <c r="T266" i="3"/>
  <c r="R266" i="3" s="1"/>
  <c r="T267" i="3"/>
  <c r="R267" i="3" s="1"/>
  <c r="T268" i="3"/>
  <c r="R268" i="3" s="1"/>
  <c r="T269" i="3"/>
  <c r="R269" i="3" s="1"/>
  <c r="T270" i="3"/>
  <c r="R270" i="3" s="1"/>
  <c r="T271" i="3"/>
  <c r="R271" i="3" s="1"/>
  <c r="T272" i="3"/>
  <c r="R272" i="3" s="1"/>
  <c r="T273" i="3"/>
  <c r="R273" i="3" s="1"/>
  <c r="T274" i="3"/>
  <c r="R274" i="3" s="1"/>
  <c r="T275" i="3"/>
  <c r="R275" i="3" s="1"/>
  <c r="T276" i="3"/>
  <c r="R276" i="3" s="1"/>
  <c r="T277" i="3"/>
  <c r="R277" i="3" s="1"/>
  <c r="T278" i="3"/>
  <c r="R278" i="3" s="1"/>
  <c r="T279" i="3"/>
  <c r="R279" i="3" s="1"/>
  <c r="T280" i="3"/>
  <c r="R280" i="3" s="1"/>
  <c r="T281" i="3"/>
  <c r="R281" i="3" s="1"/>
  <c r="T282" i="3"/>
  <c r="R282" i="3" s="1"/>
  <c r="T283" i="3"/>
  <c r="R283" i="3" s="1"/>
  <c r="T284" i="3"/>
  <c r="R284" i="3" s="1"/>
  <c r="T285" i="3"/>
  <c r="R285" i="3" s="1"/>
  <c r="T286" i="3"/>
  <c r="R286" i="3" s="1"/>
  <c r="T287" i="3"/>
  <c r="R287" i="3" s="1"/>
  <c r="T288" i="3"/>
  <c r="R288" i="3" s="1"/>
  <c r="T289" i="3"/>
  <c r="R289" i="3" s="1"/>
  <c r="T290" i="3"/>
  <c r="R290" i="3" s="1"/>
  <c r="T291" i="3"/>
  <c r="R291" i="3" s="1"/>
  <c r="T292" i="3"/>
  <c r="R292" i="3" s="1"/>
  <c r="T293" i="3"/>
  <c r="R293" i="3" s="1"/>
  <c r="T294" i="3"/>
  <c r="R294" i="3" s="1"/>
  <c r="T295" i="3"/>
  <c r="R295" i="3" s="1"/>
  <c r="T296" i="3"/>
  <c r="R296" i="3" s="1"/>
  <c r="T297" i="3"/>
  <c r="R297" i="3" s="1"/>
  <c r="T298" i="3"/>
  <c r="R298" i="3" s="1"/>
  <c r="T299" i="3"/>
  <c r="R299" i="3" s="1"/>
  <c r="T300" i="3"/>
  <c r="R300" i="3" s="1"/>
  <c r="T301" i="3"/>
  <c r="R301" i="3" s="1"/>
  <c r="T302" i="3"/>
  <c r="R302" i="3" s="1"/>
  <c r="T303" i="3"/>
  <c r="R303" i="3" s="1"/>
  <c r="T304" i="3"/>
  <c r="R304" i="3" s="1"/>
  <c r="T305" i="3"/>
  <c r="R305" i="3" s="1"/>
  <c r="T306" i="3"/>
  <c r="R306" i="3" s="1"/>
  <c r="T307" i="3"/>
  <c r="R307" i="3" s="1"/>
  <c r="T308" i="3"/>
  <c r="R308" i="3" s="1"/>
  <c r="T309" i="3"/>
  <c r="R309" i="3" s="1"/>
  <c r="T310" i="3"/>
  <c r="R310" i="3" s="1"/>
  <c r="T311" i="3"/>
  <c r="R311" i="3" s="1"/>
  <c r="T312" i="3"/>
  <c r="R312" i="3" s="1"/>
  <c r="T313" i="3"/>
  <c r="R313" i="3" s="1"/>
  <c r="T314" i="3"/>
  <c r="R314" i="3" s="1"/>
  <c r="T315" i="3"/>
  <c r="R315" i="3" s="1"/>
  <c r="T316" i="3"/>
  <c r="R316" i="3" s="1"/>
  <c r="T317" i="3"/>
  <c r="R317" i="3" s="1"/>
  <c r="T318" i="3"/>
  <c r="R318" i="3" s="1"/>
  <c r="T319" i="3"/>
  <c r="R319" i="3" s="1"/>
  <c r="T320" i="3"/>
  <c r="R320" i="3" s="1"/>
  <c r="T321" i="3"/>
  <c r="R321" i="3" s="1"/>
  <c r="T322" i="3"/>
  <c r="R322" i="3" s="1"/>
  <c r="T323" i="3"/>
  <c r="R323" i="3" s="1"/>
  <c r="T324" i="3"/>
  <c r="R324" i="3" s="1"/>
  <c r="T325" i="3"/>
  <c r="R325" i="3" s="1"/>
  <c r="T326" i="3"/>
  <c r="R326" i="3" s="1"/>
  <c r="T327" i="3"/>
  <c r="R327" i="3" s="1"/>
  <c r="T328" i="3"/>
  <c r="R328" i="3" s="1"/>
  <c r="T329" i="3"/>
  <c r="R329" i="3" s="1"/>
  <c r="T330" i="3"/>
  <c r="R330" i="3" s="1"/>
  <c r="T331" i="3"/>
  <c r="R331" i="3" s="1"/>
  <c r="T332" i="3"/>
  <c r="R332" i="3" s="1"/>
  <c r="T333" i="3"/>
  <c r="R333" i="3" s="1"/>
  <c r="T334" i="3"/>
  <c r="R334" i="3" s="1"/>
  <c r="T335" i="3"/>
  <c r="R335" i="3" s="1"/>
  <c r="T336" i="3"/>
  <c r="R336" i="3" s="1"/>
  <c r="T337" i="3"/>
  <c r="R337" i="3" s="1"/>
  <c r="T338" i="3"/>
  <c r="R338" i="3" s="1"/>
  <c r="T339" i="3"/>
  <c r="R339" i="3" s="1"/>
  <c r="T340" i="3"/>
  <c r="R340" i="3" s="1"/>
  <c r="T341" i="3"/>
  <c r="R341" i="3" s="1"/>
  <c r="T342" i="3"/>
  <c r="R342" i="3" s="1"/>
  <c r="T343" i="3"/>
  <c r="R343" i="3" s="1"/>
  <c r="T344" i="3"/>
  <c r="R344" i="3" s="1"/>
  <c r="T345" i="3"/>
  <c r="R345" i="3" s="1"/>
  <c r="T346" i="3"/>
  <c r="R346" i="3" s="1"/>
  <c r="T347" i="3"/>
  <c r="R347" i="3" s="1"/>
  <c r="T348" i="3"/>
  <c r="R348" i="3" s="1"/>
  <c r="T349" i="3"/>
  <c r="R349" i="3" s="1"/>
  <c r="T350" i="3"/>
  <c r="R350" i="3" s="1"/>
  <c r="T351" i="3"/>
  <c r="R351" i="3" s="1"/>
  <c r="T352" i="3"/>
  <c r="R352" i="3" s="1"/>
  <c r="T353" i="3"/>
  <c r="R353" i="3" s="1"/>
  <c r="T354" i="3"/>
  <c r="R354" i="3" s="1"/>
  <c r="T355" i="3"/>
  <c r="R355" i="3" s="1"/>
  <c r="T356" i="3"/>
  <c r="R356" i="3" s="1"/>
  <c r="T357" i="3"/>
  <c r="R357" i="3" s="1"/>
  <c r="T358" i="3"/>
  <c r="R358" i="3" s="1"/>
  <c r="T359" i="3"/>
  <c r="R359" i="3" s="1"/>
  <c r="T360" i="3"/>
  <c r="R360" i="3" s="1"/>
  <c r="T361" i="3"/>
  <c r="R361" i="3" s="1"/>
  <c r="T362" i="3"/>
  <c r="R362" i="3" s="1"/>
  <c r="T363" i="3"/>
  <c r="R363" i="3" s="1"/>
  <c r="T364" i="3"/>
  <c r="R364" i="3" s="1"/>
  <c r="T365" i="3"/>
  <c r="R365" i="3" s="1"/>
  <c r="T366" i="3"/>
  <c r="R366" i="3" s="1"/>
  <c r="T367" i="3"/>
  <c r="R367" i="3" s="1"/>
  <c r="T368" i="3"/>
  <c r="R368" i="3" s="1"/>
  <c r="T369" i="3"/>
  <c r="R369" i="3" s="1"/>
  <c r="T370" i="3"/>
  <c r="R370" i="3" s="1"/>
  <c r="T371" i="3"/>
  <c r="R371" i="3" s="1"/>
  <c r="T372" i="3"/>
  <c r="R372" i="3" s="1"/>
  <c r="T373" i="3"/>
  <c r="R373" i="3" s="1"/>
  <c r="T374" i="3"/>
  <c r="R374" i="3" s="1"/>
  <c r="T375" i="3"/>
  <c r="R375" i="3" s="1"/>
  <c r="T376" i="3"/>
  <c r="R376" i="3" s="1"/>
  <c r="T377" i="3"/>
  <c r="R377" i="3" s="1"/>
  <c r="T378" i="3"/>
  <c r="R378" i="3" s="1"/>
  <c r="T379" i="3"/>
  <c r="R379" i="3" s="1"/>
  <c r="T380" i="3"/>
  <c r="R380" i="3" s="1"/>
  <c r="T381" i="3"/>
  <c r="R381" i="3" s="1"/>
  <c r="T382" i="3"/>
  <c r="R382" i="3" s="1"/>
  <c r="T383" i="3"/>
  <c r="R383" i="3" s="1"/>
  <c r="T384" i="3"/>
  <c r="R384" i="3" s="1"/>
  <c r="T385" i="3"/>
  <c r="R385" i="3" s="1"/>
  <c r="T386" i="3"/>
  <c r="R386" i="3" s="1"/>
  <c r="T387" i="3"/>
  <c r="R387" i="3" s="1"/>
  <c r="T388" i="3"/>
  <c r="R388" i="3" s="1"/>
  <c r="T389" i="3"/>
  <c r="R389" i="3" s="1"/>
  <c r="T390" i="3"/>
  <c r="R390" i="3" s="1"/>
  <c r="T391" i="3"/>
  <c r="R391" i="3" s="1"/>
  <c r="T392" i="3"/>
  <c r="R392" i="3" s="1"/>
  <c r="T393" i="3"/>
  <c r="R393" i="3" s="1"/>
  <c r="T394" i="3"/>
  <c r="R394" i="3" s="1"/>
  <c r="T395" i="3"/>
  <c r="R395" i="3" s="1"/>
  <c r="T396" i="3"/>
  <c r="R396" i="3" s="1"/>
  <c r="T397" i="3"/>
  <c r="R397" i="3" s="1"/>
  <c r="T398" i="3"/>
  <c r="R398" i="3" s="1"/>
  <c r="T399" i="3"/>
  <c r="R399" i="3" s="1"/>
  <c r="T400" i="3"/>
  <c r="R400" i="3" s="1"/>
  <c r="T401" i="3"/>
  <c r="R401" i="3" s="1"/>
  <c r="T402" i="3"/>
  <c r="R402" i="3" s="1"/>
  <c r="T403" i="3"/>
  <c r="R403" i="3" s="1"/>
  <c r="T404" i="3"/>
  <c r="R404" i="3" s="1"/>
  <c r="T405" i="3"/>
  <c r="R405" i="3" s="1"/>
  <c r="T406" i="3"/>
  <c r="R406" i="3" s="1"/>
  <c r="T407" i="3"/>
  <c r="R407" i="3" s="1"/>
  <c r="T408" i="3"/>
  <c r="R408" i="3" s="1"/>
  <c r="T409" i="3"/>
  <c r="R409" i="3" s="1"/>
  <c r="T410" i="3"/>
  <c r="R410" i="3" s="1"/>
  <c r="T411" i="3"/>
  <c r="R411" i="3" s="1"/>
  <c r="T412" i="3"/>
  <c r="R412" i="3" s="1"/>
  <c r="T413" i="3"/>
  <c r="R413" i="3" s="1"/>
  <c r="T414" i="3"/>
  <c r="R414" i="3" s="1"/>
  <c r="T415" i="3"/>
  <c r="R415" i="3" s="1"/>
  <c r="T416" i="3"/>
  <c r="R416" i="3" s="1"/>
  <c r="T417" i="3"/>
  <c r="R417" i="3" s="1"/>
  <c r="T418" i="3"/>
  <c r="R418" i="3" s="1"/>
  <c r="T419" i="3"/>
  <c r="R419" i="3" s="1"/>
  <c r="T420" i="3"/>
  <c r="R420" i="3" s="1"/>
  <c r="T421" i="3"/>
  <c r="R421" i="3" s="1"/>
  <c r="T422" i="3"/>
  <c r="R422" i="3" s="1"/>
  <c r="T423" i="3"/>
  <c r="R423" i="3" s="1"/>
  <c r="T424" i="3"/>
  <c r="R424" i="3" s="1"/>
  <c r="T425" i="3"/>
  <c r="R425" i="3" s="1"/>
  <c r="T426" i="3"/>
  <c r="R426" i="3" s="1"/>
  <c r="T427" i="3"/>
  <c r="R427" i="3" s="1"/>
  <c r="T428" i="3"/>
  <c r="R428" i="3" s="1"/>
  <c r="T429" i="3"/>
  <c r="R429" i="3" s="1"/>
  <c r="T430" i="3"/>
  <c r="R430" i="3" s="1"/>
  <c r="T431" i="3"/>
  <c r="R431" i="3" s="1"/>
  <c r="T432" i="3"/>
  <c r="R432" i="3" s="1"/>
  <c r="T433" i="3"/>
  <c r="R433" i="3" s="1"/>
  <c r="T434" i="3"/>
  <c r="R434" i="3" s="1"/>
  <c r="T435" i="3"/>
  <c r="R435" i="3" s="1"/>
  <c r="T436" i="3"/>
  <c r="R436" i="3" s="1"/>
  <c r="T437" i="3"/>
  <c r="R437" i="3" s="1"/>
  <c r="T438" i="3"/>
  <c r="R438" i="3" s="1"/>
  <c r="T439" i="3"/>
  <c r="R439" i="3" s="1"/>
  <c r="T440" i="3"/>
  <c r="R440" i="3" s="1"/>
  <c r="T441" i="3"/>
  <c r="R441" i="3" s="1"/>
  <c r="T442" i="3"/>
  <c r="R442" i="3" s="1"/>
  <c r="T443" i="3"/>
  <c r="R443" i="3" s="1"/>
  <c r="T444" i="3"/>
  <c r="R444" i="3" s="1"/>
  <c r="T445" i="3"/>
  <c r="R445" i="3" s="1"/>
  <c r="T446" i="3"/>
  <c r="R446" i="3" s="1"/>
  <c r="T447" i="3"/>
  <c r="R447" i="3" s="1"/>
  <c r="T448" i="3"/>
  <c r="R448" i="3" s="1"/>
  <c r="T449" i="3"/>
  <c r="R449" i="3" s="1"/>
  <c r="T450" i="3"/>
  <c r="R450" i="3" s="1"/>
  <c r="T451" i="3"/>
  <c r="R451" i="3" s="1"/>
  <c r="T452" i="3"/>
  <c r="R452" i="3" s="1"/>
  <c r="T453" i="3"/>
  <c r="R453" i="3" s="1"/>
  <c r="T454" i="3"/>
  <c r="R454" i="3" s="1"/>
  <c r="T455" i="3"/>
  <c r="R455" i="3" s="1"/>
  <c r="T456" i="3"/>
  <c r="R456" i="3" s="1"/>
  <c r="T457" i="3"/>
  <c r="R457" i="3" s="1"/>
  <c r="T458" i="3"/>
  <c r="R458" i="3" s="1"/>
  <c r="T459" i="3"/>
  <c r="R459" i="3" s="1"/>
  <c r="T460" i="3"/>
  <c r="R460" i="3" s="1"/>
  <c r="T461" i="3"/>
  <c r="R461" i="3" s="1"/>
  <c r="T462" i="3"/>
  <c r="R462" i="3" s="1"/>
  <c r="T463" i="3"/>
  <c r="R463" i="3" s="1"/>
  <c r="T464" i="3"/>
  <c r="R464" i="3" s="1"/>
  <c r="T465" i="3"/>
  <c r="R465" i="3" s="1"/>
  <c r="T466" i="3"/>
  <c r="R466" i="3" s="1"/>
  <c r="T467" i="3"/>
  <c r="R467" i="3" s="1"/>
  <c r="T468" i="3"/>
  <c r="R468" i="3" s="1"/>
  <c r="T469" i="3"/>
  <c r="R469" i="3" s="1"/>
  <c r="T470" i="3"/>
  <c r="R470" i="3" s="1"/>
  <c r="T471" i="3"/>
  <c r="R471" i="3" s="1"/>
  <c r="T472" i="3"/>
  <c r="R472" i="3" s="1"/>
  <c r="T473" i="3"/>
  <c r="R473" i="3" s="1"/>
  <c r="T474" i="3"/>
  <c r="R474" i="3" s="1"/>
  <c r="T475" i="3"/>
  <c r="R475" i="3" s="1"/>
  <c r="T476" i="3"/>
  <c r="R476" i="3" s="1"/>
  <c r="T477" i="3"/>
  <c r="R477" i="3" s="1"/>
  <c r="T478" i="3"/>
  <c r="R478" i="3" s="1"/>
  <c r="T479" i="3"/>
  <c r="R479" i="3" s="1"/>
  <c r="T480" i="3"/>
  <c r="R480" i="3" s="1"/>
  <c r="T481" i="3"/>
  <c r="R481" i="3" s="1"/>
  <c r="T482" i="3"/>
  <c r="R482" i="3" s="1"/>
  <c r="T483" i="3"/>
  <c r="R483" i="3" s="1"/>
  <c r="T484" i="3"/>
  <c r="R484" i="3" s="1"/>
  <c r="T485" i="3"/>
  <c r="R485" i="3" s="1"/>
  <c r="T486" i="3"/>
  <c r="R486" i="3" s="1"/>
  <c r="T487" i="3"/>
  <c r="R487" i="3" s="1"/>
  <c r="T488" i="3"/>
  <c r="R488" i="3" s="1"/>
  <c r="T489" i="3"/>
  <c r="R489" i="3" s="1"/>
  <c r="T490" i="3"/>
  <c r="R490" i="3" s="1"/>
  <c r="T491" i="3"/>
  <c r="R491" i="3" s="1"/>
  <c r="T492" i="3"/>
  <c r="R492" i="3" s="1"/>
  <c r="T493" i="3"/>
  <c r="R493" i="3" s="1"/>
  <c r="T494" i="3"/>
  <c r="R494" i="3" s="1"/>
  <c r="T495" i="3"/>
  <c r="R495" i="3" s="1"/>
  <c r="T496" i="3"/>
  <c r="R496" i="3" s="1"/>
  <c r="T497" i="3"/>
  <c r="R497" i="3" s="1"/>
  <c r="T498" i="3"/>
  <c r="R498" i="3" s="1"/>
  <c r="T499" i="3"/>
  <c r="R499" i="3" s="1"/>
  <c r="T500" i="3"/>
  <c r="R500" i="3" s="1"/>
  <c r="T501" i="3"/>
  <c r="R501" i="3" s="1"/>
  <c r="T502" i="3"/>
  <c r="R502" i="3" s="1"/>
  <c r="T503" i="3"/>
  <c r="R503" i="3" s="1"/>
  <c r="T504" i="3"/>
  <c r="R504" i="3" s="1"/>
  <c r="T505" i="3"/>
  <c r="R505" i="3" s="1"/>
  <c r="T506" i="3"/>
  <c r="R506" i="3" s="1"/>
  <c r="T507" i="3"/>
  <c r="R507" i="3" s="1"/>
  <c r="T508" i="3"/>
  <c r="R508" i="3" s="1"/>
  <c r="T509" i="3"/>
  <c r="R509" i="3" s="1"/>
  <c r="T510" i="3"/>
  <c r="R510" i="3" s="1"/>
  <c r="T511" i="3"/>
  <c r="R511" i="3" s="1"/>
  <c r="T512" i="3"/>
  <c r="R512" i="3" s="1"/>
  <c r="T513" i="3"/>
  <c r="R513" i="3" s="1"/>
  <c r="T514" i="3"/>
  <c r="R514" i="3" s="1"/>
  <c r="T515" i="3"/>
  <c r="R515" i="3" s="1"/>
  <c r="T516" i="3"/>
  <c r="R516" i="3" s="1"/>
  <c r="T517" i="3"/>
  <c r="R517" i="3" s="1"/>
  <c r="T518" i="3"/>
  <c r="R518" i="3" s="1"/>
  <c r="T519" i="3"/>
  <c r="R519" i="3" s="1"/>
  <c r="T520" i="3"/>
  <c r="R520" i="3" s="1"/>
  <c r="T521" i="3"/>
  <c r="R521" i="3" s="1"/>
  <c r="T522" i="3"/>
  <c r="R522" i="3" s="1"/>
  <c r="T523" i="3"/>
  <c r="R523" i="3" s="1"/>
  <c r="T524" i="3"/>
  <c r="R524" i="3" s="1"/>
  <c r="T525" i="3"/>
  <c r="R525" i="3" s="1"/>
  <c r="T526" i="3"/>
  <c r="R526" i="3" s="1"/>
  <c r="T527" i="3"/>
  <c r="R527" i="3" s="1"/>
  <c r="T528" i="3"/>
  <c r="R528" i="3" s="1"/>
  <c r="T529" i="3"/>
  <c r="R529" i="3" s="1"/>
  <c r="T530" i="3"/>
  <c r="R530" i="3" s="1"/>
  <c r="T531" i="3"/>
  <c r="R531" i="3" s="1"/>
  <c r="T532" i="3"/>
  <c r="R532" i="3" s="1"/>
  <c r="T533" i="3"/>
  <c r="R533" i="3" s="1"/>
  <c r="T534" i="3"/>
  <c r="R534" i="3" s="1"/>
  <c r="T535" i="3"/>
  <c r="R535" i="3" s="1"/>
  <c r="T536" i="3"/>
  <c r="R536" i="3" s="1"/>
  <c r="T537" i="3"/>
  <c r="R537" i="3" s="1"/>
  <c r="T538" i="3"/>
  <c r="R538" i="3" s="1"/>
  <c r="T539" i="3"/>
  <c r="R539" i="3" s="1"/>
  <c r="T540" i="3"/>
  <c r="R540" i="3" s="1"/>
  <c r="T541" i="3"/>
  <c r="R541" i="3" s="1"/>
  <c r="T542" i="3"/>
  <c r="R542" i="3" s="1"/>
  <c r="T543" i="3"/>
  <c r="R543" i="3" s="1"/>
  <c r="T544" i="3"/>
  <c r="R544" i="3" s="1"/>
  <c r="T545" i="3"/>
  <c r="R545" i="3" s="1"/>
  <c r="T546" i="3"/>
  <c r="R546" i="3" s="1"/>
  <c r="T547" i="3"/>
  <c r="R547" i="3" s="1"/>
  <c r="T548" i="3"/>
  <c r="R548" i="3" s="1"/>
  <c r="T549" i="3"/>
  <c r="R549" i="3" s="1"/>
  <c r="T550" i="3"/>
  <c r="R550" i="3" s="1"/>
  <c r="T551" i="3"/>
  <c r="R551" i="3" s="1"/>
  <c r="T552" i="3"/>
  <c r="R552" i="3" s="1"/>
  <c r="T553" i="3"/>
  <c r="R553" i="3" s="1"/>
  <c r="T554" i="3"/>
  <c r="R554" i="3" s="1"/>
  <c r="T555" i="3"/>
  <c r="R555" i="3" s="1"/>
  <c r="T556" i="3"/>
  <c r="R556" i="3" s="1"/>
  <c r="T557" i="3"/>
  <c r="R557" i="3" s="1"/>
  <c r="T558" i="3"/>
  <c r="R558" i="3" s="1"/>
  <c r="T559" i="3"/>
  <c r="R559" i="3" s="1"/>
  <c r="T560" i="3"/>
  <c r="R560" i="3" s="1"/>
  <c r="T561" i="3"/>
  <c r="R561" i="3" s="1"/>
  <c r="T562" i="3"/>
  <c r="R562" i="3" s="1"/>
  <c r="T563" i="3"/>
  <c r="R563" i="3" s="1"/>
  <c r="T564" i="3"/>
  <c r="R564" i="3" s="1"/>
  <c r="T565" i="3"/>
  <c r="R565" i="3" s="1"/>
  <c r="T566" i="3"/>
  <c r="R566" i="3" s="1"/>
  <c r="T567" i="3"/>
  <c r="R567" i="3" s="1"/>
  <c r="T568" i="3"/>
  <c r="R568" i="3" s="1"/>
  <c r="T569" i="3"/>
  <c r="R569" i="3" s="1"/>
  <c r="T570" i="3"/>
  <c r="R570" i="3" s="1"/>
  <c r="T571" i="3"/>
  <c r="R571" i="3" s="1"/>
  <c r="T572" i="3"/>
  <c r="R572" i="3" s="1"/>
  <c r="T573" i="3"/>
  <c r="R573" i="3" s="1"/>
  <c r="T574" i="3"/>
  <c r="R574" i="3" s="1"/>
  <c r="T575" i="3"/>
  <c r="R575" i="3" s="1"/>
  <c r="T576" i="3"/>
  <c r="R576" i="3" s="1"/>
  <c r="T577" i="3"/>
  <c r="R577" i="3" s="1"/>
  <c r="T578" i="3"/>
  <c r="R578" i="3" s="1"/>
  <c r="T579" i="3"/>
  <c r="R579" i="3" s="1"/>
  <c r="T580" i="3"/>
  <c r="R580" i="3" s="1"/>
  <c r="T581" i="3"/>
  <c r="R581" i="3" s="1"/>
  <c r="T582" i="3"/>
  <c r="R582" i="3" s="1"/>
  <c r="T583" i="3"/>
  <c r="R583" i="3" s="1"/>
  <c r="T584" i="3"/>
  <c r="R584" i="3" s="1"/>
  <c r="T585" i="3"/>
  <c r="R585" i="3" s="1"/>
  <c r="T586" i="3"/>
  <c r="R586" i="3" s="1"/>
  <c r="T587" i="3"/>
  <c r="R587" i="3" s="1"/>
  <c r="T588" i="3"/>
  <c r="R588" i="3" s="1"/>
  <c r="T589" i="3"/>
  <c r="R589" i="3" s="1"/>
  <c r="T590" i="3"/>
  <c r="R590" i="3" s="1"/>
  <c r="T591" i="3"/>
  <c r="R591" i="3" s="1"/>
  <c r="T592" i="3"/>
  <c r="R592" i="3" s="1"/>
  <c r="T593" i="3"/>
  <c r="R593" i="3" s="1"/>
  <c r="T594" i="3"/>
  <c r="R594" i="3" s="1"/>
  <c r="T595" i="3"/>
  <c r="R595" i="3" s="1"/>
  <c r="T596" i="3"/>
  <c r="R596" i="3" s="1"/>
  <c r="T597" i="3"/>
  <c r="R597" i="3" s="1"/>
  <c r="T598" i="3"/>
  <c r="R598" i="3" s="1"/>
  <c r="T599" i="3"/>
  <c r="R599" i="3" s="1"/>
  <c r="T600" i="3"/>
  <c r="R600" i="3" s="1"/>
  <c r="T601" i="3"/>
  <c r="R601" i="3" s="1"/>
  <c r="T602" i="3"/>
  <c r="R602" i="3" s="1"/>
  <c r="T603" i="3"/>
  <c r="R603" i="3" s="1"/>
  <c r="T604" i="3"/>
  <c r="R604" i="3" s="1"/>
  <c r="T605" i="3"/>
  <c r="R605" i="3" s="1"/>
  <c r="T606" i="3"/>
  <c r="R606" i="3" s="1"/>
  <c r="T607" i="3"/>
  <c r="R607" i="3" s="1"/>
  <c r="T608" i="3"/>
  <c r="R608" i="3" s="1"/>
  <c r="T609" i="3"/>
  <c r="R609" i="3" s="1"/>
  <c r="T610" i="3"/>
  <c r="R610" i="3" s="1"/>
  <c r="T611" i="3"/>
  <c r="R611" i="3" s="1"/>
  <c r="T612" i="3"/>
  <c r="R612" i="3" s="1"/>
  <c r="T613" i="3"/>
  <c r="R613" i="3" s="1"/>
  <c r="T614" i="3"/>
  <c r="R614" i="3" s="1"/>
  <c r="T615" i="3"/>
  <c r="R615" i="3" s="1"/>
  <c r="T616" i="3"/>
  <c r="R616" i="3" s="1"/>
  <c r="T617" i="3"/>
  <c r="R617" i="3" s="1"/>
  <c r="T618" i="3"/>
  <c r="R618" i="3" s="1"/>
  <c r="T619" i="3"/>
  <c r="R619" i="3" s="1"/>
  <c r="T620" i="3"/>
  <c r="R620" i="3" s="1"/>
  <c r="T621" i="3"/>
  <c r="R621" i="3" s="1"/>
  <c r="T622" i="3"/>
  <c r="R622" i="3" s="1"/>
  <c r="T623" i="3"/>
  <c r="R623" i="3" s="1"/>
  <c r="T624" i="3"/>
  <c r="R624" i="3" s="1"/>
  <c r="T625" i="3"/>
  <c r="R625" i="3" s="1"/>
  <c r="T626" i="3"/>
  <c r="R626" i="3" s="1"/>
  <c r="T627" i="3"/>
  <c r="R627" i="3" s="1"/>
  <c r="T628" i="3"/>
  <c r="R628" i="3" s="1"/>
  <c r="T629" i="3"/>
  <c r="R629" i="3" s="1"/>
  <c r="T630" i="3"/>
  <c r="R630" i="3" s="1"/>
  <c r="T631" i="3"/>
  <c r="R631" i="3" s="1"/>
  <c r="T632" i="3"/>
  <c r="R632" i="3" s="1"/>
  <c r="T633" i="3"/>
  <c r="R633" i="3" s="1"/>
  <c r="T2" i="3"/>
  <c r="R2" i="3" s="1"/>
  <c r="M43" i="7"/>
  <c r="M44" i="7"/>
  <c r="M45" i="7"/>
  <c r="M46" i="7"/>
  <c r="M47" i="7"/>
  <c r="M48" i="7"/>
  <c r="M42" i="7"/>
  <c r="L43" i="7"/>
  <c r="L44" i="7"/>
  <c r="L45" i="7"/>
  <c r="L46" i="7"/>
  <c r="L47" i="7"/>
  <c r="L48" i="7"/>
  <c r="L42" i="7"/>
  <c r="K78" i="7"/>
  <c r="K79" i="7"/>
  <c r="K77" i="7"/>
  <c r="J78" i="7"/>
  <c r="J79" i="7"/>
  <c r="J77" i="7"/>
  <c r="I78" i="7"/>
  <c r="I79" i="7"/>
  <c r="I77" i="7"/>
  <c r="H78" i="7"/>
  <c r="H79" i="7"/>
  <c r="H77" i="7"/>
  <c r="G78" i="7"/>
  <c r="G79" i="7"/>
  <c r="G77" i="7"/>
  <c r="E77" i="7"/>
  <c r="F77" i="7"/>
  <c r="E78" i="7"/>
  <c r="F78" i="7"/>
  <c r="E79" i="7"/>
  <c r="F79" i="7"/>
  <c r="N2" i="3"/>
  <c r="N6" i="3"/>
  <c r="P6" i="3" s="1"/>
  <c r="N7" i="3"/>
  <c r="P7" i="3" s="1"/>
  <c r="N8" i="3"/>
  <c r="P8" i="3" s="1"/>
  <c r="N9" i="3"/>
  <c r="P9" i="3" s="1"/>
  <c r="N10" i="3"/>
  <c r="P10" i="3" s="1"/>
  <c r="N11" i="3"/>
  <c r="P11" i="3" s="1"/>
  <c r="N12" i="3"/>
  <c r="P12" i="3" s="1"/>
  <c r="N13" i="3"/>
  <c r="P13" i="3" s="1"/>
  <c r="N14" i="3"/>
  <c r="P14" i="3" s="1"/>
  <c r="N15" i="3"/>
  <c r="P15" i="3" s="1"/>
  <c r="N16" i="3"/>
  <c r="P16" i="3" s="1"/>
  <c r="N17" i="3"/>
  <c r="P17" i="3" s="1"/>
  <c r="N18" i="3"/>
  <c r="P18" i="3" s="1"/>
  <c r="N19" i="3"/>
  <c r="P19" i="3" s="1"/>
  <c r="N20" i="3"/>
  <c r="P20" i="3" s="1"/>
  <c r="N21" i="3"/>
  <c r="P21" i="3" s="1"/>
  <c r="N22" i="3"/>
  <c r="P22" i="3" s="1"/>
  <c r="N23" i="3"/>
  <c r="P23" i="3" s="1"/>
  <c r="N24" i="3"/>
  <c r="P24" i="3" s="1"/>
  <c r="N25" i="3"/>
  <c r="P25" i="3" s="1"/>
  <c r="N26" i="3"/>
  <c r="P26" i="3" s="1"/>
  <c r="N27" i="3"/>
  <c r="P27" i="3" s="1"/>
  <c r="N28" i="3"/>
  <c r="P28" i="3" s="1"/>
  <c r="N29" i="3"/>
  <c r="P29" i="3" s="1"/>
  <c r="N30" i="3"/>
  <c r="P30" i="3" s="1"/>
  <c r="N31" i="3"/>
  <c r="P31" i="3" s="1"/>
  <c r="N32" i="3"/>
  <c r="P32" i="3" s="1"/>
  <c r="N33" i="3"/>
  <c r="P33" i="3" s="1"/>
  <c r="N34" i="3"/>
  <c r="P34" i="3" s="1"/>
  <c r="N35" i="3"/>
  <c r="P35" i="3" s="1"/>
  <c r="N36" i="3"/>
  <c r="P36" i="3" s="1"/>
  <c r="N37" i="3"/>
  <c r="P37" i="3" s="1"/>
  <c r="N38" i="3"/>
  <c r="P38" i="3" s="1"/>
  <c r="N39" i="3"/>
  <c r="P39" i="3" s="1"/>
  <c r="N40" i="3"/>
  <c r="P40" i="3" s="1"/>
  <c r="N41" i="3"/>
  <c r="P41" i="3" s="1"/>
  <c r="N42" i="3"/>
  <c r="P42" i="3" s="1"/>
  <c r="N43" i="3"/>
  <c r="P43" i="3" s="1"/>
  <c r="N44" i="3"/>
  <c r="P44" i="3" s="1"/>
  <c r="N45" i="3"/>
  <c r="P45" i="3" s="1"/>
  <c r="N46" i="3"/>
  <c r="P46" i="3" s="1"/>
  <c r="N47" i="3"/>
  <c r="P47" i="3" s="1"/>
  <c r="N48" i="3"/>
  <c r="P48" i="3" s="1"/>
  <c r="N49" i="3"/>
  <c r="P49" i="3" s="1"/>
  <c r="N50" i="3"/>
  <c r="P50" i="3" s="1"/>
  <c r="N51" i="3"/>
  <c r="P51" i="3" s="1"/>
  <c r="N52" i="3"/>
  <c r="P52" i="3" s="1"/>
  <c r="N53" i="3"/>
  <c r="P53" i="3" s="1"/>
  <c r="N54" i="3"/>
  <c r="P54" i="3" s="1"/>
  <c r="N55" i="3"/>
  <c r="P55" i="3" s="1"/>
  <c r="N56" i="3"/>
  <c r="P56" i="3" s="1"/>
  <c r="N57" i="3"/>
  <c r="P57" i="3" s="1"/>
  <c r="N58" i="3"/>
  <c r="P58" i="3" s="1"/>
  <c r="N59" i="3"/>
  <c r="P59" i="3" s="1"/>
  <c r="N60" i="3"/>
  <c r="P60" i="3" s="1"/>
  <c r="N61" i="3"/>
  <c r="P61" i="3" s="1"/>
  <c r="N62" i="3"/>
  <c r="P62" i="3" s="1"/>
  <c r="N63" i="3"/>
  <c r="P63" i="3" s="1"/>
  <c r="N64" i="3"/>
  <c r="P64" i="3" s="1"/>
  <c r="N65" i="3"/>
  <c r="P65" i="3" s="1"/>
  <c r="N66" i="3"/>
  <c r="P66" i="3" s="1"/>
  <c r="N67" i="3"/>
  <c r="P67" i="3" s="1"/>
  <c r="N68" i="3"/>
  <c r="P68" i="3" s="1"/>
  <c r="N69" i="3"/>
  <c r="P69" i="3" s="1"/>
  <c r="N70" i="3"/>
  <c r="P70" i="3" s="1"/>
  <c r="N71" i="3"/>
  <c r="P71" i="3" s="1"/>
  <c r="N72" i="3"/>
  <c r="P72" i="3" s="1"/>
  <c r="N73" i="3"/>
  <c r="P73" i="3" s="1"/>
  <c r="N74" i="3"/>
  <c r="P74" i="3" s="1"/>
  <c r="N75" i="3"/>
  <c r="P75" i="3" s="1"/>
  <c r="N76" i="3"/>
  <c r="P76" i="3" s="1"/>
  <c r="N77" i="3"/>
  <c r="P77" i="3" s="1"/>
  <c r="N78" i="3"/>
  <c r="P78" i="3" s="1"/>
  <c r="N79" i="3"/>
  <c r="P79" i="3" s="1"/>
  <c r="N80" i="3"/>
  <c r="P80" i="3" s="1"/>
  <c r="N81" i="3"/>
  <c r="P81" i="3" s="1"/>
  <c r="N82" i="3"/>
  <c r="P82" i="3" s="1"/>
  <c r="N83" i="3"/>
  <c r="P83" i="3" s="1"/>
  <c r="N84" i="3"/>
  <c r="P84" i="3" s="1"/>
  <c r="N85" i="3"/>
  <c r="P85" i="3" s="1"/>
  <c r="N86" i="3"/>
  <c r="P86" i="3" s="1"/>
  <c r="N87" i="3"/>
  <c r="P87" i="3" s="1"/>
  <c r="N88" i="3"/>
  <c r="P88" i="3" s="1"/>
  <c r="N89" i="3"/>
  <c r="P89" i="3" s="1"/>
  <c r="N90" i="3"/>
  <c r="P90" i="3" s="1"/>
  <c r="N91" i="3"/>
  <c r="P91" i="3" s="1"/>
  <c r="N92" i="3"/>
  <c r="P92" i="3" s="1"/>
  <c r="N93" i="3"/>
  <c r="P93" i="3" s="1"/>
  <c r="N94" i="3"/>
  <c r="P94" i="3" s="1"/>
  <c r="N95" i="3"/>
  <c r="P95" i="3" s="1"/>
  <c r="N96" i="3"/>
  <c r="P96" i="3" s="1"/>
  <c r="N97" i="3"/>
  <c r="P97" i="3" s="1"/>
  <c r="N98" i="3"/>
  <c r="P98" i="3" s="1"/>
  <c r="N99" i="3"/>
  <c r="P99" i="3" s="1"/>
  <c r="N100" i="3"/>
  <c r="P100" i="3" s="1"/>
  <c r="N101" i="3"/>
  <c r="P101" i="3" s="1"/>
  <c r="N102" i="3"/>
  <c r="P102" i="3" s="1"/>
  <c r="N103" i="3"/>
  <c r="P103" i="3" s="1"/>
  <c r="N104" i="3"/>
  <c r="P104" i="3" s="1"/>
  <c r="N105" i="3"/>
  <c r="P105" i="3" s="1"/>
  <c r="N106" i="3"/>
  <c r="P106" i="3" s="1"/>
  <c r="N107" i="3"/>
  <c r="P107" i="3" s="1"/>
  <c r="N108" i="3"/>
  <c r="P108" i="3" s="1"/>
  <c r="N109" i="3"/>
  <c r="P109" i="3" s="1"/>
  <c r="N110" i="3"/>
  <c r="P110" i="3" s="1"/>
  <c r="N111" i="3"/>
  <c r="P111" i="3" s="1"/>
  <c r="N112" i="3"/>
  <c r="P112" i="3" s="1"/>
  <c r="N113" i="3"/>
  <c r="P113" i="3" s="1"/>
  <c r="N114" i="3"/>
  <c r="P114" i="3" s="1"/>
  <c r="N115" i="3"/>
  <c r="P115" i="3" s="1"/>
  <c r="N116" i="3"/>
  <c r="P116" i="3" s="1"/>
  <c r="N117" i="3"/>
  <c r="P117" i="3" s="1"/>
  <c r="N118" i="3"/>
  <c r="P118" i="3" s="1"/>
  <c r="N119" i="3"/>
  <c r="P119" i="3" s="1"/>
  <c r="N120" i="3"/>
  <c r="P120" i="3" s="1"/>
  <c r="N121" i="3"/>
  <c r="P121" i="3" s="1"/>
  <c r="N122" i="3"/>
  <c r="P122" i="3" s="1"/>
  <c r="N123" i="3"/>
  <c r="P123" i="3" s="1"/>
  <c r="N124" i="3"/>
  <c r="P124" i="3" s="1"/>
  <c r="N125" i="3"/>
  <c r="P125" i="3" s="1"/>
  <c r="N126" i="3"/>
  <c r="P126" i="3" s="1"/>
  <c r="N127" i="3"/>
  <c r="P127" i="3" s="1"/>
  <c r="N128" i="3"/>
  <c r="P128" i="3" s="1"/>
  <c r="N129" i="3"/>
  <c r="P129" i="3" s="1"/>
  <c r="N130" i="3"/>
  <c r="P130" i="3" s="1"/>
  <c r="N131" i="3"/>
  <c r="P131" i="3" s="1"/>
  <c r="N132" i="3"/>
  <c r="P132" i="3" s="1"/>
  <c r="N133" i="3"/>
  <c r="P133" i="3" s="1"/>
  <c r="N134" i="3"/>
  <c r="P134" i="3" s="1"/>
  <c r="N135" i="3"/>
  <c r="P135" i="3" s="1"/>
  <c r="N136" i="3"/>
  <c r="P136" i="3" s="1"/>
  <c r="N137" i="3"/>
  <c r="P137" i="3" s="1"/>
  <c r="N138" i="3"/>
  <c r="P138" i="3" s="1"/>
  <c r="N139" i="3"/>
  <c r="P139" i="3" s="1"/>
  <c r="N140" i="3"/>
  <c r="P140" i="3" s="1"/>
  <c r="N141" i="3"/>
  <c r="P141" i="3" s="1"/>
  <c r="N142" i="3"/>
  <c r="P142" i="3" s="1"/>
  <c r="N143" i="3"/>
  <c r="P143" i="3" s="1"/>
  <c r="N144" i="3"/>
  <c r="P144" i="3" s="1"/>
  <c r="N145" i="3"/>
  <c r="P145" i="3" s="1"/>
  <c r="N146" i="3"/>
  <c r="P146" i="3" s="1"/>
  <c r="N147" i="3"/>
  <c r="P147" i="3" s="1"/>
  <c r="N148" i="3"/>
  <c r="P148" i="3" s="1"/>
  <c r="N149" i="3"/>
  <c r="P149" i="3" s="1"/>
  <c r="N150" i="3"/>
  <c r="P150" i="3" s="1"/>
  <c r="N151" i="3"/>
  <c r="P151" i="3" s="1"/>
  <c r="N152" i="3"/>
  <c r="P152" i="3" s="1"/>
  <c r="N153" i="3"/>
  <c r="P153" i="3" s="1"/>
  <c r="N154" i="3"/>
  <c r="P154" i="3" s="1"/>
  <c r="N155" i="3"/>
  <c r="P155" i="3" s="1"/>
  <c r="N156" i="3"/>
  <c r="P156" i="3" s="1"/>
  <c r="N157" i="3"/>
  <c r="P157" i="3" s="1"/>
  <c r="N158" i="3"/>
  <c r="P158" i="3" s="1"/>
  <c r="N159" i="3"/>
  <c r="P159" i="3" s="1"/>
  <c r="N160" i="3"/>
  <c r="P160" i="3" s="1"/>
  <c r="N161" i="3"/>
  <c r="P161" i="3" s="1"/>
  <c r="N162" i="3"/>
  <c r="P162" i="3" s="1"/>
  <c r="N163" i="3"/>
  <c r="P163" i="3" s="1"/>
  <c r="N164" i="3"/>
  <c r="P164" i="3" s="1"/>
  <c r="N165" i="3"/>
  <c r="P165" i="3" s="1"/>
  <c r="N166" i="3"/>
  <c r="P166" i="3" s="1"/>
  <c r="N167" i="3"/>
  <c r="P167" i="3" s="1"/>
  <c r="N168" i="3"/>
  <c r="P168" i="3" s="1"/>
  <c r="N169" i="3"/>
  <c r="P169" i="3" s="1"/>
  <c r="N170" i="3"/>
  <c r="P170" i="3" s="1"/>
  <c r="N171" i="3"/>
  <c r="P171" i="3" s="1"/>
  <c r="N172" i="3"/>
  <c r="P172" i="3" s="1"/>
  <c r="N173" i="3"/>
  <c r="P173" i="3" s="1"/>
  <c r="N174" i="3"/>
  <c r="P174" i="3" s="1"/>
  <c r="N175" i="3"/>
  <c r="P175" i="3" s="1"/>
  <c r="N176" i="3"/>
  <c r="P176" i="3" s="1"/>
  <c r="N177" i="3"/>
  <c r="P177" i="3" s="1"/>
  <c r="N178" i="3"/>
  <c r="P178" i="3" s="1"/>
  <c r="N179" i="3"/>
  <c r="P179" i="3" s="1"/>
  <c r="N180" i="3"/>
  <c r="P180" i="3" s="1"/>
  <c r="N181" i="3"/>
  <c r="P181" i="3" s="1"/>
  <c r="N182" i="3"/>
  <c r="P182" i="3" s="1"/>
  <c r="N183" i="3"/>
  <c r="P183" i="3" s="1"/>
  <c r="N184" i="3"/>
  <c r="P184" i="3" s="1"/>
  <c r="N185" i="3"/>
  <c r="P185" i="3" s="1"/>
  <c r="N186" i="3"/>
  <c r="P186" i="3" s="1"/>
  <c r="N187" i="3"/>
  <c r="P187" i="3" s="1"/>
  <c r="N188" i="3"/>
  <c r="P188" i="3" s="1"/>
  <c r="N189" i="3"/>
  <c r="P189" i="3" s="1"/>
  <c r="N190" i="3"/>
  <c r="P190" i="3" s="1"/>
  <c r="N191" i="3"/>
  <c r="P191" i="3" s="1"/>
  <c r="N192" i="3"/>
  <c r="P192" i="3" s="1"/>
  <c r="N193" i="3"/>
  <c r="P193" i="3" s="1"/>
  <c r="N194" i="3"/>
  <c r="P194" i="3" s="1"/>
  <c r="N195" i="3"/>
  <c r="P195" i="3" s="1"/>
  <c r="N196" i="3"/>
  <c r="P196" i="3" s="1"/>
  <c r="N197" i="3"/>
  <c r="P197" i="3" s="1"/>
  <c r="N198" i="3"/>
  <c r="P198" i="3" s="1"/>
  <c r="N199" i="3"/>
  <c r="P199" i="3" s="1"/>
  <c r="N200" i="3"/>
  <c r="P200" i="3" s="1"/>
  <c r="N201" i="3"/>
  <c r="P201" i="3" s="1"/>
  <c r="N202" i="3"/>
  <c r="P202" i="3" s="1"/>
  <c r="N203" i="3"/>
  <c r="P203" i="3" s="1"/>
  <c r="N204" i="3"/>
  <c r="P204" i="3" s="1"/>
  <c r="N205" i="3"/>
  <c r="P205" i="3" s="1"/>
  <c r="N206" i="3"/>
  <c r="P206" i="3" s="1"/>
  <c r="N207" i="3"/>
  <c r="P207" i="3" s="1"/>
  <c r="N208" i="3"/>
  <c r="P208" i="3" s="1"/>
  <c r="N209" i="3"/>
  <c r="P209" i="3" s="1"/>
  <c r="N210" i="3"/>
  <c r="P210" i="3" s="1"/>
  <c r="N211" i="3"/>
  <c r="P211" i="3" s="1"/>
  <c r="N212" i="3"/>
  <c r="P212" i="3" s="1"/>
  <c r="N213" i="3"/>
  <c r="P213" i="3" s="1"/>
  <c r="N214" i="3"/>
  <c r="P214" i="3" s="1"/>
  <c r="N215" i="3"/>
  <c r="P215" i="3" s="1"/>
  <c r="N216" i="3"/>
  <c r="P216" i="3" s="1"/>
  <c r="N217" i="3"/>
  <c r="P217" i="3" s="1"/>
  <c r="N218" i="3"/>
  <c r="P218" i="3" s="1"/>
  <c r="N219" i="3"/>
  <c r="P219" i="3" s="1"/>
  <c r="N220" i="3"/>
  <c r="P220" i="3" s="1"/>
  <c r="N221" i="3"/>
  <c r="P221" i="3" s="1"/>
  <c r="N222" i="3"/>
  <c r="P222" i="3" s="1"/>
  <c r="N223" i="3"/>
  <c r="P223" i="3" s="1"/>
  <c r="N224" i="3"/>
  <c r="P224" i="3" s="1"/>
  <c r="N225" i="3"/>
  <c r="P225" i="3" s="1"/>
  <c r="N226" i="3"/>
  <c r="P226" i="3" s="1"/>
  <c r="N227" i="3"/>
  <c r="P227" i="3" s="1"/>
  <c r="N228" i="3"/>
  <c r="P228" i="3" s="1"/>
  <c r="N229" i="3"/>
  <c r="P229" i="3" s="1"/>
  <c r="N230" i="3"/>
  <c r="P230" i="3" s="1"/>
  <c r="N231" i="3"/>
  <c r="P231" i="3" s="1"/>
  <c r="N232" i="3"/>
  <c r="P232" i="3" s="1"/>
  <c r="N233" i="3"/>
  <c r="P233" i="3" s="1"/>
  <c r="N234" i="3"/>
  <c r="P234" i="3" s="1"/>
  <c r="N235" i="3"/>
  <c r="P235" i="3" s="1"/>
  <c r="N236" i="3"/>
  <c r="P236" i="3" s="1"/>
  <c r="N237" i="3"/>
  <c r="P237" i="3" s="1"/>
  <c r="N238" i="3"/>
  <c r="P238" i="3" s="1"/>
  <c r="N239" i="3"/>
  <c r="P239" i="3" s="1"/>
  <c r="N240" i="3"/>
  <c r="P240" i="3" s="1"/>
  <c r="N241" i="3"/>
  <c r="P241" i="3" s="1"/>
  <c r="N242" i="3"/>
  <c r="P242" i="3" s="1"/>
  <c r="N243" i="3"/>
  <c r="P243" i="3" s="1"/>
  <c r="N244" i="3"/>
  <c r="P244" i="3" s="1"/>
  <c r="N245" i="3"/>
  <c r="P245" i="3" s="1"/>
  <c r="N246" i="3"/>
  <c r="P246" i="3" s="1"/>
  <c r="N247" i="3"/>
  <c r="P247" i="3" s="1"/>
  <c r="N248" i="3"/>
  <c r="P248" i="3" s="1"/>
  <c r="N249" i="3"/>
  <c r="P249" i="3" s="1"/>
  <c r="N250" i="3"/>
  <c r="P250" i="3" s="1"/>
  <c r="N251" i="3"/>
  <c r="P251" i="3" s="1"/>
  <c r="N252" i="3"/>
  <c r="P252" i="3" s="1"/>
  <c r="N253" i="3"/>
  <c r="P253" i="3" s="1"/>
  <c r="N254" i="3"/>
  <c r="P254" i="3" s="1"/>
  <c r="N255" i="3"/>
  <c r="P255" i="3" s="1"/>
  <c r="N256" i="3"/>
  <c r="P256" i="3" s="1"/>
  <c r="N257" i="3"/>
  <c r="P257" i="3" s="1"/>
  <c r="N258" i="3"/>
  <c r="P258" i="3" s="1"/>
  <c r="N259" i="3"/>
  <c r="P259" i="3" s="1"/>
  <c r="N260" i="3"/>
  <c r="P260" i="3" s="1"/>
  <c r="N261" i="3"/>
  <c r="P261" i="3" s="1"/>
  <c r="N262" i="3"/>
  <c r="P262" i="3" s="1"/>
  <c r="N263" i="3"/>
  <c r="P263" i="3" s="1"/>
  <c r="N264" i="3"/>
  <c r="P264" i="3" s="1"/>
  <c r="N265" i="3"/>
  <c r="P265" i="3" s="1"/>
  <c r="N266" i="3"/>
  <c r="P266" i="3" s="1"/>
  <c r="N267" i="3"/>
  <c r="P267" i="3" s="1"/>
  <c r="N268" i="3"/>
  <c r="P268" i="3" s="1"/>
  <c r="N269" i="3"/>
  <c r="P269" i="3" s="1"/>
  <c r="N270" i="3"/>
  <c r="P270" i="3" s="1"/>
  <c r="N271" i="3"/>
  <c r="P271" i="3" s="1"/>
  <c r="N272" i="3"/>
  <c r="P272" i="3" s="1"/>
  <c r="N273" i="3"/>
  <c r="P273" i="3" s="1"/>
  <c r="N274" i="3"/>
  <c r="P274" i="3" s="1"/>
  <c r="N275" i="3"/>
  <c r="P275" i="3" s="1"/>
  <c r="N276" i="3"/>
  <c r="P276" i="3" s="1"/>
  <c r="N277" i="3"/>
  <c r="P277" i="3" s="1"/>
  <c r="N278" i="3"/>
  <c r="P278" i="3" s="1"/>
  <c r="N279" i="3"/>
  <c r="P279" i="3" s="1"/>
  <c r="N280" i="3"/>
  <c r="P280" i="3" s="1"/>
  <c r="N281" i="3"/>
  <c r="P281" i="3" s="1"/>
  <c r="N282" i="3"/>
  <c r="P282" i="3" s="1"/>
  <c r="N283" i="3"/>
  <c r="P283" i="3" s="1"/>
  <c r="N284" i="3"/>
  <c r="P284" i="3" s="1"/>
  <c r="N285" i="3"/>
  <c r="P285" i="3" s="1"/>
  <c r="N286" i="3"/>
  <c r="P286" i="3" s="1"/>
  <c r="N287" i="3"/>
  <c r="P287" i="3" s="1"/>
  <c r="N288" i="3"/>
  <c r="P288" i="3" s="1"/>
  <c r="N289" i="3"/>
  <c r="P289" i="3" s="1"/>
  <c r="N290" i="3"/>
  <c r="P290" i="3" s="1"/>
  <c r="N291" i="3"/>
  <c r="P291" i="3" s="1"/>
  <c r="N292" i="3"/>
  <c r="P292" i="3" s="1"/>
  <c r="N293" i="3"/>
  <c r="P293" i="3" s="1"/>
  <c r="N294" i="3"/>
  <c r="P294" i="3" s="1"/>
  <c r="N295" i="3"/>
  <c r="P295" i="3" s="1"/>
  <c r="N296" i="3"/>
  <c r="P296" i="3" s="1"/>
  <c r="N297" i="3"/>
  <c r="P297" i="3" s="1"/>
  <c r="N298" i="3"/>
  <c r="P298" i="3" s="1"/>
  <c r="N299" i="3"/>
  <c r="P299" i="3" s="1"/>
  <c r="N300" i="3"/>
  <c r="P300" i="3" s="1"/>
  <c r="N301" i="3"/>
  <c r="P301" i="3" s="1"/>
  <c r="N302" i="3"/>
  <c r="P302" i="3" s="1"/>
  <c r="N303" i="3"/>
  <c r="P303" i="3" s="1"/>
  <c r="N304" i="3"/>
  <c r="P304" i="3" s="1"/>
  <c r="N305" i="3"/>
  <c r="P305" i="3" s="1"/>
  <c r="N306" i="3"/>
  <c r="P306" i="3" s="1"/>
  <c r="N307" i="3"/>
  <c r="P307" i="3" s="1"/>
  <c r="N308" i="3"/>
  <c r="P308" i="3" s="1"/>
  <c r="N309" i="3"/>
  <c r="P309" i="3" s="1"/>
  <c r="N310" i="3"/>
  <c r="P310" i="3" s="1"/>
  <c r="N311" i="3"/>
  <c r="P311" i="3" s="1"/>
  <c r="N312" i="3"/>
  <c r="P312" i="3" s="1"/>
  <c r="N313" i="3"/>
  <c r="P313" i="3" s="1"/>
  <c r="N314" i="3"/>
  <c r="P314" i="3" s="1"/>
  <c r="N315" i="3"/>
  <c r="P315" i="3" s="1"/>
  <c r="N316" i="3"/>
  <c r="P316" i="3" s="1"/>
  <c r="N317" i="3"/>
  <c r="P317" i="3" s="1"/>
  <c r="N318" i="3"/>
  <c r="P318" i="3" s="1"/>
  <c r="N319" i="3"/>
  <c r="P319" i="3" s="1"/>
  <c r="N320" i="3"/>
  <c r="P320" i="3" s="1"/>
  <c r="N321" i="3"/>
  <c r="P321" i="3" s="1"/>
  <c r="N322" i="3"/>
  <c r="P322" i="3" s="1"/>
  <c r="N323" i="3"/>
  <c r="P323" i="3" s="1"/>
  <c r="N324" i="3"/>
  <c r="P324" i="3" s="1"/>
  <c r="N325" i="3"/>
  <c r="P325" i="3" s="1"/>
  <c r="N326" i="3"/>
  <c r="P326" i="3" s="1"/>
  <c r="N327" i="3"/>
  <c r="P327" i="3" s="1"/>
  <c r="N328" i="3"/>
  <c r="P328" i="3" s="1"/>
  <c r="N329" i="3"/>
  <c r="P329" i="3" s="1"/>
  <c r="N330" i="3"/>
  <c r="P330" i="3" s="1"/>
  <c r="N331" i="3"/>
  <c r="P331" i="3" s="1"/>
  <c r="N332" i="3"/>
  <c r="P332" i="3" s="1"/>
  <c r="N333" i="3"/>
  <c r="P333" i="3" s="1"/>
  <c r="N334" i="3"/>
  <c r="P334" i="3" s="1"/>
  <c r="N335" i="3"/>
  <c r="P335" i="3" s="1"/>
  <c r="N336" i="3"/>
  <c r="P336" i="3" s="1"/>
  <c r="N337" i="3"/>
  <c r="P337" i="3" s="1"/>
  <c r="N338" i="3"/>
  <c r="P338" i="3" s="1"/>
  <c r="N339" i="3"/>
  <c r="P339" i="3" s="1"/>
  <c r="N340" i="3"/>
  <c r="P340" i="3" s="1"/>
  <c r="N341" i="3"/>
  <c r="P341" i="3" s="1"/>
  <c r="N342" i="3"/>
  <c r="P342" i="3" s="1"/>
  <c r="N343" i="3"/>
  <c r="P343" i="3" s="1"/>
  <c r="N344" i="3"/>
  <c r="P344" i="3" s="1"/>
  <c r="N345" i="3"/>
  <c r="P345" i="3" s="1"/>
  <c r="N346" i="3"/>
  <c r="P346" i="3" s="1"/>
  <c r="N347" i="3"/>
  <c r="P347" i="3" s="1"/>
  <c r="N348" i="3"/>
  <c r="P348" i="3" s="1"/>
  <c r="N349" i="3"/>
  <c r="P349" i="3" s="1"/>
  <c r="N350" i="3"/>
  <c r="P350" i="3" s="1"/>
  <c r="N351" i="3"/>
  <c r="P351" i="3" s="1"/>
  <c r="N352" i="3"/>
  <c r="P352" i="3" s="1"/>
  <c r="N353" i="3"/>
  <c r="P353" i="3" s="1"/>
  <c r="N354" i="3"/>
  <c r="P354" i="3" s="1"/>
  <c r="N355" i="3"/>
  <c r="P355" i="3" s="1"/>
  <c r="N356" i="3"/>
  <c r="P356" i="3" s="1"/>
  <c r="N357" i="3"/>
  <c r="P357" i="3" s="1"/>
  <c r="N358" i="3"/>
  <c r="P358" i="3" s="1"/>
  <c r="N359" i="3"/>
  <c r="P359" i="3" s="1"/>
  <c r="N360" i="3"/>
  <c r="P360" i="3" s="1"/>
  <c r="N361" i="3"/>
  <c r="P361" i="3" s="1"/>
  <c r="N362" i="3"/>
  <c r="P362" i="3" s="1"/>
  <c r="N363" i="3"/>
  <c r="P363" i="3" s="1"/>
  <c r="N364" i="3"/>
  <c r="P364" i="3" s="1"/>
  <c r="N365" i="3"/>
  <c r="P365" i="3" s="1"/>
  <c r="N366" i="3"/>
  <c r="P366" i="3" s="1"/>
  <c r="N367" i="3"/>
  <c r="P367" i="3" s="1"/>
  <c r="N368" i="3"/>
  <c r="P368" i="3" s="1"/>
  <c r="N369" i="3"/>
  <c r="P369" i="3" s="1"/>
  <c r="N370" i="3"/>
  <c r="P370" i="3" s="1"/>
  <c r="N371" i="3"/>
  <c r="P371" i="3" s="1"/>
  <c r="N372" i="3"/>
  <c r="P372" i="3" s="1"/>
  <c r="N373" i="3"/>
  <c r="P373" i="3" s="1"/>
  <c r="N374" i="3"/>
  <c r="P374" i="3" s="1"/>
  <c r="N375" i="3"/>
  <c r="P375" i="3" s="1"/>
  <c r="N376" i="3"/>
  <c r="P376" i="3" s="1"/>
  <c r="N377" i="3"/>
  <c r="P377" i="3" s="1"/>
  <c r="N378" i="3"/>
  <c r="P378" i="3" s="1"/>
  <c r="N379" i="3"/>
  <c r="P379" i="3" s="1"/>
  <c r="N380" i="3"/>
  <c r="P380" i="3" s="1"/>
  <c r="N381" i="3"/>
  <c r="P381" i="3" s="1"/>
  <c r="N382" i="3"/>
  <c r="P382" i="3" s="1"/>
  <c r="N383" i="3"/>
  <c r="P383" i="3" s="1"/>
  <c r="N384" i="3"/>
  <c r="P384" i="3" s="1"/>
  <c r="N385" i="3"/>
  <c r="P385" i="3" s="1"/>
  <c r="N386" i="3"/>
  <c r="P386" i="3" s="1"/>
  <c r="N387" i="3"/>
  <c r="P387" i="3" s="1"/>
  <c r="N388" i="3"/>
  <c r="P388" i="3" s="1"/>
  <c r="N389" i="3"/>
  <c r="P389" i="3" s="1"/>
  <c r="N390" i="3"/>
  <c r="P390" i="3" s="1"/>
  <c r="N391" i="3"/>
  <c r="P391" i="3" s="1"/>
  <c r="N392" i="3"/>
  <c r="P392" i="3" s="1"/>
  <c r="N393" i="3"/>
  <c r="P393" i="3" s="1"/>
  <c r="N394" i="3"/>
  <c r="P394" i="3" s="1"/>
  <c r="N395" i="3"/>
  <c r="P395" i="3" s="1"/>
  <c r="N396" i="3"/>
  <c r="P396" i="3" s="1"/>
  <c r="N397" i="3"/>
  <c r="P397" i="3" s="1"/>
  <c r="N398" i="3"/>
  <c r="P398" i="3" s="1"/>
  <c r="N399" i="3"/>
  <c r="P399" i="3" s="1"/>
  <c r="N400" i="3"/>
  <c r="P400" i="3" s="1"/>
  <c r="N401" i="3"/>
  <c r="P401" i="3" s="1"/>
  <c r="N402" i="3"/>
  <c r="P402" i="3" s="1"/>
  <c r="N403" i="3"/>
  <c r="P403" i="3" s="1"/>
  <c r="N404" i="3"/>
  <c r="P404" i="3" s="1"/>
  <c r="N405" i="3"/>
  <c r="P405" i="3" s="1"/>
  <c r="N406" i="3"/>
  <c r="P406" i="3" s="1"/>
  <c r="N407" i="3"/>
  <c r="P407" i="3" s="1"/>
  <c r="N408" i="3"/>
  <c r="P408" i="3" s="1"/>
  <c r="N409" i="3"/>
  <c r="P409" i="3" s="1"/>
  <c r="N410" i="3"/>
  <c r="P410" i="3" s="1"/>
  <c r="N411" i="3"/>
  <c r="P411" i="3" s="1"/>
  <c r="N412" i="3"/>
  <c r="P412" i="3" s="1"/>
  <c r="N413" i="3"/>
  <c r="P413" i="3" s="1"/>
  <c r="N414" i="3"/>
  <c r="P414" i="3" s="1"/>
  <c r="N415" i="3"/>
  <c r="P415" i="3" s="1"/>
  <c r="N416" i="3"/>
  <c r="P416" i="3" s="1"/>
  <c r="N417" i="3"/>
  <c r="P417" i="3" s="1"/>
  <c r="N418" i="3"/>
  <c r="P418" i="3" s="1"/>
  <c r="N419" i="3"/>
  <c r="P419" i="3" s="1"/>
  <c r="N420" i="3"/>
  <c r="P420" i="3" s="1"/>
  <c r="N421" i="3"/>
  <c r="P421" i="3" s="1"/>
  <c r="N422" i="3"/>
  <c r="P422" i="3" s="1"/>
  <c r="N423" i="3"/>
  <c r="P423" i="3" s="1"/>
  <c r="N424" i="3"/>
  <c r="P424" i="3" s="1"/>
  <c r="N425" i="3"/>
  <c r="P425" i="3" s="1"/>
  <c r="N426" i="3"/>
  <c r="P426" i="3" s="1"/>
  <c r="N427" i="3"/>
  <c r="P427" i="3" s="1"/>
  <c r="N428" i="3"/>
  <c r="P428" i="3" s="1"/>
  <c r="N429" i="3"/>
  <c r="P429" i="3" s="1"/>
  <c r="N430" i="3"/>
  <c r="P430" i="3" s="1"/>
  <c r="N431" i="3"/>
  <c r="P431" i="3" s="1"/>
  <c r="N432" i="3"/>
  <c r="P432" i="3" s="1"/>
  <c r="N433" i="3"/>
  <c r="P433" i="3" s="1"/>
  <c r="N434" i="3"/>
  <c r="P434" i="3" s="1"/>
  <c r="N435" i="3"/>
  <c r="P435" i="3" s="1"/>
  <c r="N436" i="3"/>
  <c r="P436" i="3" s="1"/>
  <c r="N437" i="3"/>
  <c r="P437" i="3" s="1"/>
  <c r="N438" i="3"/>
  <c r="P438" i="3" s="1"/>
  <c r="N439" i="3"/>
  <c r="P439" i="3" s="1"/>
  <c r="N440" i="3"/>
  <c r="P440" i="3" s="1"/>
  <c r="N441" i="3"/>
  <c r="P441" i="3" s="1"/>
  <c r="N442" i="3"/>
  <c r="P442" i="3" s="1"/>
  <c r="N443" i="3"/>
  <c r="P443" i="3" s="1"/>
  <c r="N444" i="3"/>
  <c r="P444" i="3" s="1"/>
  <c r="N445" i="3"/>
  <c r="P445" i="3" s="1"/>
  <c r="N446" i="3"/>
  <c r="P446" i="3" s="1"/>
  <c r="N447" i="3"/>
  <c r="P447" i="3" s="1"/>
  <c r="N448" i="3"/>
  <c r="P448" i="3" s="1"/>
  <c r="N449" i="3"/>
  <c r="P449" i="3" s="1"/>
  <c r="N450" i="3"/>
  <c r="P450" i="3" s="1"/>
  <c r="N451" i="3"/>
  <c r="P451" i="3" s="1"/>
  <c r="N452" i="3"/>
  <c r="P452" i="3" s="1"/>
  <c r="N453" i="3"/>
  <c r="P453" i="3" s="1"/>
  <c r="N454" i="3"/>
  <c r="P454" i="3" s="1"/>
  <c r="N455" i="3"/>
  <c r="P455" i="3" s="1"/>
  <c r="N456" i="3"/>
  <c r="P456" i="3" s="1"/>
  <c r="N457" i="3"/>
  <c r="P457" i="3" s="1"/>
  <c r="N458" i="3"/>
  <c r="P458" i="3" s="1"/>
  <c r="N459" i="3"/>
  <c r="P459" i="3" s="1"/>
  <c r="N460" i="3"/>
  <c r="P460" i="3" s="1"/>
  <c r="N461" i="3"/>
  <c r="P461" i="3" s="1"/>
  <c r="N462" i="3"/>
  <c r="P462" i="3" s="1"/>
  <c r="N463" i="3"/>
  <c r="P463" i="3" s="1"/>
  <c r="N464" i="3"/>
  <c r="P464" i="3" s="1"/>
  <c r="N465" i="3"/>
  <c r="P465" i="3" s="1"/>
  <c r="N466" i="3"/>
  <c r="P466" i="3" s="1"/>
  <c r="N467" i="3"/>
  <c r="P467" i="3" s="1"/>
  <c r="N468" i="3"/>
  <c r="P468" i="3" s="1"/>
  <c r="N469" i="3"/>
  <c r="P469" i="3" s="1"/>
  <c r="N470" i="3"/>
  <c r="P470" i="3" s="1"/>
  <c r="N471" i="3"/>
  <c r="P471" i="3" s="1"/>
  <c r="N472" i="3"/>
  <c r="P472" i="3" s="1"/>
  <c r="N473" i="3"/>
  <c r="P473" i="3" s="1"/>
  <c r="N474" i="3"/>
  <c r="P474" i="3" s="1"/>
  <c r="N475" i="3"/>
  <c r="P475" i="3" s="1"/>
  <c r="N476" i="3"/>
  <c r="P476" i="3" s="1"/>
  <c r="N477" i="3"/>
  <c r="P477" i="3" s="1"/>
  <c r="N478" i="3"/>
  <c r="P478" i="3" s="1"/>
  <c r="N479" i="3"/>
  <c r="P479" i="3" s="1"/>
  <c r="N480" i="3"/>
  <c r="P480" i="3" s="1"/>
  <c r="N481" i="3"/>
  <c r="P481" i="3" s="1"/>
  <c r="N482" i="3"/>
  <c r="P482" i="3" s="1"/>
  <c r="N483" i="3"/>
  <c r="P483" i="3" s="1"/>
  <c r="N484" i="3"/>
  <c r="P484" i="3" s="1"/>
  <c r="N485" i="3"/>
  <c r="P485" i="3" s="1"/>
  <c r="N486" i="3"/>
  <c r="P486" i="3" s="1"/>
  <c r="N487" i="3"/>
  <c r="P487" i="3" s="1"/>
  <c r="N488" i="3"/>
  <c r="P488" i="3" s="1"/>
  <c r="N489" i="3"/>
  <c r="P489" i="3" s="1"/>
  <c r="N490" i="3"/>
  <c r="P490" i="3" s="1"/>
  <c r="N491" i="3"/>
  <c r="P491" i="3" s="1"/>
  <c r="N492" i="3"/>
  <c r="P492" i="3" s="1"/>
  <c r="N493" i="3"/>
  <c r="P493" i="3" s="1"/>
  <c r="N494" i="3"/>
  <c r="P494" i="3" s="1"/>
  <c r="N495" i="3"/>
  <c r="P495" i="3" s="1"/>
  <c r="N496" i="3"/>
  <c r="P496" i="3" s="1"/>
  <c r="N497" i="3"/>
  <c r="P497" i="3" s="1"/>
  <c r="N498" i="3"/>
  <c r="P498" i="3" s="1"/>
  <c r="N499" i="3"/>
  <c r="P499" i="3" s="1"/>
  <c r="N500" i="3"/>
  <c r="P500" i="3" s="1"/>
  <c r="N501" i="3"/>
  <c r="P501" i="3" s="1"/>
  <c r="N502" i="3"/>
  <c r="P502" i="3" s="1"/>
  <c r="N503" i="3"/>
  <c r="P503" i="3" s="1"/>
  <c r="N504" i="3"/>
  <c r="P504" i="3" s="1"/>
  <c r="N505" i="3"/>
  <c r="P505" i="3" s="1"/>
  <c r="N506" i="3"/>
  <c r="P506" i="3" s="1"/>
  <c r="N507" i="3"/>
  <c r="P507" i="3" s="1"/>
  <c r="N508" i="3"/>
  <c r="P508" i="3" s="1"/>
  <c r="N509" i="3"/>
  <c r="P509" i="3" s="1"/>
  <c r="N510" i="3"/>
  <c r="P510" i="3" s="1"/>
  <c r="N511" i="3"/>
  <c r="P511" i="3" s="1"/>
  <c r="N512" i="3"/>
  <c r="P512" i="3" s="1"/>
  <c r="N513" i="3"/>
  <c r="P513" i="3" s="1"/>
  <c r="N514" i="3"/>
  <c r="P514" i="3" s="1"/>
  <c r="N515" i="3"/>
  <c r="P515" i="3" s="1"/>
  <c r="N516" i="3"/>
  <c r="P516" i="3" s="1"/>
  <c r="N517" i="3"/>
  <c r="P517" i="3" s="1"/>
  <c r="N518" i="3"/>
  <c r="P518" i="3" s="1"/>
  <c r="N519" i="3"/>
  <c r="P519" i="3" s="1"/>
  <c r="N520" i="3"/>
  <c r="P520" i="3" s="1"/>
  <c r="N521" i="3"/>
  <c r="P521" i="3" s="1"/>
  <c r="N522" i="3"/>
  <c r="P522" i="3" s="1"/>
  <c r="N523" i="3"/>
  <c r="P523" i="3" s="1"/>
  <c r="N524" i="3"/>
  <c r="P524" i="3" s="1"/>
  <c r="N525" i="3"/>
  <c r="P525" i="3" s="1"/>
  <c r="N526" i="3"/>
  <c r="P526" i="3" s="1"/>
  <c r="N527" i="3"/>
  <c r="P527" i="3" s="1"/>
  <c r="N528" i="3"/>
  <c r="P528" i="3" s="1"/>
  <c r="N529" i="3"/>
  <c r="P529" i="3" s="1"/>
  <c r="N530" i="3"/>
  <c r="P530" i="3" s="1"/>
  <c r="N531" i="3"/>
  <c r="P531" i="3" s="1"/>
  <c r="N532" i="3"/>
  <c r="P532" i="3" s="1"/>
  <c r="N533" i="3"/>
  <c r="P533" i="3" s="1"/>
  <c r="N534" i="3"/>
  <c r="P534" i="3" s="1"/>
  <c r="N535" i="3"/>
  <c r="P535" i="3" s="1"/>
  <c r="N536" i="3"/>
  <c r="P536" i="3" s="1"/>
  <c r="N537" i="3"/>
  <c r="P537" i="3" s="1"/>
  <c r="N538" i="3"/>
  <c r="P538" i="3" s="1"/>
  <c r="N539" i="3"/>
  <c r="P539" i="3" s="1"/>
  <c r="N540" i="3"/>
  <c r="P540" i="3" s="1"/>
  <c r="N541" i="3"/>
  <c r="P541" i="3" s="1"/>
  <c r="N542" i="3"/>
  <c r="P542" i="3" s="1"/>
  <c r="N543" i="3"/>
  <c r="P543" i="3" s="1"/>
  <c r="N544" i="3"/>
  <c r="P544" i="3" s="1"/>
  <c r="N545" i="3"/>
  <c r="P545" i="3" s="1"/>
  <c r="N546" i="3"/>
  <c r="P546" i="3" s="1"/>
  <c r="N547" i="3"/>
  <c r="P547" i="3" s="1"/>
  <c r="N548" i="3"/>
  <c r="P548" i="3" s="1"/>
  <c r="N549" i="3"/>
  <c r="P549" i="3" s="1"/>
  <c r="N550" i="3"/>
  <c r="P550" i="3" s="1"/>
  <c r="N551" i="3"/>
  <c r="P551" i="3" s="1"/>
  <c r="N552" i="3"/>
  <c r="P552" i="3" s="1"/>
  <c r="N553" i="3"/>
  <c r="P553" i="3" s="1"/>
  <c r="N554" i="3"/>
  <c r="P554" i="3" s="1"/>
  <c r="N555" i="3"/>
  <c r="P555" i="3" s="1"/>
  <c r="N556" i="3"/>
  <c r="P556" i="3" s="1"/>
  <c r="N557" i="3"/>
  <c r="P557" i="3" s="1"/>
  <c r="N558" i="3"/>
  <c r="P558" i="3" s="1"/>
  <c r="N559" i="3"/>
  <c r="P559" i="3" s="1"/>
  <c r="N560" i="3"/>
  <c r="P560" i="3" s="1"/>
  <c r="N561" i="3"/>
  <c r="P561" i="3" s="1"/>
  <c r="N562" i="3"/>
  <c r="P562" i="3" s="1"/>
  <c r="N563" i="3"/>
  <c r="P563" i="3" s="1"/>
  <c r="N564" i="3"/>
  <c r="P564" i="3" s="1"/>
  <c r="N565" i="3"/>
  <c r="P565" i="3" s="1"/>
  <c r="N566" i="3"/>
  <c r="P566" i="3" s="1"/>
  <c r="N567" i="3"/>
  <c r="P567" i="3" s="1"/>
  <c r="N568" i="3"/>
  <c r="P568" i="3" s="1"/>
  <c r="N569" i="3"/>
  <c r="P569" i="3" s="1"/>
  <c r="N570" i="3"/>
  <c r="P570" i="3" s="1"/>
  <c r="N571" i="3"/>
  <c r="P571" i="3" s="1"/>
  <c r="N572" i="3"/>
  <c r="P572" i="3" s="1"/>
  <c r="N573" i="3"/>
  <c r="P573" i="3" s="1"/>
  <c r="N574" i="3"/>
  <c r="P574" i="3" s="1"/>
  <c r="N575" i="3"/>
  <c r="P575" i="3" s="1"/>
  <c r="N576" i="3"/>
  <c r="P576" i="3" s="1"/>
  <c r="N577" i="3"/>
  <c r="P577" i="3" s="1"/>
  <c r="N578" i="3"/>
  <c r="P578" i="3" s="1"/>
  <c r="N579" i="3"/>
  <c r="P579" i="3" s="1"/>
  <c r="N580" i="3"/>
  <c r="P580" i="3" s="1"/>
  <c r="N581" i="3"/>
  <c r="P581" i="3" s="1"/>
  <c r="N582" i="3"/>
  <c r="P582" i="3" s="1"/>
  <c r="N583" i="3"/>
  <c r="P583" i="3" s="1"/>
  <c r="N584" i="3"/>
  <c r="P584" i="3" s="1"/>
  <c r="N585" i="3"/>
  <c r="P585" i="3" s="1"/>
  <c r="N586" i="3"/>
  <c r="P586" i="3" s="1"/>
  <c r="N587" i="3"/>
  <c r="P587" i="3" s="1"/>
  <c r="N588" i="3"/>
  <c r="P588" i="3" s="1"/>
  <c r="N589" i="3"/>
  <c r="P589" i="3" s="1"/>
  <c r="N590" i="3"/>
  <c r="P590" i="3" s="1"/>
  <c r="N591" i="3"/>
  <c r="P591" i="3" s="1"/>
  <c r="N592" i="3"/>
  <c r="P592" i="3" s="1"/>
  <c r="N593" i="3"/>
  <c r="P593" i="3" s="1"/>
  <c r="N594" i="3"/>
  <c r="P594" i="3" s="1"/>
  <c r="N595" i="3"/>
  <c r="P595" i="3" s="1"/>
  <c r="N596" i="3"/>
  <c r="P596" i="3" s="1"/>
  <c r="N597" i="3"/>
  <c r="P597" i="3" s="1"/>
  <c r="N598" i="3"/>
  <c r="P598" i="3" s="1"/>
  <c r="N599" i="3"/>
  <c r="P599" i="3" s="1"/>
  <c r="N600" i="3"/>
  <c r="P600" i="3" s="1"/>
  <c r="N601" i="3"/>
  <c r="P601" i="3" s="1"/>
  <c r="N602" i="3"/>
  <c r="P602" i="3" s="1"/>
  <c r="N603" i="3"/>
  <c r="P603" i="3" s="1"/>
  <c r="N604" i="3"/>
  <c r="P604" i="3" s="1"/>
  <c r="N605" i="3"/>
  <c r="P605" i="3" s="1"/>
  <c r="N606" i="3"/>
  <c r="P606" i="3" s="1"/>
  <c r="N607" i="3"/>
  <c r="P607" i="3" s="1"/>
  <c r="N608" i="3"/>
  <c r="P608" i="3" s="1"/>
  <c r="N609" i="3"/>
  <c r="P609" i="3" s="1"/>
  <c r="N610" i="3"/>
  <c r="P610" i="3" s="1"/>
  <c r="N611" i="3"/>
  <c r="P611" i="3" s="1"/>
  <c r="N612" i="3"/>
  <c r="P612" i="3" s="1"/>
  <c r="N613" i="3"/>
  <c r="P613" i="3" s="1"/>
  <c r="N614" i="3"/>
  <c r="P614" i="3" s="1"/>
  <c r="N615" i="3"/>
  <c r="P615" i="3" s="1"/>
  <c r="N616" i="3"/>
  <c r="P616" i="3" s="1"/>
  <c r="N617" i="3"/>
  <c r="P617" i="3" s="1"/>
  <c r="N618" i="3"/>
  <c r="P618" i="3" s="1"/>
  <c r="N619" i="3"/>
  <c r="P619" i="3" s="1"/>
  <c r="N620" i="3"/>
  <c r="P620" i="3" s="1"/>
  <c r="N621" i="3"/>
  <c r="P621" i="3" s="1"/>
  <c r="N622" i="3"/>
  <c r="P622" i="3" s="1"/>
  <c r="N623" i="3"/>
  <c r="P623" i="3" s="1"/>
  <c r="N624" i="3"/>
  <c r="P624" i="3" s="1"/>
  <c r="N625" i="3"/>
  <c r="P625" i="3" s="1"/>
  <c r="N626" i="3"/>
  <c r="P626" i="3" s="1"/>
  <c r="N627" i="3"/>
  <c r="P627" i="3" s="1"/>
  <c r="N628" i="3"/>
  <c r="P628" i="3" s="1"/>
  <c r="N629" i="3"/>
  <c r="P629" i="3" s="1"/>
  <c r="N630" i="3"/>
  <c r="P630" i="3" s="1"/>
  <c r="N631" i="3"/>
  <c r="P631" i="3" s="1"/>
  <c r="N632" i="3"/>
  <c r="P632" i="3" s="1"/>
  <c r="N633" i="3"/>
  <c r="P633" i="3" s="1"/>
  <c r="N5" i="3"/>
  <c r="P5" i="3" s="1"/>
  <c r="N4" i="3"/>
  <c r="P4" i="3" s="1"/>
  <c r="N3" i="3"/>
  <c r="P3" i="3" s="1"/>
  <c r="P2" i="3"/>
  <c r="X3" i="3"/>
  <c r="AA3" i="3" s="1"/>
  <c r="X4" i="3"/>
  <c r="AA4" i="3" s="1"/>
  <c r="X5" i="3"/>
  <c r="AA5" i="3" s="1"/>
  <c r="X6" i="3"/>
  <c r="AA6" i="3" s="1"/>
  <c r="X7" i="3"/>
  <c r="AA7" i="3" s="1"/>
  <c r="X8" i="3"/>
  <c r="AA8" i="3" s="1"/>
  <c r="X9" i="3"/>
  <c r="AA9" i="3" s="1"/>
  <c r="X10" i="3"/>
  <c r="Y10" i="3" s="1"/>
  <c r="X11" i="3"/>
  <c r="AA11" i="3" s="1"/>
  <c r="X12" i="3"/>
  <c r="AA12" i="3" s="1"/>
  <c r="X13" i="3"/>
  <c r="AA13" i="3" s="1"/>
  <c r="X14" i="3"/>
  <c r="AA14" i="3" s="1"/>
  <c r="X15" i="3"/>
  <c r="AA15" i="3" s="1"/>
  <c r="X16" i="3"/>
  <c r="AA16" i="3" s="1"/>
  <c r="X17" i="3"/>
  <c r="AA17" i="3" s="1"/>
  <c r="X18" i="3"/>
  <c r="Y18" i="3" s="1"/>
  <c r="X19" i="3"/>
  <c r="AA19" i="3" s="1"/>
  <c r="X20" i="3"/>
  <c r="AA20" i="3" s="1"/>
  <c r="X21" i="3"/>
  <c r="AA21" i="3" s="1"/>
  <c r="X22" i="3"/>
  <c r="AA22" i="3" s="1"/>
  <c r="X23" i="3"/>
  <c r="AA23" i="3" s="1"/>
  <c r="X24" i="3"/>
  <c r="AA24" i="3" s="1"/>
  <c r="X25" i="3"/>
  <c r="AA25" i="3" s="1"/>
  <c r="X26" i="3"/>
  <c r="AA26" i="3" s="1"/>
  <c r="X27" i="3"/>
  <c r="AA27" i="3" s="1"/>
  <c r="X28" i="3"/>
  <c r="AA28" i="3" s="1"/>
  <c r="X29" i="3"/>
  <c r="AA29" i="3" s="1"/>
  <c r="X30" i="3"/>
  <c r="AA30" i="3" s="1"/>
  <c r="X31" i="3"/>
  <c r="AA31" i="3" s="1"/>
  <c r="X32" i="3"/>
  <c r="AA32" i="3" s="1"/>
  <c r="X33" i="3"/>
  <c r="AA33" i="3" s="1"/>
  <c r="X34" i="3"/>
  <c r="Y34" i="3" s="1"/>
  <c r="X35" i="3"/>
  <c r="AA35" i="3" s="1"/>
  <c r="X36" i="3"/>
  <c r="AA36" i="3" s="1"/>
  <c r="X37" i="3"/>
  <c r="AA37" i="3" s="1"/>
  <c r="X38" i="3"/>
  <c r="AA38" i="3" s="1"/>
  <c r="X39" i="3"/>
  <c r="AA39" i="3" s="1"/>
  <c r="X40" i="3"/>
  <c r="AA40" i="3" s="1"/>
  <c r="X41" i="3"/>
  <c r="AA41" i="3" s="1"/>
  <c r="X42" i="3"/>
  <c r="Y42" i="3" s="1"/>
  <c r="X43" i="3"/>
  <c r="AA43" i="3" s="1"/>
  <c r="X44" i="3"/>
  <c r="AA44" i="3" s="1"/>
  <c r="X45" i="3"/>
  <c r="AA45" i="3" s="1"/>
  <c r="X46" i="3"/>
  <c r="AA46" i="3" s="1"/>
  <c r="X47" i="3"/>
  <c r="AA47" i="3" s="1"/>
  <c r="X48" i="3"/>
  <c r="AA48" i="3" s="1"/>
  <c r="X49" i="3"/>
  <c r="AA49" i="3" s="1"/>
  <c r="X50" i="3"/>
  <c r="Y50" i="3" s="1"/>
  <c r="X51" i="3"/>
  <c r="AA51" i="3" s="1"/>
  <c r="X52" i="3"/>
  <c r="AA52" i="3" s="1"/>
  <c r="X53" i="3"/>
  <c r="AA53" i="3" s="1"/>
  <c r="X54" i="3"/>
  <c r="AA54" i="3" s="1"/>
  <c r="X55" i="3"/>
  <c r="AA55" i="3" s="1"/>
  <c r="X56" i="3"/>
  <c r="AA56" i="3" s="1"/>
  <c r="X57" i="3"/>
  <c r="AA57" i="3" s="1"/>
  <c r="X58" i="3"/>
  <c r="Y58" i="3" s="1"/>
  <c r="X59" i="3"/>
  <c r="AA59" i="3" s="1"/>
  <c r="X60" i="3"/>
  <c r="AA60" i="3" s="1"/>
  <c r="X61" i="3"/>
  <c r="AA61" i="3" s="1"/>
  <c r="X62" i="3"/>
  <c r="AA62" i="3" s="1"/>
  <c r="X63" i="3"/>
  <c r="AA63" i="3" s="1"/>
  <c r="X64" i="3"/>
  <c r="AA64" i="3" s="1"/>
  <c r="X65" i="3"/>
  <c r="AA65" i="3" s="1"/>
  <c r="X66" i="3"/>
  <c r="Y66" i="3" s="1"/>
  <c r="X67" i="3"/>
  <c r="AA67" i="3" s="1"/>
  <c r="X68" i="3"/>
  <c r="AA68" i="3" s="1"/>
  <c r="X69" i="3"/>
  <c r="AA69" i="3" s="1"/>
  <c r="X70" i="3"/>
  <c r="AA70" i="3" s="1"/>
  <c r="X71" i="3"/>
  <c r="AA71" i="3" s="1"/>
  <c r="X72" i="3"/>
  <c r="AA72" i="3" s="1"/>
  <c r="X73" i="3"/>
  <c r="AA73" i="3" s="1"/>
  <c r="X74" i="3"/>
  <c r="Y74" i="3" s="1"/>
  <c r="X75" i="3"/>
  <c r="AA75" i="3" s="1"/>
  <c r="X76" i="3"/>
  <c r="AA76" i="3" s="1"/>
  <c r="X77" i="3"/>
  <c r="AA77" i="3" s="1"/>
  <c r="X78" i="3"/>
  <c r="AA78" i="3" s="1"/>
  <c r="X79" i="3"/>
  <c r="AA79" i="3" s="1"/>
  <c r="X80" i="3"/>
  <c r="AA80" i="3" s="1"/>
  <c r="X81" i="3"/>
  <c r="AA81" i="3" s="1"/>
  <c r="X82" i="3"/>
  <c r="Y82" i="3" s="1"/>
  <c r="X83" i="3"/>
  <c r="AA83" i="3" s="1"/>
  <c r="X84" i="3"/>
  <c r="AA84" i="3" s="1"/>
  <c r="X85" i="3"/>
  <c r="AA85" i="3" s="1"/>
  <c r="X86" i="3"/>
  <c r="AA86" i="3" s="1"/>
  <c r="X87" i="3"/>
  <c r="AA87" i="3" s="1"/>
  <c r="X88" i="3"/>
  <c r="AA88" i="3" s="1"/>
  <c r="X89" i="3"/>
  <c r="AA89" i="3" s="1"/>
  <c r="X90" i="3"/>
  <c r="AA90" i="3" s="1"/>
  <c r="X91" i="3"/>
  <c r="AA91" i="3" s="1"/>
  <c r="X92" i="3"/>
  <c r="AA92" i="3" s="1"/>
  <c r="X93" i="3"/>
  <c r="AA93" i="3" s="1"/>
  <c r="X94" i="3"/>
  <c r="AA94" i="3" s="1"/>
  <c r="X95" i="3"/>
  <c r="AA95" i="3" s="1"/>
  <c r="X96" i="3"/>
  <c r="AA96" i="3" s="1"/>
  <c r="X97" i="3"/>
  <c r="AA97" i="3" s="1"/>
  <c r="X98" i="3"/>
  <c r="Y98" i="3" s="1"/>
  <c r="X99" i="3"/>
  <c r="AA99" i="3" s="1"/>
  <c r="X100" i="3"/>
  <c r="AA100" i="3" s="1"/>
  <c r="X101" i="3"/>
  <c r="AA101" i="3" s="1"/>
  <c r="X102" i="3"/>
  <c r="AA102" i="3" s="1"/>
  <c r="X103" i="3"/>
  <c r="AA103" i="3" s="1"/>
  <c r="X104" i="3"/>
  <c r="AA104" i="3" s="1"/>
  <c r="X105" i="3"/>
  <c r="AA105" i="3" s="1"/>
  <c r="X106" i="3"/>
  <c r="Y106" i="3" s="1"/>
  <c r="X107" i="3"/>
  <c r="AA107" i="3" s="1"/>
  <c r="X108" i="3"/>
  <c r="AA108" i="3" s="1"/>
  <c r="X109" i="3"/>
  <c r="AA109" i="3" s="1"/>
  <c r="X110" i="3"/>
  <c r="AA110" i="3" s="1"/>
  <c r="X111" i="3"/>
  <c r="AA111" i="3" s="1"/>
  <c r="X112" i="3"/>
  <c r="AA112" i="3" s="1"/>
  <c r="X113" i="3"/>
  <c r="AA113" i="3" s="1"/>
  <c r="X114" i="3"/>
  <c r="Y114" i="3" s="1"/>
  <c r="X115" i="3"/>
  <c r="AA115" i="3" s="1"/>
  <c r="X116" i="3"/>
  <c r="AA116" i="3" s="1"/>
  <c r="X117" i="3"/>
  <c r="AA117" i="3" s="1"/>
  <c r="X118" i="3"/>
  <c r="AA118" i="3" s="1"/>
  <c r="X119" i="3"/>
  <c r="AA119" i="3" s="1"/>
  <c r="X120" i="3"/>
  <c r="AA120" i="3" s="1"/>
  <c r="X121" i="3"/>
  <c r="AA121" i="3" s="1"/>
  <c r="X122" i="3"/>
  <c r="Y122" i="3" s="1"/>
  <c r="X123" i="3"/>
  <c r="AA123" i="3" s="1"/>
  <c r="X124" i="3"/>
  <c r="AA124" i="3" s="1"/>
  <c r="X125" i="3"/>
  <c r="AA125" i="3" s="1"/>
  <c r="X126" i="3"/>
  <c r="AA126" i="3" s="1"/>
  <c r="X127" i="3"/>
  <c r="AA127" i="3" s="1"/>
  <c r="X128" i="3"/>
  <c r="AA128" i="3" s="1"/>
  <c r="X129" i="3"/>
  <c r="AA129" i="3" s="1"/>
  <c r="X130" i="3"/>
  <c r="Y130" i="3" s="1"/>
  <c r="X131" i="3"/>
  <c r="AA131" i="3" s="1"/>
  <c r="X132" i="3"/>
  <c r="AA132" i="3" s="1"/>
  <c r="X133" i="3"/>
  <c r="AA133" i="3" s="1"/>
  <c r="X134" i="3"/>
  <c r="AA134" i="3" s="1"/>
  <c r="X135" i="3"/>
  <c r="AA135" i="3" s="1"/>
  <c r="X136" i="3"/>
  <c r="AA136" i="3" s="1"/>
  <c r="X137" i="3"/>
  <c r="AA137" i="3" s="1"/>
  <c r="X138" i="3"/>
  <c r="Y138" i="3" s="1"/>
  <c r="X139" i="3"/>
  <c r="AA139" i="3" s="1"/>
  <c r="X140" i="3"/>
  <c r="AA140" i="3" s="1"/>
  <c r="X141" i="3"/>
  <c r="AA141" i="3" s="1"/>
  <c r="X142" i="3"/>
  <c r="AA142" i="3" s="1"/>
  <c r="X143" i="3"/>
  <c r="AA143" i="3" s="1"/>
  <c r="X144" i="3"/>
  <c r="AA144" i="3" s="1"/>
  <c r="X145" i="3"/>
  <c r="AA145" i="3" s="1"/>
  <c r="X146" i="3"/>
  <c r="Y146" i="3" s="1"/>
  <c r="X147" i="3"/>
  <c r="AA147" i="3" s="1"/>
  <c r="X148" i="3"/>
  <c r="AA148" i="3" s="1"/>
  <c r="X149" i="3"/>
  <c r="AA149" i="3" s="1"/>
  <c r="X150" i="3"/>
  <c r="AA150" i="3" s="1"/>
  <c r="X151" i="3"/>
  <c r="AA151" i="3" s="1"/>
  <c r="X152" i="3"/>
  <c r="AA152" i="3" s="1"/>
  <c r="X153" i="3"/>
  <c r="AA153" i="3" s="1"/>
  <c r="X154" i="3"/>
  <c r="AA154" i="3" s="1"/>
  <c r="X155" i="3"/>
  <c r="AA155" i="3" s="1"/>
  <c r="X156" i="3"/>
  <c r="AA156" i="3" s="1"/>
  <c r="X157" i="3"/>
  <c r="AA157" i="3" s="1"/>
  <c r="X158" i="3"/>
  <c r="AA158" i="3" s="1"/>
  <c r="X159" i="3"/>
  <c r="AA159" i="3" s="1"/>
  <c r="X160" i="3"/>
  <c r="AA160" i="3" s="1"/>
  <c r="X161" i="3"/>
  <c r="AA161" i="3" s="1"/>
  <c r="X162" i="3"/>
  <c r="Y162" i="3" s="1"/>
  <c r="X163" i="3"/>
  <c r="AA163" i="3" s="1"/>
  <c r="X164" i="3"/>
  <c r="AA164" i="3" s="1"/>
  <c r="X165" i="3"/>
  <c r="AA165" i="3" s="1"/>
  <c r="X166" i="3"/>
  <c r="AA166" i="3" s="1"/>
  <c r="X167" i="3"/>
  <c r="AA167" i="3" s="1"/>
  <c r="X168" i="3"/>
  <c r="AA168" i="3" s="1"/>
  <c r="X169" i="3"/>
  <c r="AA169" i="3" s="1"/>
  <c r="X170" i="3"/>
  <c r="Y170" i="3" s="1"/>
  <c r="X171" i="3"/>
  <c r="AA171" i="3" s="1"/>
  <c r="X172" i="3"/>
  <c r="AA172" i="3" s="1"/>
  <c r="X173" i="3"/>
  <c r="AA173" i="3" s="1"/>
  <c r="X174" i="3"/>
  <c r="AA174" i="3" s="1"/>
  <c r="X175" i="3"/>
  <c r="AA175" i="3" s="1"/>
  <c r="X176" i="3"/>
  <c r="AA176" i="3" s="1"/>
  <c r="X177" i="3"/>
  <c r="AA177" i="3" s="1"/>
  <c r="X178" i="3"/>
  <c r="Y178" i="3" s="1"/>
  <c r="X179" i="3"/>
  <c r="AA179" i="3" s="1"/>
  <c r="X180" i="3"/>
  <c r="AA180" i="3" s="1"/>
  <c r="X181" i="3"/>
  <c r="AA181" i="3" s="1"/>
  <c r="X182" i="3"/>
  <c r="AA182" i="3" s="1"/>
  <c r="X183" i="3"/>
  <c r="AA183" i="3" s="1"/>
  <c r="X184" i="3"/>
  <c r="AA184" i="3" s="1"/>
  <c r="X185" i="3"/>
  <c r="AA185" i="3" s="1"/>
  <c r="X186" i="3"/>
  <c r="Y186" i="3" s="1"/>
  <c r="X187" i="3"/>
  <c r="AA187" i="3" s="1"/>
  <c r="X188" i="3"/>
  <c r="AA188" i="3" s="1"/>
  <c r="X189" i="3"/>
  <c r="AA189" i="3" s="1"/>
  <c r="X190" i="3"/>
  <c r="AA190" i="3" s="1"/>
  <c r="X191" i="3"/>
  <c r="AA191" i="3" s="1"/>
  <c r="X192" i="3"/>
  <c r="AA192" i="3" s="1"/>
  <c r="X193" i="3"/>
  <c r="AA193" i="3" s="1"/>
  <c r="X194" i="3"/>
  <c r="Y194" i="3" s="1"/>
  <c r="X195" i="3"/>
  <c r="AA195" i="3" s="1"/>
  <c r="X196" i="3"/>
  <c r="AA196" i="3" s="1"/>
  <c r="X197" i="3"/>
  <c r="AA197" i="3" s="1"/>
  <c r="X198" i="3"/>
  <c r="AA198" i="3" s="1"/>
  <c r="X199" i="3"/>
  <c r="AA199" i="3" s="1"/>
  <c r="X200" i="3"/>
  <c r="AA200" i="3" s="1"/>
  <c r="X201" i="3"/>
  <c r="AA201" i="3" s="1"/>
  <c r="X202" i="3"/>
  <c r="Y202" i="3" s="1"/>
  <c r="X203" i="3"/>
  <c r="AA203" i="3" s="1"/>
  <c r="X204" i="3"/>
  <c r="AA204" i="3" s="1"/>
  <c r="X205" i="3"/>
  <c r="AA205" i="3" s="1"/>
  <c r="X206" i="3"/>
  <c r="AA206" i="3" s="1"/>
  <c r="X207" i="3"/>
  <c r="AA207" i="3" s="1"/>
  <c r="X208" i="3"/>
  <c r="AA208" i="3" s="1"/>
  <c r="X209" i="3"/>
  <c r="AA209" i="3" s="1"/>
  <c r="X210" i="3"/>
  <c r="Y210" i="3" s="1"/>
  <c r="X211" i="3"/>
  <c r="AA211" i="3" s="1"/>
  <c r="X212" i="3"/>
  <c r="AA212" i="3" s="1"/>
  <c r="X213" i="3"/>
  <c r="AA213" i="3" s="1"/>
  <c r="X214" i="3"/>
  <c r="AA214" i="3" s="1"/>
  <c r="X215" i="3"/>
  <c r="AA215" i="3" s="1"/>
  <c r="X216" i="3"/>
  <c r="AA216" i="3" s="1"/>
  <c r="X217" i="3"/>
  <c r="AA217" i="3" s="1"/>
  <c r="X218" i="3"/>
  <c r="AA218" i="3" s="1"/>
  <c r="X219" i="3"/>
  <c r="AA219" i="3" s="1"/>
  <c r="X220" i="3"/>
  <c r="AA220" i="3" s="1"/>
  <c r="X221" i="3"/>
  <c r="AA221" i="3" s="1"/>
  <c r="X222" i="3"/>
  <c r="AA222" i="3" s="1"/>
  <c r="X223" i="3"/>
  <c r="AA223" i="3" s="1"/>
  <c r="X224" i="3"/>
  <c r="AA224" i="3" s="1"/>
  <c r="X225" i="3"/>
  <c r="AA225" i="3" s="1"/>
  <c r="X226" i="3"/>
  <c r="Y226" i="3" s="1"/>
  <c r="X227" i="3"/>
  <c r="AA227" i="3" s="1"/>
  <c r="X228" i="3"/>
  <c r="AA228" i="3" s="1"/>
  <c r="X229" i="3"/>
  <c r="AA229" i="3" s="1"/>
  <c r="X230" i="3"/>
  <c r="AA230" i="3" s="1"/>
  <c r="X231" i="3"/>
  <c r="AA231" i="3" s="1"/>
  <c r="X232" i="3"/>
  <c r="AA232" i="3" s="1"/>
  <c r="X233" i="3"/>
  <c r="AA233" i="3" s="1"/>
  <c r="X234" i="3"/>
  <c r="Y234" i="3" s="1"/>
  <c r="X235" i="3"/>
  <c r="AA235" i="3" s="1"/>
  <c r="X236" i="3"/>
  <c r="AA236" i="3" s="1"/>
  <c r="X237" i="3"/>
  <c r="AA237" i="3" s="1"/>
  <c r="X238" i="3"/>
  <c r="AA238" i="3" s="1"/>
  <c r="X239" i="3"/>
  <c r="AA239" i="3" s="1"/>
  <c r="X240" i="3"/>
  <c r="AA240" i="3" s="1"/>
  <c r="X241" i="3"/>
  <c r="AA241" i="3" s="1"/>
  <c r="X242" i="3"/>
  <c r="Y242" i="3" s="1"/>
  <c r="X243" i="3"/>
  <c r="AA243" i="3" s="1"/>
  <c r="X244" i="3"/>
  <c r="AA244" i="3" s="1"/>
  <c r="X245" i="3"/>
  <c r="AA245" i="3" s="1"/>
  <c r="X246" i="3"/>
  <c r="AA246" i="3" s="1"/>
  <c r="X247" i="3"/>
  <c r="AA247" i="3" s="1"/>
  <c r="X248" i="3"/>
  <c r="AA248" i="3" s="1"/>
  <c r="X249" i="3"/>
  <c r="AA249" i="3" s="1"/>
  <c r="X250" i="3"/>
  <c r="Y250" i="3" s="1"/>
  <c r="X251" i="3"/>
  <c r="AA251" i="3" s="1"/>
  <c r="X252" i="3"/>
  <c r="AA252" i="3" s="1"/>
  <c r="X253" i="3"/>
  <c r="AA253" i="3" s="1"/>
  <c r="X254" i="3"/>
  <c r="AA254" i="3" s="1"/>
  <c r="X255" i="3"/>
  <c r="AA255" i="3" s="1"/>
  <c r="X256" i="3"/>
  <c r="AA256" i="3" s="1"/>
  <c r="X257" i="3"/>
  <c r="AA257" i="3" s="1"/>
  <c r="X258" i="3"/>
  <c r="Y258" i="3" s="1"/>
  <c r="X259" i="3"/>
  <c r="AA259" i="3" s="1"/>
  <c r="X260" i="3"/>
  <c r="AA260" i="3" s="1"/>
  <c r="X261" i="3"/>
  <c r="AA261" i="3" s="1"/>
  <c r="X262" i="3"/>
  <c r="AA262" i="3" s="1"/>
  <c r="X263" i="3"/>
  <c r="AA263" i="3" s="1"/>
  <c r="X264" i="3"/>
  <c r="AA264" i="3" s="1"/>
  <c r="X265" i="3"/>
  <c r="AA265" i="3" s="1"/>
  <c r="X266" i="3"/>
  <c r="Y266" i="3" s="1"/>
  <c r="X267" i="3"/>
  <c r="AA267" i="3" s="1"/>
  <c r="X268" i="3"/>
  <c r="AA268" i="3" s="1"/>
  <c r="X269" i="3"/>
  <c r="AA269" i="3" s="1"/>
  <c r="X270" i="3"/>
  <c r="AA270" i="3" s="1"/>
  <c r="X271" i="3"/>
  <c r="AA271" i="3" s="1"/>
  <c r="X272" i="3"/>
  <c r="AA272" i="3" s="1"/>
  <c r="X273" i="3"/>
  <c r="AA273" i="3" s="1"/>
  <c r="X274" i="3"/>
  <c r="Y274" i="3" s="1"/>
  <c r="X275" i="3"/>
  <c r="AA275" i="3" s="1"/>
  <c r="X276" i="3"/>
  <c r="AA276" i="3" s="1"/>
  <c r="X277" i="3"/>
  <c r="AA277" i="3" s="1"/>
  <c r="X278" i="3"/>
  <c r="AA278" i="3" s="1"/>
  <c r="X279" i="3"/>
  <c r="AA279" i="3" s="1"/>
  <c r="X280" i="3"/>
  <c r="AA280" i="3" s="1"/>
  <c r="X281" i="3"/>
  <c r="AA281" i="3" s="1"/>
  <c r="X282" i="3"/>
  <c r="AA282" i="3" s="1"/>
  <c r="X283" i="3"/>
  <c r="AA283" i="3" s="1"/>
  <c r="X284" i="3"/>
  <c r="AA284" i="3" s="1"/>
  <c r="X285" i="3"/>
  <c r="AA285" i="3" s="1"/>
  <c r="X286" i="3"/>
  <c r="AA286" i="3" s="1"/>
  <c r="X287" i="3"/>
  <c r="AA287" i="3" s="1"/>
  <c r="X288" i="3"/>
  <c r="AA288" i="3" s="1"/>
  <c r="X289" i="3"/>
  <c r="AA289" i="3" s="1"/>
  <c r="X290" i="3"/>
  <c r="Y290" i="3" s="1"/>
  <c r="X291" i="3"/>
  <c r="AA291" i="3" s="1"/>
  <c r="X292" i="3"/>
  <c r="AA292" i="3" s="1"/>
  <c r="X293" i="3"/>
  <c r="AA293" i="3" s="1"/>
  <c r="X294" i="3"/>
  <c r="AA294" i="3" s="1"/>
  <c r="X295" i="3"/>
  <c r="AA295" i="3" s="1"/>
  <c r="X296" i="3"/>
  <c r="AA296" i="3" s="1"/>
  <c r="X297" i="3"/>
  <c r="AA297" i="3" s="1"/>
  <c r="X298" i="3"/>
  <c r="Y298" i="3" s="1"/>
  <c r="X299" i="3"/>
  <c r="AA299" i="3" s="1"/>
  <c r="X300" i="3"/>
  <c r="AA300" i="3" s="1"/>
  <c r="X301" i="3"/>
  <c r="AB301" i="3" s="1"/>
  <c r="X302" i="3"/>
  <c r="AA302" i="3" s="1"/>
  <c r="X303" i="3"/>
  <c r="AA303" i="3" s="1"/>
  <c r="X304" i="3"/>
  <c r="AA304" i="3" s="1"/>
  <c r="X305" i="3"/>
  <c r="AA305" i="3" s="1"/>
  <c r="X306" i="3"/>
  <c r="Y306" i="3" s="1"/>
  <c r="X307" i="3"/>
  <c r="AA307" i="3" s="1"/>
  <c r="X308" i="3"/>
  <c r="AA308" i="3" s="1"/>
  <c r="X309" i="3"/>
  <c r="AA309" i="3" s="1"/>
  <c r="X310" i="3"/>
  <c r="AA310" i="3" s="1"/>
  <c r="X311" i="3"/>
  <c r="AA311" i="3" s="1"/>
  <c r="X312" i="3"/>
  <c r="AA312" i="3" s="1"/>
  <c r="X313" i="3"/>
  <c r="AA313" i="3" s="1"/>
  <c r="X314" i="3"/>
  <c r="Y314" i="3" s="1"/>
  <c r="X315" i="3"/>
  <c r="AA315" i="3" s="1"/>
  <c r="X316" i="3"/>
  <c r="AA316" i="3" s="1"/>
  <c r="X317" i="3"/>
  <c r="AA317" i="3" s="1"/>
  <c r="X318" i="3"/>
  <c r="AA318" i="3" s="1"/>
  <c r="X319" i="3"/>
  <c r="AA319" i="3" s="1"/>
  <c r="X320" i="3"/>
  <c r="AA320" i="3" s="1"/>
  <c r="X321" i="3"/>
  <c r="AA321" i="3" s="1"/>
  <c r="X322" i="3"/>
  <c r="Y322" i="3" s="1"/>
  <c r="X323" i="3"/>
  <c r="AA323" i="3" s="1"/>
  <c r="X324" i="3"/>
  <c r="AA324" i="3" s="1"/>
  <c r="X325" i="3"/>
  <c r="AA325" i="3" s="1"/>
  <c r="X326" i="3"/>
  <c r="AA326" i="3" s="1"/>
  <c r="X327" i="3"/>
  <c r="AC327" i="3" s="1"/>
  <c r="X328" i="3"/>
  <c r="AA328" i="3" s="1"/>
  <c r="X329" i="3"/>
  <c r="AA329" i="3" s="1"/>
  <c r="X330" i="3"/>
  <c r="AA330" i="3" s="1"/>
  <c r="X331" i="3"/>
  <c r="AA331" i="3" s="1"/>
  <c r="X332" i="3"/>
  <c r="AA332" i="3" s="1"/>
  <c r="X333" i="3"/>
  <c r="AA333" i="3" s="1"/>
  <c r="X334" i="3"/>
  <c r="AA334" i="3" s="1"/>
  <c r="X335" i="3"/>
  <c r="AA335" i="3" s="1"/>
  <c r="X336" i="3"/>
  <c r="AA336" i="3" s="1"/>
  <c r="X337" i="3"/>
  <c r="AA337" i="3" s="1"/>
  <c r="X338" i="3"/>
  <c r="Y338" i="3" s="1"/>
  <c r="X339" i="3"/>
  <c r="AA339" i="3" s="1"/>
  <c r="X340" i="3"/>
  <c r="AA340" i="3" s="1"/>
  <c r="X341" i="3"/>
  <c r="AA341" i="3" s="1"/>
  <c r="X342" i="3"/>
  <c r="AA342" i="3" s="1"/>
  <c r="X343" i="3"/>
  <c r="AA343" i="3" s="1"/>
  <c r="X344" i="3"/>
  <c r="AA344" i="3" s="1"/>
  <c r="X345" i="3"/>
  <c r="AA345" i="3" s="1"/>
  <c r="X346" i="3"/>
  <c r="Y346" i="3" s="1"/>
  <c r="X347" i="3"/>
  <c r="AA347" i="3" s="1"/>
  <c r="X348" i="3"/>
  <c r="AA348" i="3" s="1"/>
  <c r="X349" i="3"/>
  <c r="AB349" i="3" s="1"/>
  <c r="X350" i="3"/>
  <c r="AA350" i="3" s="1"/>
  <c r="X351" i="3"/>
  <c r="AA351" i="3" s="1"/>
  <c r="X352" i="3"/>
  <c r="AA352" i="3" s="1"/>
  <c r="X353" i="3"/>
  <c r="AA353" i="3" s="1"/>
  <c r="X354" i="3"/>
  <c r="Y354" i="3" s="1"/>
  <c r="X355" i="3"/>
  <c r="AA355" i="3" s="1"/>
  <c r="X356" i="3"/>
  <c r="AA356" i="3" s="1"/>
  <c r="X357" i="3"/>
  <c r="Y357" i="3" s="1"/>
  <c r="X358" i="3"/>
  <c r="AA358" i="3" s="1"/>
  <c r="X359" i="3"/>
  <c r="AA359" i="3" s="1"/>
  <c r="X360" i="3"/>
  <c r="AA360" i="3" s="1"/>
  <c r="X361" i="3"/>
  <c r="AA361" i="3" s="1"/>
  <c r="X362" i="3"/>
  <c r="Y362" i="3" s="1"/>
  <c r="X363" i="3"/>
  <c r="AA363" i="3" s="1"/>
  <c r="X364" i="3"/>
  <c r="AA364" i="3" s="1"/>
  <c r="X365" i="3"/>
  <c r="AC365" i="3" s="1"/>
  <c r="X366" i="3"/>
  <c r="AA366" i="3" s="1"/>
  <c r="X367" i="3"/>
  <c r="AA367" i="3" s="1"/>
  <c r="X368" i="3"/>
  <c r="AA368" i="3" s="1"/>
  <c r="X369" i="3"/>
  <c r="AA369" i="3" s="1"/>
  <c r="X370" i="3"/>
  <c r="Y370" i="3" s="1"/>
  <c r="X371" i="3"/>
  <c r="AA371" i="3" s="1"/>
  <c r="X372" i="3"/>
  <c r="AA372" i="3" s="1"/>
  <c r="X373" i="3"/>
  <c r="Y373" i="3" s="1"/>
  <c r="X374" i="3"/>
  <c r="AA374" i="3" s="1"/>
  <c r="X375" i="3"/>
  <c r="Y375" i="3" s="1"/>
  <c r="X376" i="3"/>
  <c r="AA376" i="3" s="1"/>
  <c r="X377" i="3"/>
  <c r="AA377" i="3" s="1"/>
  <c r="X378" i="3"/>
  <c r="Y378" i="3" s="1"/>
  <c r="X379" i="3"/>
  <c r="AA379" i="3" s="1"/>
  <c r="X380" i="3"/>
  <c r="AA380" i="3" s="1"/>
  <c r="X381" i="3"/>
  <c r="AC381" i="3" s="1"/>
  <c r="X382" i="3"/>
  <c r="AA382" i="3" s="1"/>
  <c r="X383" i="3"/>
  <c r="AA383" i="3" s="1"/>
  <c r="X384" i="3"/>
  <c r="AA384" i="3" s="1"/>
  <c r="X385" i="3"/>
  <c r="AA385" i="3" s="1"/>
  <c r="X386" i="3"/>
  <c r="Y386" i="3" s="1"/>
  <c r="X387" i="3"/>
  <c r="AA387" i="3" s="1"/>
  <c r="X388" i="3"/>
  <c r="AA388" i="3" s="1"/>
  <c r="X389" i="3"/>
  <c r="AA389" i="3" s="1"/>
  <c r="X390" i="3"/>
  <c r="AA390" i="3" s="1"/>
  <c r="X391" i="3"/>
  <c r="AA391" i="3" s="1"/>
  <c r="X392" i="3"/>
  <c r="AA392" i="3" s="1"/>
  <c r="X393" i="3"/>
  <c r="AA393" i="3" s="1"/>
  <c r="X394" i="3"/>
  <c r="Y394" i="3" s="1"/>
  <c r="X395" i="3"/>
  <c r="AA395" i="3" s="1"/>
  <c r="X396" i="3"/>
  <c r="AA396" i="3" s="1"/>
  <c r="X397" i="3"/>
  <c r="AC397" i="3" s="1"/>
  <c r="X398" i="3"/>
  <c r="AA398" i="3" s="1"/>
  <c r="X399" i="3"/>
  <c r="Y399" i="3" s="1"/>
  <c r="X400" i="3"/>
  <c r="AA400" i="3" s="1"/>
  <c r="X401" i="3"/>
  <c r="AA401" i="3" s="1"/>
  <c r="X402" i="3"/>
  <c r="AA402" i="3" s="1"/>
  <c r="X403" i="3"/>
  <c r="AA403" i="3" s="1"/>
  <c r="X404" i="3"/>
  <c r="AA404" i="3" s="1"/>
  <c r="X405" i="3"/>
  <c r="AA405" i="3" s="1"/>
  <c r="X406" i="3"/>
  <c r="AA406" i="3" s="1"/>
  <c r="X407" i="3"/>
  <c r="AA407" i="3" s="1"/>
  <c r="X408" i="3"/>
  <c r="AA408" i="3" s="1"/>
  <c r="X409" i="3"/>
  <c r="AA409" i="3" s="1"/>
  <c r="X410" i="3"/>
  <c r="Y410" i="3" s="1"/>
  <c r="X411" i="3"/>
  <c r="AA411" i="3" s="1"/>
  <c r="X412" i="3"/>
  <c r="AA412" i="3" s="1"/>
  <c r="X413" i="3"/>
  <c r="AC413" i="3" s="1"/>
  <c r="X414" i="3"/>
  <c r="AA414" i="3" s="1"/>
  <c r="X415" i="3"/>
  <c r="AA415" i="3" s="1"/>
  <c r="X416" i="3"/>
  <c r="AA416" i="3" s="1"/>
  <c r="X417" i="3"/>
  <c r="AA417" i="3" s="1"/>
  <c r="X418" i="3"/>
  <c r="Y418" i="3" s="1"/>
  <c r="X419" i="3"/>
  <c r="AA419" i="3" s="1"/>
  <c r="X420" i="3"/>
  <c r="AA420" i="3" s="1"/>
  <c r="X421" i="3"/>
  <c r="Y421" i="3" s="1"/>
  <c r="X422" i="3"/>
  <c r="AA422" i="3" s="1"/>
  <c r="X423" i="3"/>
  <c r="AA423" i="3" s="1"/>
  <c r="X424" i="3"/>
  <c r="AA424" i="3" s="1"/>
  <c r="X425" i="3"/>
  <c r="AA425" i="3" s="1"/>
  <c r="X426" i="3"/>
  <c r="Y426" i="3" s="1"/>
  <c r="X427" i="3"/>
  <c r="AA427" i="3" s="1"/>
  <c r="X428" i="3"/>
  <c r="AA428" i="3" s="1"/>
  <c r="X429" i="3"/>
  <c r="AC429" i="3" s="1"/>
  <c r="X430" i="3"/>
  <c r="AA430" i="3" s="1"/>
  <c r="X431" i="3"/>
  <c r="AA431" i="3" s="1"/>
  <c r="X432" i="3"/>
  <c r="AA432" i="3" s="1"/>
  <c r="X433" i="3"/>
  <c r="AA433" i="3" s="1"/>
  <c r="X434" i="3"/>
  <c r="Y434" i="3" s="1"/>
  <c r="X435" i="3"/>
  <c r="AA435" i="3" s="1"/>
  <c r="X436" i="3"/>
  <c r="AA436" i="3" s="1"/>
  <c r="X437" i="3"/>
  <c r="Y437" i="3" s="1"/>
  <c r="X438" i="3"/>
  <c r="AA438" i="3" s="1"/>
  <c r="X439" i="3"/>
  <c r="Y439" i="3" s="1"/>
  <c r="X440" i="3"/>
  <c r="AA440" i="3" s="1"/>
  <c r="X441" i="3"/>
  <c r="AA441" i="3" s="1"/>
  <c r="X442" i="3"/>
  <c r="Y442" i="3" s="1"/>
  <c r="X443" i="3"/>
  <c r="AA443" i="3" s="1"/>
  <c r="X444" i="3"/>
  <c r="AA444" i="3" s="1"/>
  <c r="X445" i="3"/>
  <c r="AC445" i="3" s="1"/>
  <c r="X446" i="3"/>
  <c r="AA446" i="3" s="1"/>
  <c r="X447" i="3"/>
  <c r="AA447" i="3" s="1"/>
  <c r="X448" i="3"/>
  <c r="AA448" i="3" s="1"/>
  <c r="X449" i="3"/>
  <c r="AA449" i="3" s="1"/>
  <c r="X450" i="3"/>
  <c r="Y450" i="3" s="1"/>
  <c r="X451" i="3"/>
  <c r="AA451" i="3" s="1"/>
  <c r="X452" i="3"/>
  <c r="AA452" i="3" s="1"/>
  <c r="X453" i="3"/>
  <c r="AA453" i="3" s="1"/>
  <c r="X454" i="3"/>
  <c r="AA454" i="3" s="1"/>
  <c r="X455" i="3"/>
  <c r="AA455" i="3" s="1"/>
  <c r="X456" i="3"/>
  <c r="AA456" i="3" s="1"/>
  <c r="X457" i="3"/>
  <c r="AA457" i="3" s="1"/>
  <c r="X458" i="3"/>
  <c r="Y458" i="3" s="1"/>
  <c r="X459" i="3"/>
  <c r="AA459" i="3" s="1"/>
  <c r="X460" i="3"/>
  <c r="AA460" i="3" s="1"/>
  <c r="X461" i="3"/>
  <c r="AC461" i="3" s="1"/>
  <c r="X462" i="3"/>
  <c r="AA462" i="3" s="1"/>
  <c r="X463" i="3"/>
  <c r="Y463" i="3" s="1"/>
  <c r="X464" i="3"/>
  <c r="AA464" i="3" s="1"/>
  <c r="X465" i="3"/>
  <c r="AA465" i="3" s="1"/>
  <c r="X466" i="3"/>
  <c r="AA466" i="3" s="1"/>
  <c r="X467" i="3"/>
  <c r="AA467" i="3" s="1"/>
  <c r="X468" i="3"/>
  <c r="AA468" i="3" s="1"/>
  <c r="X469" i="3"/>
  <c r="AA469" i="3" s="1"/>
  <c r="X470" i="3"/>
  <c r="AA470" i="3" s="1"/>
  <c r="X471" i="3"/>
  <c r="AA471" i="3" s="1"/>
  <c r="X472" i="3"/>
  <c r="AA472" i="3" s="1"/>
  <c r="X473" i="3"/>
  <c r="AA473" i="3" s="1"/>
  <c r="X474" i="3"/>
  <c r="Y474" i="3" s="1"/>
  <c r="X475" i="3"/>
  <c r="AA475" i="3" s="1"/>
  <c r="X476" i="3"/>
  <c r="AA476" i="3" s="1"/>
  <c r="X477" i="3"/>
  <c r="AC477" i="3" s="1"/>
  <c r="X478" i="3"/>
  <c r="AA478" i="3" s="1"/>
  <c r="X479" i="3"/>
  <c r="AA479" i="3" s="1"/>
  <c r="X480" i="3"/>
  <c r="AA480" i="3" s="1"/>
  <c r="X481" i="3"/>
  <c r="AA481" i="3" s="1"/>
  <c r="X482" i="3"/>
  <c r="Y482" i="3" s="1"/>
  <c r="X483" i="3"/>
  <c r="AA483" i="3" s="1"/>
  <c r="X484" i="3"/>
  <c r="AA484" i="3" s="1"/>
  <c r="X485" i="3"/>
  <c r="Y485" i="3" s="1"/>
  <c r="X486" i="3"/>
  <c r="AA486" i="3" s="1"/>
  <c r="X487" i="3"/>
  <c r="AA487" i="3" s="1"/>
  <c r="X488" i="3"/>
  <c r="AA488" i="3" s="1"/>
  <c r="X489" i="3"/>
  <c r="AA489" i="3" s="1"/>
  <c r="X490" i="3"/>
  <c r="Y490" i="3" s="1"/>
  <c r="X491" i="3"/>
  <c r="AA491" i="3" s="1"/>
  <c r="X492" i="3"/>
  <c r="AA492" i="3" s="1"/>
  <c r="X493" i="3"/>
  <c r="AC493" i="3" s="1"/>
  <c r="X494" i="3"/>
  <c r="AA494" i="3" s="1"/>
  <c r="X495" i="3"/>
  <c r="AA495" i="3" s="1"/>
  <c r="X496" i="3"/>
  <c r="AA496" i="3" s="1"/>
  <c r="X497" i="3"/>
  <c r="AA497" i="3" s="1"/>
  <c r="X498" i="3"/>
  <c r="Y498" i="3" s="1"/>
  <c r="X499" i="3"/>
  <c r="AA499" i="3" s="1"/>
  <c r="X500" i="3"/>
  <c r="AA500" i="3" s="1"/>
  <c r="X501" i="3"/>
  <c r="Y501" i="3" s="1"/>
  <c r="X502" i="3"/>
  <c r="AA502" i="3" s="1"/>
  <c r="X503" i="3"/>
  <c r="Y503" i="3" s="1"/>
  <c r="X504" i="3"/>
  <c r="AA504" i="3" s="1"/>
  <c r="X505" i="3"/>
  <c r="AA505" i="3" s="1"/>
  <c r="X506" i="3"/>
  <c r="Y506" i="3" s="1"/>
  <c r="X507" i="3"/>
  <c r="AA507" i="3" s="1"/>
  <c r="X508" i="3"/>
  <c r="AA508" i="3" s="1"/>
  <c r="X509" i="3"/>
  <c r="AC509" i="3" s="1"/>
  <c r="X510" i="3"/>
  <c r="AA510" i="3" s="1"/>
  <c r="X511" i="3"/>
  <c r="AA511" i="3" s="1"/>
  <c r="X512" i="3"/>
  <c r="AA512" i="3" s="1"/>
  <c r="X513" i="3"/>
  <c r="AA513" i="3" s="1"/>
  <c r="X514" i="3"/>
  <c r="Y514" i="3" s="1"/>
  <c r="X515" i="3"/>
  <c r="AA515" i="3" s="1"/>
  <c r="X516" i="3"/>
  <c r="AA516" i="3" s="1"/>
  <c r="X517" i="3"/>
  <c r="AA517" i="3" s="1"/>
  <c r="X518" i="3"/>
  <c r="AA518" i="3" s="1"/>
  <c r="X519" i="3"/>
  <c r="AA519" i="3" s="1"/>
  <c r="X520" i="3"/>
  <c r="AA520" i="3" s="1"/>
  <c r="X521" i="3"/>
  <c r="AA521" i="3" s="1"/>
  <c r="X522" i="3"/>
  <c r="AB522" i="3" s="1"/>
  <c r="X523" i="3"/>
  <c r="AA523" i="3" s="1"/>
  <c r="X524" i="3"/>
  <c r="AA524" i="3" s="1"/>
  <c r="X525" i="3"/>
  <c r="Y525" i="3" s="1"/>
  <c r="X526" i="3"/>
  <c r="AA526" i="3" s="1"/>
  <c r="X527" i="3"/>
  <c r="Y527" i="3" s="1"/>
  <c r="X528" i="3"/>
  <c r="AA528" i="3" s="1"/>
  <c r="X529" i="3"/>
  <c r="AA529" i="3" s="1"/>
  <c r="X530" i="3"/>
  <c r="AB530" i="3" s="1"/>
  <c r="X531" i="3"/>
  <c r="AA531" i="3" s="1"/>
  <c r="X532" i="3"/>
  <c r="AA532" i="3" s="1"/>
  <c r="X533" i="3"/>
  <c r="AA533" i="3" s="1"/>
  <c r="X534" i="3"/>
  <c r="AA534" i="3" s="1"/>
  <c r="X535" i="3"/>
  <c r="AA535" i="3" s="1"/>
  <c r="X536" i="3"/>
  <c r="AA536" i="3" s="1"/>
  <c r="X537" i="3"/>
  <c r="AA537" i="3" s="1"/>
  <c r="X538" i="3"/>
  <c r="AB538" i="3" s="1"/>
  <c r="X539" i="3"/>
  <c r="AA539" i="3" s="1"/>
  <c r="X540" i="3"/>
  <c r="AA540" i="3" s="1"/>
  <c r="X541" i="3"/>
  <c r="AA541" i="3" s="1"/>
  <c r="X542" i="3"/>
  <c r="AC542" i="3" s="1"/>
  <c r="X543" i="3"/>
  <c r="AA543" i="3" s="1"/>
  <c r="X544" i="3"/>
  <c r="AA544" i="3" s="1"/>
  <c r="X545" i="3"/>
  <c r="AA545" i="3" s="1"/>
  <c r="X546" i="3"/>
  <c r="AB546" i="3" s="1"/>
  <c r="X547" i="3"/>
  <c r="AA547" i="3" s="1"/>
  <c r="X548" i="3"/>
  <c r="AA548" i="3" s="1"/>
  <c r="X549" i="3"/>
  <c r="AA549" i="3" s="1"/>
  <c r="X550" i="3"/>
  <c r="AA550" i="3" s="1"/>
  <c r="X551" i="3"/>
  <c r="AA551" i="3" s="1"/>
  <c r="X552" i="3"/>
  <c r="AA552" i="3" s="1"/>
  <c r="X553" i="3"/>
  <c r="AA553" i="3" s="1"/>
  <c r="X554" i="3"/>
  <c r="AB554" i="3" s="1"/>
  <c r="X555" i="3"/>
  <c r="AA555" i="3" s="1"/>
  <c r="X556" i="3"/>
  <c r="AA556" i="3" s="1"/>
  <c r="X557" i="3"/>
  <c r="AA557" i="3" s="1"/>
  <c r="X558" i="3"/>
  <c r="AA558" i="3" s="1"/>
  <c r="X559" i="3"/>
  <c r="AA559" i="3" s="1"/>
  <c r="X560" i="3"/>
  <c r="AA560" i="3" s="1"/>
  <c r="X561" i="3"/>
  <c r="AA561" i="3" s="1"/>
  <c r="X562" i="3"/>
  <c r="AB562" i="3" s="1"/>
  <c r="X563" i="3"/>
  <c r="AA563" i="3" s="1"/>
  <c r="X564" i="3"/>
  <c r="AA564" i="3" s="1"/>
  <c r="X565" i="3"/>
  <c r="AA565" i="3" s="1"/>
  <c r="X566" i="3"/>
  <c r="AA566" i="3" s="1"/>
  <c r="X567" i="3"/>
  <c r="Y567" i="3" s="1"/>
  <c r="X568" i="3"/>
  <c r="AA568" i="3" s="1"/>
  <c r="X569" i="3"/>
  <c r="AA569" i="3" s="1"/>
  <c r="X570" i="3"/>
  <c r="AB570" i="3" s="1"/>
  <c r="X571" i="3"/>
  <c r="AA571" i="3" s="1"/>
  <c r="X572" i="3"/>
  <c r="AA572" i="3" s="1"/>
  <c r="X573" i="3"/>
  <c r="AA573" i="3" s="1"/>
  <c r="X574" i="3"/>
  <c r="AC574" i="3" s="1"/>
  <c r="X575" i="3"/>
  <c r="AA575" i="3" s="1"/>
  <c r="X576" i="3"/>
  <c r="AA576" i="3" s="1"/>
  <c r="X577" i="3"/>
  <c r="AA577" i="3" s="1"/>
  <c r="X578" i="3"/>
  <c r="AB578" i="3" s="1"/>
  <c r="X579" i="3"/>
  <c r="AA579" i="3" s="1"/>
  <c r="X580" i="3"/>
  <c r="AA580" i="3" s="1"/>
  <c r="X581" i="3"/>
  <c r="AA581" i="3" s="1"/>
  <c r="X582" i="3"/>
  <c r="AA582" i="3" s="1"/>
  <c r="X583" i="3"/>
  <c r="AA583" i="3" s="1"/>
  <c r="X584" i="3"/>
  <c r="AA584" i="3" s="1"/>
  <c r="X585" i="3"/>
  <c r="AA585" i="3" s="1"/>
  <c r="X586" i="3"/>
  <c r="AB586" i="3" s="1"/>
  <c r="X587" i="3"/>
  <c r="AA587" i="3" s="1"/>
  <c r="X588" i="3"/>
  <c r="AA588" i="3" s="1"/>
  <c r="X589" i="3"/>
  <c r="AA589" i="3" s="1"/>
  <c r="X590" i="3"/>
  <c r="AA590" i="3" s="1"/>
  <c r="X591" i="3"/>
  <c r="Y591" i="3" s="1"/>
  <c r="X592" i="3"/>
  <c r="AA592" i="3" s="1"/>
  <c r="X593" i="3"/>
  <c r="AA593" i="3" s="1"/>
  <c r="X594" i="3"/>
  <c r="AA594" i="3" s="1"/>
  <c r="X595" i="3"/>
  <c r="Y595" i="3" s="1"/>
  <c r="X596" i="3"/>
  <c r="AA596" i="3" s="1"/>
  <c r="X597" i="3"/>
  <c r="AA597" i="3" s="1"/>
  <c r="X598" i="3"/>
  <c r="AB598" i="3" s="1"/>
  <c r="X599" i="3"/>
  <c r="AA599" i="3" s="1"/>
  <c r="X600" i="3"/>
  <c r="AA600" i="3" s="1"/>
  <c r="X601" i="3"/>
  <c r="AA601" i="3" s="1"/>
  <c r="X602" i="3"/>
  <c r="AA602" i="3" s="1"/>
  <c r="X603" i="3"/>
  <c r="AA603" i="3" s="1"/>
  <c r="X604" i="3"/>
  <c r="AA604" i="3" s="1"/>
  <c r="X605" i="3"/>
  <c r="AA605" i="3" s="1"/>
  <c r="X606" i="3"/>
  <c r="AB606" i="3" s="1"/>
  <c r="X607" i="3"/>
  <c r="AA607" i="3" s="1"/>
  <c r="X608" i="3"/>
  <c r="AA608" i="3" s="1"/>
  <c r="X609" i="3"/>
  <c r="AA609" i="3" s="1"/>
  <c r="X610" i="3"/>
  <c r="AA610" i="3" s="1"/>
  <c r="X611" i="3"/>
  <c r="AA611" i="3" s="1"/>
  <c r="X612" i="3"/>
  <c r="AA612" i="3" s="1"/>
  <c r="X613" i="3"/>
  <c r="AA613" i="3" s="1"/>
  <c r="X614" i="3"/>
  <c r="AB614" i="3" s="1"/>
  <c r="X615" i="3"/>
  <c r="AA615" i="3" s="1"/>
  <c r="X616" i="3"/>
  <c r="AA616" i="3" s="1"/>
  <c r="X617" i="3"/>
  <c r="AA617" i="3" s="1"/>
  <c r="X618" i="3"/>
  <c r="AA618" i="3" s="1"/>
  <c r="X619" i="3"/>
  <c r="AA619" i="3" s="1"/>
  <c r="X620" i="3"/>
  <c r="AA620" i="3" s="1"/>
  <c r="X621" i="3"/>
  <c r="AA621" i="3" s="1"/>
  <c r="X622" i="3"/>
  <c r="AA622" i="3" s="1"/>
  <c r="X623" i="3"/>
  <c r="AA623" i="3" s="1"/>
  <c r="X624" i="3"/>
  <c r="AA624" i="3" s="1"/>
  <c r="X625" i="3"/>
  <c r="AA625" i="3" s="1"/>
  <c r="X626" i="3"/>
  <c r="AA626" i="3" s="1"/>
  <c r="X627" i="3"/>
  <c r="AA627" i="3" s="1"/>
  <c r="X628" i="3"/>
  <c r="AA628" i="3" s="1"/>
  <c r="X629" i="3"/>
  <c r="AA629" i="3" s="1"/>
  <c r="X630" i="3"/>
  <c r="AA630" i="3" s="1"/>
  <c r="X631" i="3"/>
  <c r="AA631" i="3" s="1"/>
  <c r="X632" i="3"/>
  <c r="AA632" i="3" s="1"/>
  <c r="X633" i="3"/>
  <c r="AA633" i="3" s="1"/>
  <c r="X2" i="3"/>
  <c r="AA2" i="3" s="1"/>
  <c r="N43" i="7" l="1"/>
  <c r="O43" i="7" s="1"/>
  <c r="N42" i="7"/>
  <c r="O42" i="7" s="1"/>
  <c r="N48" i="7"/>
  <c r="O48" i="7" s="1"/>
  <c r="N47" i="7"/>
  <c r="O47" i="7" s="1"/>
  <c r="N46" i="7"/>
  <c r="O46" i="7" s="1"/>
  <c r="N45" i="7"/>
  <c r="O45" i="7" s="1"/>
  <c r="N44" i="7"/>
  <c r="O44" i="7" s="1"/>
  <c r="U18" i="3"/>
  <c r="V18" i="3" s="1"/>
  <c r="U530" i="3"/>
  <c r="V530" i="3" s="1"/>
  <c r="U459" i="3"/>
  <c r="V459" i="3" s="1"/>
  <c r="U267" i="3"/>
  <c r="V267" i="3" s="1"/>
  <c r="U608" i="3"/>
  <c r="V608" i="3" s="1"/>
  <c r="U336" i="3"/>
  <c r="V336" i="3" s="1"/>
  <c r="U312" i="3"/>
  <c r="V312" i="3" s="1"/>
  <c r="U65" i="3"/>
  <c r="V65" i="3" s="1"/>
  <c r="W65" i="3" s="1"/>
  <c r="U382" i="3"/>
  <c r="V382" i="3" s="1"/>
  <c r="U466" i="3"/>
  <c r="V466" i="3" s="1"/>
  <c r="U595" i="3"/>
  <c r="V595" i="3" s="1"/>
  <c r="U475" i="3"/>
  <c r="V475" i="3" s="1"/>
  <c r="U443" i="3"/>
  <c r="V443" i="3" s="1"/>
  <c r="U585" i="3"/>
  <c r="V585" i="3" s="1"/>
  <c r="U567" i="3"/>
  <c r="V567" i="3" s="1"/>
  <c r="U503" i="3"/>
  <c r="V503" i="3" s="1"/>
  <c r="U407" i="3"/>
  <c r="V407" i="3" s="1"/>
  <c r="U375" i="3"/>
  <c r="V375" i="3" s="1"/>
  <c r="U255" i="3"/>
  <c r="V255" i="3" s="1"/>
  <c r="U231" i="3"/>
  <c r="V231" i="3" s="1"/>
  <c r="U630" i="3"/>
  <c r="V630" i="3" s="1"/>
  <c r="U526" i="3"/>
  <c r="V526" i="3" s="1"/>
  <c r="W526" i="3" s="1"/>
  <c r="U494" i="3"/>
  <c r="V494" i="3" s="1"/>
  <c r="U454" i="3"/>
  <c r="V454" i="3" s="1"/>
  <c r="W454" i="3" s="1"/>
  <c r="U430" i="3"/>
  <c r="V430" i="3" s="1"/>
  <c r="W430" i="3" s="1"/>
  <c r="U318" i="3"/>
  <c r="V318" i="3" s="1"/>
  <c r="U302" i="3"/>
  <c r="V302" i="3" s="1"/>
  <c r="W302" i="3" s="1"/>
  <c r="U548" i="3"/>
  <c r="V548" i="3" s="1"/>
  <c r="U460" i="3"/>
  <c r="V460" i="3" s="1"/>
  <c r="U268" i="3"/>
  <c r="V268" i="3" s="1"/>
  <c r="W268" i="3" s="1"/>
  <c r="U244" i="3"/>
  <c r="V244" i="3" s="1"/>
  <c r="W244" i="3" s="1"/>
  <c r="M49" i="7"/>
  <c r="U622" i="3"/>
  <c r="V622" i="3" s="1"/>
  <c r="U590" i="3"/>
  <c r="V590" i="3" s="1"/>
  <c r="W590" i="3" s="1"/>
  <c r="U558" i="3"/>
  <c r="V558" i="3" s="1"/>
  <c r="U390" i="3"/>
  <c r="V390" i="3" s="1"/>
  <c r="U286" i="3"/>
  <c r="V286" i="3" s="1"/>
  <c r="U206" i="3"/>
  <c r="V206" i="3" s="1"/>
  <c r="W206" i="3" s="1"/>
  <c r="U198" i="3"/>
  <c r="V198" i="3" s="1"/>
  <c r="U46" i="3"/>
  <c r="V46" i="3" s="1"/>
  <c r="W46" i="3" s="1"/>
  <c r="U38" i="3"/>
  <c r="V38" i="3" s="1"/>
  <c r="W38" i="3" s="1"/>
  <c r="Z568" i="3"/>
  <c r="Z552" i="3"/>
  <c r="U424" i="3"/>
  <c r="V424" i="3" s="1"/>
  <c r="W424" i="3" s="1"/>
  <c r="Z368" i="3"/>
  <c r="Z551" i="3"/>
  <c r="U64" i="3"/>
  <c r="V64" i="3" s="1"/>
  <c r="Z406" i="3"/>
  <c r="Z310" i="3"/>
  <c r="U571" i="3"/>
  <c r="V571" i="3" s="1"/>
  <c r="Z621" i="3"/>
  <c r="Z613" i="3"/>
  <c r="U605" i="3"/>
  <c r="V605" i="3" s="1"/>
  <c r="Z581" i="3"/>
  <c r="Z549" i="3"/>
  <c r="U485" i="3"/>
  <c r="V485" i="3" s="1"/>
  <c r="U461" i="3"/>
  <c r="V461" i="3" s="1"/>
  <c r="U437" i="3"/>
  <c r="V437" i="3" s="1"/>
  <c r="U413" i="3"/>
  <c r="V413" i="3" s="1"/>
  <c r="U405" i="3"/>
  <c r="V405" i="3" s="1"/>
  <c r="Z309" i="3"/>
  <c r="U133" i="3"/>
  <c r="V133" i="3" s="1"/>
  <c r="U37" i="3"/>
  <c r="V37" i="3" s="1"/>
  <c r="Z497" i="3"/>
  <c r="U580" i="3"/>
  <c r="V580" i="3" s="1"/>
  <c r="U508" i="3"/>
  <c r="V508" i="3" s="1"/>
  <c r="U396" i="3"/>
  <c r="V396" i="3" s="1"/>
  <c r="W396" i="3" s="1"/>
  <c r="U236" i="3"/>
  <c r="V236" i="3" s="1"/>
  <c r="Z351" i="3"/>
  <c r="U603" i="3"/>
  <c r="V603" i="3" s="1"/>
  <c r="W603" i="3" s="1"/>
  <c r="U531" i="3"/>
  <c r="V531" i="3" s="1"/>
  <c r="W531" i="3" s="1"/>
  <c r="U507" i="3"/>
  <c r="V507" i="3" s="1"/>
  <c r="Z459" i="3"/>
  <c r="U435" i="3"/>
  <c r="V435" i="3" s="1"/>
  <c r="U419" i="3"/>
  <c r="V419" i="3" s="1"/>
  <c r="U147" i="3"/>
  <c r="V147" i="3" s="1"/>
  <c r="U91" i="3"/>
  <c r="V91" i="3" s="1"/>
  <c r="U480" i="3"/>
  <c r="V480" i="3" s="1"/>
  <c r="U352" i="3"/>
  <c r="V352" i="3" s="1"/>
  <c r="W352" i="3" s="1"/>
  <c r="U256" i="3"/>
  <c r="V256" i="3" s="1"/>
  <c r="W256" i="3" s="1"/>
  <c r="U631" i="3"/>
  <c r="V631" i="3" s="1"/>
  <c r="U535" i="3"/>
  <c r="V535" i="3" s="1"/>
  <c r="W535" i="3" s="1"/>
  <c r="U471" i="3"/>
  <c r="V471" i="3" s="1"/>
  <c r="W471" i="3" s="1"/>
  <c r="U359" i="3"/>
  <c r="V359" i="3" s="1"/>
  <c r="U335" i="3"/>
  <c r="V335" i="3" s="1"/>
  <c r="U311" i="3"/>
  <c r="V311" i="3" s="1"/>
  <c r="U223" i="3"/>
  <c r="V223" i="3" s="1"/>
  <c r="U127" i="3"/>
  <c r="V127" i="3" s="1"/>
  <c r="Z513" i="3"/>
  <c r="U481" i="3"/>
  <c r="V481" i="3" s="1"/>
  <c r="U353" i="3"/>
  <c r="V353" i="3" s="1"/>
  <c r="Z257" i="3"/>
  <c r="L49" i="7"/>
  <c r="Z517" i="3"/>
  <c r="Z509" i="3"/>
  <c r="U509" i="3"/>
  <c r="V509" i="3" s="1"/>
  <c r="Z501" i="3"/>
  <c r="U501" i="3"/>
  <c r="V501" i="3" s="1"/>
  <c r="Z493" i="3"/>
  <c r="U493" i="3"/>
  <c r="V493" i="3" s="1"/>
  <c r="Z469" i="3"/>
  <c r="U469" i="3"/>
  <c r="V469" i="3" s="1"/>
  <c r="Z277" i="3"/>
  <c r="Z181" i="3"/>
  <c r="Z165" i="3"/>
  <c r="U165" i="3"/>
  <c r="V165" i="3" s="1"/>
  <c r="Z141" i="3"/>
  <c r="U141" i="3"/>
  <c r="V141" i="3" s="1"/>
  <c r="U117" i="3"/>
  <c r="V117" i="3" s="1"/>
  <c r="Z117" i="3"/>
  <c r="U93" i="3"/>
  <c r="V93" i="3" s="1"/>
  <c r="Z93" i="3"/>
  <c r="Z69" i="3"/>
  <c r="U69" i="3"/>
  <c r="V69" i="3" s="1"/>
  <c r="Z607" i="3"/>
  <c r="Z380" i="3"/>
  <c r="U380" i="3"/>
  <c r="V380" i="3" s="1"/>
  <c r="Z348" i="3"/>
  <c r="U348" i="3"/>
  <c r="V348" i="3" s="1"/>
  <c r="W348" i="3" s="1"/>
  <c r="Z324" i="3"/>
  <c r="U324" i="3"/>
  <c r="V324" i="3" s="1"/>
  <c r="Z308" i="3"/>
  <c r="U308" i="3"/>
  <c r="V308" i="3" s="1"/>
  <c r="Z300" i="3"/>
  <c r="U300" i="3"/>
  <c r="V300" i="3" s="1"/>
  <c r="Z268" i="3"/>
  <c r="Z244" i="3"/>
  <c r="Z228" i="3"/>
  <c r="U228" i="3"/>
  <c r="V228" i="3" s="1"/>
  <c r="Z204" i="3"/>
  <c r="U204" i="3"/>
  <c r="V204" i="3" s="1"/>
  <c r="Z148" i="3"/>
  <c r="Z124" i="3"/>
  <c r="U124" i="3"/>
  <c r="V124" i="3" s="1"/>
  <c r="Z108" i="3"/>
  <c r="U108" i="3"/>
  <c r="V108" i="3" s="1"/>
  <c r="Z92" i="3"/>
  <c r="U92" i="3"/>
  <c r="V92" i="3" s="1"/>
  <c r="W92" i="3" s="1"/>
  <c r="Z76" i="3"/>
  <c r="U76" i="3"/>
  <c r="V76" i="3" s="1"/>
  <c r="W76" i="3" s="1"/>
  <c r="Z44" i="3"/>
  <c r="U44" i="3"/>
  <c r="V44" i="3" s="1"/>
  <c r="Z36" i="3"/>
  <c r="U36" i="3"/>
  <c r="V36" i="3" s="1"/>
  <c r="Z12" i="3"/>
  <c r="U12" i="3"/>
  <c r="V12" i="3" s="1"/>
  <c r="U617" i="3"/>
  <c r="V617" i="3" s="1"/>
  <c r="Z158" i="3"/>
  <c r="Z565" i="3"/>
  <c r="U565" i="3"/>
  <c r="V565" i="3" s="1"/>
  <c r="Z541" i="3"/>
  <c r="U541" i="3"/>
  <c r="V541" i="3" s="1"/>
  <c r="Z453" i="3"/>
  <c r="Z429" i="3"/>
  <c r="U429" i="3"/>
  <c r="V429" i="3" s="1"/>
  <c r="Z293" i="3"/>
  <c r="Z269" i="3"/>
  <c r="U269" i="3"/>
  <c r="V269" i="3" s="1"/>
  <c r="Z253" i="3"/>
  <c r="U253" i="3"/>
  <c r="V253" i="3" s="1"/>
  <c r="Z237" i="3"/>
  <c r="U237" i="3"/>
  <c r="V237" i="3" s="1"/>
  <c r="Z213" i="3"/>
  <c r="U213" i="3"/>
  <c r="V213" i="3" s="1"/>
  <c r="U197" i="3"/>
  <c r="V197" i="3" s="1"/>
  <c r="Z197" i="3"/>
  <c r="Z189" i="3"/>
  <c r="U189" i="3"/>
  <c r="V189" i="3" s="1"/>
  <c r="Z173" i="3"/>
  <c r="U173" i="3"/>
  <c r="V173" i="3" s="1"/>
  <c r="Z149" i="3"/>
  <c r="U149" i="3"/>
  <c r="V149" i="3" s="1"/>
  <c r="Z125" i="3"/>
  <c r="U125" i="3"/>
  <c r="V125" i="3" s="1"/>
  <c r="Z109" i="3"/>
  <c r="U109" i="3"/>
  <c r="V109" i="3" s="1"/>
  <c r="Z101" i="3"/>
  <c r="U101" i="3"/>
  <c r="V101" i="3" s="1"/>
  <c r="Z85" i="3"/>
  <c r="U85" i="3"/>
  <c r="V85" i="3" s="1"/>
  <c r="Z77" i="3"/>
  <c r="U77" i="3"/>
  <c r="V77" i="3" s="1"/>
  <c r="U53" i="3"/>
  <c r="V53" i="3" s="1"/>
  <c r="Z53" i="3"/>
  <c r="Z45" i="3"/>
  <c r="U45" i="3"/>
  <c r="V45" i="3" s="1"/>
  <c r="Z13" i="3"/>
  <c r="U13" i="3"/>
  <c r="V13" i="3" s="1"/>
  <c r="Z628" i="3"/>
  <c r="U628" i="3"/>
  <c r="V628" i="3" s="1"/>
  <c r="W628" i="3" s="1"/>
  <c r="Z620" i="3"/>
  <c r="U620" i="3"/>
  <c r="V620" i="3" s="1"/>
  <c r="Z604" i="3"/>
  <c r="Z588" i="3"/>
  <c r="U588" i="3"/>
  <c r="V588" i="3" s="1"/>
  <c r="Z572" i="3"/>
  <c r="Z564" i="3"/>
  <c r="U564" i="3"/>
  <c r="V564" i="3" s="1"/>
  <c r="Z548" i="3"/>
  <c r="Z532" i="3"/>
  <c r="U532" i="3"/>
  <c r="V532" i="3" s="1"/>
  <c r="Z516" i="3"/>
  <c r="Z500" i="3"/>
  <c r="U500" i="3"/>
  <c r="V500" i="3" s="1"/>
  <c r="Z492" i="3"/>
  <c r="U492" i="3"/>
  <c r="V492" i="3" s="1"/>
  <c r="Z476" i="3"/>
  <c r="Z468" i="3"/>
  <c r="U468" i="3"/>
  <c r="V468" i="3" s="1"/>
  <c r="Z436" i="3"/>
  <c r="Z420" i="3"/>
  <c r="U420" i="3"/>
  <c r="V420" i="3" s="1"/>
  <c r="Z404" i="3"/>
  <c r="U404" i="3"/>
  <c r="V404" i="3" s="1"/>
  <c r="Z388" i="3"/>
  <c r="Z356" i="3"/>
  <c r="U356" i="3"/>
  <c r="V356" i="3" s="1"/>
  <c r="Z332" i="3"/>
  <c r="U332" i="3"/>
  <c r="V332" i="3" s="1"/>
  <c r="Z292" i="3"/>
  <c r="Z284" i="3"/>
  <c r="U284" i="3"/>
  <c r="V284" i="3" s="1"/>
  <c r="Z236" i="3"/>
  <c r="Z220" i="3"/>
  <c r="U220" i="3"/>
  <c r="V220" i="3" s="1"/>
  <c r="W220" i="3" s="1"/>
  <c r="Z212" i="3"/>
  <c r="U212" i="3"/>
  <c r="V212" i="3" s="1"/>
  <c r="Z196" i="3"/>
  <c r="U196" i="3"/>
  <c r="V196" i="3" s="1"/>
  <c r="Z188" i="3"/>
  <c r="U188" i="3"/>
  <c r="V188" i="3" s="1"/>
  <c r="W188" i="3" s="1"/>
  <c r="Z172" i="3"/>
  <c r="U172" i="3"/>
  <c r="V172" i="3" s="1"/>
  <c r="Z156" i="3"/>
  <c r="U156" i="3"/>
  <c r="V156" i="3" s="1"/>
  <c r="Z132" i="3"/>
  <c r="U132" i="3"/>
  <c r="V132" i="3" s="1"/>
  <c r="Z100" i="3"/>
  <c r="U100" i="3"/>
  <c r="V100" i="3" s="1"/>
  <c r="Z60" i="3"/>
  <c r="U60" i="3"/>
  <c r="V60" i="3" s="1"/>
  <c r="Z20" i="3"/>
  <c r="U20" i="3"/>
  <c r="V20" i="3" s="1"/>
  <c r="U626" i="3"/>
  <c r="V626" i="3" s="1"/>
  <c r="U545" i="3"/>
  <c r="V545" i="3" s="1"/>
  <c r="U498" i="3"/>
  <c r="V498" i="3" s="1"/>
  <c r="U377" i="3"/>
  <c r="V377" i="3" s="1"/>
  <c r="Z605" i="3"/>
  <c r="Z2" i="3"/>
  <c r="Z626" i="3"/>
  <c r="Z618" i="3"/>
  <c r="Z610" i="3"/>
  <c r="U610" i="3"/>
  <c r="V610" i="3" s="1"/>
  <c r="W610" i="3" s="1"/>
  <c r="Z602" i="3"/>
  <c r="U602" i="3"/>
  <c r="V602" i="3" s="1"/>
  <c r="Z594" i="3"/>
  <c r="Z586" i="3"/>
  <c r="Z578" i="3"/>
  <c r="U578" i="3"/>
  <c r="V578" i="3" s="1"/>
  <c r="Z570" i="3"/>
  <c r="U570" i="3"/>
  <c r="V570" i="3" s="1"/>
  <c r="W570" i="3" s="1"/>
  <c r="Z562" i="3"/>
  <c r="Z554" i="3"/>
  <c r="Z546" i="3"/>
  <c r="U546" i="3"/>
  <c r="V546" i="3" s="1"/>
  <c r="Z538" i="3"/>
  <c r="U538" i="3"/>
  <c r="V538" i="3" s="1"/>
  <c r="Z530" i="3"/>
  <c r="Z522" i="3"/>
  <c r="U514" i="3"/>
  <c r="V514" i="3" s="1"/>
  <c r="W514" i="3" s="1"/>
  <c r="Z506" i="3"/>
  <c r="U506" i="3"/>
  <c r="V506" i="3" s="1"/>
  <c r="W506" i="3" s="1"/>
  <c r="Z498" i="3"/>
  <c r="Z490" i="3"/>
  <c r="Z482" i="3"/>
  <c r="U482" i="3"/>
  <c r="V482" i="3" s="1"/>
  <c r="Z474" i="3"/>
  <c r="U474" i="3"/>
  <c r="V474" i="3" s="1"/>
  <c r="Z466" i="3"/>
  <c r="U458" i="3"/>
  <c r="V458" i="3" s="1"/>
  <c r="Z450" i="3"/>
  <c r="U450" i="3"/>
  <c r="V450" i="3" s="1"/>
  <c r="W450" i="3" s="1"/>
  <c r="Z442" i="3"/>
  <c r="Z434" i="3"/>
  <c r="U434" i="3"/>
  <c r="V434" i="3" s="1"/>
  <c r="Z426" i="3"/>
  <c r="U426" i="3"/>
  <c r="V426" i="3" s="1"/>
  <c r="Z418" i="3"/>
  <c r="Z410" i="3"/>
  <c r="U410" i="3"/>
  <c r="V410" i="3" s="1"/>
  <c r="Z402" i="3"/>
  <c r="Z394" i="3"/>
  <c r="U394" i="3"/>
  <c r="V394" i="3" s="1"/>
  <c r="Z386" i="3"/>
  <c r="U386" i="3"/>
  <c r="V386" i="3" s="1"/>
  <c r="W386" i="3" s="1"/>
  <c r="Z378" i="3"/>
  <c r="U378" i="3"/>
  <c r="V378" i="3" s="1"/>
  <c r="Z370" i="3"/>
  <c r="U370" i="3"/>
  <c r="V370" i="3" s="1"/>
  <c r="Z362" i="3"/>
  <c r="Z354" i="3"/>
  <c r="U354" i="3"/>
  <c r="V354" i="3" s="1"/>
  <c r="Z346" i="3"/>
  <c r="Z338" i="3"/>
  <c r="U338" i="3"/>
  <c r="V338" i="3" s="1"/>
  <c r="Z330" i="3"/>
  <c r="U330" i="3"/>
  <c r="V330" i="3" s="1"/>
  <c r="W330" i="3" s="1"/>
  <c r="Z322" i="3"/>
  <c r="U322" i="3"/>
  <c r="V322" i="3" s="1"/>
  <c r="Z314" i="3"/>
  <c r="U314" i="3"/>
  <c r="V314" i="3" s="1"/>
  <c r="Z306" i="3"/>
  <c r="U306" i="3"/>
  <c r="V306" i="3" s="1"/>
  <c r="Z298" i="3"/>
  <c r="U298" i="3"/>
  <c r="V298" i="3" s="1"/>
  <c r="Z290" i="3"/>
  <c r="U290" i="3"/>
  <c r="V290" i="3" s="1"/>
  <c r="W290" i="3" s="1"/>
  <c r="Z282" i="3"/>
  <c r="U282" i="3"/>
  <c r="V282" i="3" s="1"/>
  <c r="Z274" i="3"/>
  <c r="U274" i="3"/>
  <c r="V274" i="3" s="1"/>
  <c r="W274" i="3" s="1"/>
  <c r="Z266" i="3"/>
  <c r="U266" i="3"/>
  <c r="V266" i="3" s="1"/>
  <c r="Z258" i="3"/>
  <c r="U258" i="3"/>
  <c r="V258" i="3" s="1"/>
  <c r="Z250" i="3"/>
  <c r="U250" i="3"/>
  <c r="V250" i="3" s="1"/>
  <c r="Z242" i="3"/>
  <c r="U242" i="3"/>
  <c r="V242" i="3" s="1"/>
  <c r="U234" i="3"/>
  <c r="V234" i="3" s="1"/>
  <c r="W234" i="3" s="1"/>
  <c r="Z226" i="3"/>
  <c r="U226" i="3"/>
  <c r="V226" i="3" s="1"/>
  <c r="Z218" i="3"/>
  <c r="U218" i="3"/>
  <c r="V218" i="3" s="1"/>
  <c r="Z210" i="3"/>
  <c r="U210" i="3"/>
  <c r="V210" i="3" s="1"/>
  <c r="Z202" i="3"/>
  <c r="U202" i="3"/>
  <c r="V202" i="3" s="1"/>
  <c r="Z194" i="3"/>
  <c r="Z186" i="3"/>
  <c r="U186" i="3"/>
  <c r="V186" i="3" s="1"/>
  <c r="Z178" i="3"/>
  <c r="U178" i="3"/>
  <c r="V178" i="3" s="1"/>
  <c r="Z170" i="3"/>
  <c r="U170" i="3"/>
  <c r="V170" i="3" s="1"/>
  <c r="Z162" i="3"/>
  <c r="Z154" i="3"/>
  <c r="U154" i="3"/>
  <c r="V154" i="3" s="1"/>
  <c r="Z146" i="3"/>
  <c r="U146" i="3"/>
  <c r="V146" i="3" s="1"/>
  <c r="W146" i="3" s="1"/>
  <c r="Z138" i="3"/>
  <c r="U138" i="3"/>
  <c r="V138" i="3" s="1"/>
  <c r="W138" i="3" s="1"/>
  <c r="U130" i="3"/>
  <c r="V130" i="3" s="1"/>
  <c r="W130" i="3" s="1"/>
  <c r="Z130" i="3"/>
  <c r="Z122" i="3"/>
  <c r="U122" i="3"/>
  <c r="V122" i="3" s="1"/>
  <c r="W122" i="3" s="1"/>
  <c r="Z114" i="3"/>
  <c r="U114" i="3"/>
  <c r="V114" i="3" s="1"/>
  <c r="Z106" i="3"/>
  <c r="Z98" i="3"/>
  <c r="U98" i="3"/>
  <c r="V98" i="3" s="1"/>
  <c r="U90" i="3"/>
  <c r="V90" i="3" s="1"/>
  <c r="Z90" i="3"/>
  <c r="Z82" i="3"/>
  <c r="U82" i="3"/>
  <c r="V82" i="3" s="1"/>
  <c r="Z74" i="3"/>
  <c r="U74" i="3"/>
  <c r="V74" i="3" s="1"/>
  <c r="U66" i="3"/>
  <c r="V66" i="3" s="1"/>
  <c r="Z58" i="3"/>
  <c r="U58" i="3"/>
  <c r="V58" i="3" s="1"/>
  <c r="U554" i="3"/>
  <c r="V554" i="3" s="1"/>
  <c r="U309" i="3"/>
  <c r="V309" i="3" s="1"/>
  <c r="U257" i="3"/>
  <c r="V257" i="3" s="1"/>
  <c r="U194" i="3"/>
  <c r="V194" i="3" s="1"/>
  <c r="U148" i="3"/>
  <c r="V148" i="3" s="1"/>
  <c r="U106" i="3"/>
  <c r="V106" i="3" s="1"/>
  <c r="W106" i="3" s="1"/>
  <c r="Z458" i="3"/>
  <c r="Z66" i="3"/>
  <c r="Z629" i="3"/>
  <c r="U629" i="3"/>
  <c r="V629" i="3" s="1"/>
  <c r="W629" i="3" s="1"/>
  <c r="Z437" i="3"/>
  <c r="Z285" i="3"/>
  <c r="Z261" i="3"/>
  <c r="U261" i="3"/>
  <c r="V261" i="3" s="1"/>
  <c r="U221" i="3"/>
  <c r="V221" i="3" s="1"/>
  <c r="Z221" i="3"/>
  <c r="U61" i="3"/>
  <c r="V61" i="3" s="1"/>
  <c r="Z61" i="3"/>
  <c r="Z612" i="3"/>
  <c r="Z596" i="3"/>
  <c r="U596" i="3"/>
  <c r="V596" i="3" s="1"/>
  <c r="Z580" i="3"/>
  <c r="Z556" i="3"/>
  <c r="U556" i="3"/>
  <c r="V556" i="3" s="1"/>
  <c r="Z540" i="3"/>
  <c r="Z524" i="3"/>
  <c r="U524" i="3"/>
  <c r="V524" i="3" s="1"/>
  <c r="Z508" i="3"/>
  <c r="Z484" i="3"/>
  <c r="Z460" i="3"/>
  <c r="Z444" i="3"/>
  <c r="U444" i="3"/>
  <c r="V444" i="3" s="1"/>
  <c r="Z428" i="3"/>
  <c r="U428" i="3"/>
  <c r="V428" i="3" s="1"/>
  <c r="Z412" i="3"/>
  <c r="U412" i="3"/>
  <c r="V412" i="3" s="1"/>
  <c r="W412" i="3" s="1"/>
  <c r="Z396" i="3"/>
  <c r="Z372" i="3"/>
  <c r="U372" i="3"/>
  <c r="V372" i="3" s="1"/>
  <c r="Z364" i="3"/>
  <c r="U364" i="3"/>
  <c r="V364" i="3" s="1"/>
  <c r="Z340" i="3"/>
  <c r="U340" i="3"/>
  <c r="V340" i="3" s="1"/>
  <c r="Z316" i="3"/>
  <c r="U316" i="3"/>
  <c r="V316" i="3" s="1"/>
  <c r="Z276" i="3"/>
  <c r="Z260" i="3"/>
  <c r="U260" i="3"/>
  <c r="V260" i="3" s="1"/>
  <c r="W260" i="3" s="1"/>
  <c r="Z252" i="3"/>
  <c r="U252" i="3"/>
  <c r="V252" i="3" s="1"/>
  <c r="Z180" i="3"/>
  <c r="Z164" i="3"/>
  <c r="U164" i="3"/>
  <c r="V164" i="3" s="1"/>
  <c r="Z140" i="3"/>
  <c r="U140" i="3"/>
  <c r="V140" i="3" s="1"/>
  <c r="Z116" i="3"/>
  <c r="U116" i="3"/>
  <c r="V116" i="3" s="1"/>
  <c r="Z84" i="3"/>
  <c r="U84" i="3"/>
  <c r="V84" i="3" s="1"/>
  <c r="Z68" i="3"/>
  <c r="U68" i="3"/>
  <c r="V68" i="3" s="1"/>
  <c r="Z52" i="3"/>
  <c r="U52" i="3"/>
  <c r="V52" i="3" s="1"/>
  <c r="Z28" i="3"/>
  <c r="U28" i="3"/>
  <c r="V28" i="3" s="1"/>
  <c r="W28" i="3" s="1"/>
  <c r="Z4" i="3"/>
  <c r="U4" i="3"/>
  <c r="V4" i="3" s="1"/>
  <c r="U442" i="3"/>
  <c r="V442" i="3" s="1"/>
  <c r="U292" i="3"/>
  <c r="V292" i="3" s="1"/>
  <c r="U162" i="3"/>
  <c r="V162" i="3" s="1"/>
  <c r="Z606" i="3"/>
  <c r="Z133" i="3"/>
  <c r="Z633" i="3"/>
  <c r="U633" i="3"/>
  <c r="V633" i="3" s="1"/>
  <c r="W633" i="3" s="1"/>
  <c r="Z625" i="3"/>
  <c r="U625" i="3"/>
  <c r="V625" i="3" s="1"/>
  <c r="Z617" i="3"/>
  <c r="Z609" i="3"/>
  <c r="Z601" i="3"/>
  <c r="U601" i="3"/>
  <c r="V601" i="3" s="1"/>
  <c r="W601" i="3" s="1"/>
  <c r="Z593" i="3"/>
  <c r="U593" i="3"/>
  <c r="V593" i="3" s="1"/>
  <c r="Z585" i="3"/>
  <c r="Z577" i="3"/>
  <c r="Z569" i="3"/>
  <c r="U569" i="3"/>
  <c r="V569" i="3" s="1"/>
  <c r="Z561" i="3"/>
  <c r="U561" i="3"/>
  <c r="V561" i="3" s="1"/>
  <c r="W561" i="3" s="1"/>
  <c r="Z553" i="3"/>
  <c r="Z545" i="3"/>
  <c r="Z537" i="3"/>
  <c r="U537" i="3"/>
  <c r="V537" i="3" s="1"/>
  <c r="Z529" i="3"/>
  <c r="U529" i="3"/>
  <c r="V529" i="3" s="1"/>
  <c r="Z521" i="3"/>
  <c r="Z505" i="3"/>
  <c r="U505" i="3"/>
  <c r="V505" i="3" s="1"/>
  <c r="W505" i="3" s="1"/>
  <c r="U497" i="3"/>
  <c r="V497" i="3" s="1"/>
  <c r="Z489" i="3"/>
  <c r="Z481" i="3"/>
  <c r="Z473" i="3"/>
  <c r="U473" i="3"/>
  <c r="V473" i="3" s="1"/>
  <c r="Z465" i="3"/>
  <c r="Z457" i="3"/>
  <c r="U457" i="3"/>
  <c r="V457" i="3" s="1"/>
  <c r="Z449" i="3"/>
  <c r="Z441" i="3"/>
  <c r="U441" i="3"/>
  <c r="V441" i="3" s="1"/>
  <c r="Z433" i="3"/>
  <c r="U433" i="3"/>
  <c r="V433" i="3" s="1"/>
  <c r="Z425" i="3"/>
  <c r="Z417" i="3"/>
  <c r="U417" i="3"/>
  <c r="V417" i="3" s="1"/>
  <c r="Z409" i="3"/>
  <c r="U409" i="3"/>
  <c r="V409" i="3" s="1"/>
  <c r="W409" i="3" s="1"/>
  <c r="Z401" i="3"/>
  <c r="Z393" i="3"/>
  <c r="U393" i="3"/>
  <c r="V393" i="3" s="1"/>
  <c r="U385" i="3"/>
  <c r="V385" i="3" s="1"/>
  <c r="W385" i="3" s="1"/>
  <c r="Z385" i="3"/>
  <c r="Z377" i="3"/>
  <c r="Z369" i="3"/>
  <c r="Z361" i="3"/>
  <c r="U361" i="3"/>
  <c r="V361" i="3" s="1"/>
  <c r="Z353" i="3"/>
  <c r="Z345" i="3"/>
  <c r="Z337" i="3"/>
  <c r="U337" i="3"/>
  <c r="V337" i="3" s="1"/>
  <c r="W337" i="3" s="1"/>
  <c r="Z329" i="3"/>
  <c r="U321" i="3"/>
  <c r="V321" i="3" s="1"/>
  <c r="W321" i="3" s="1"/>
  <c r="Z321" i="3"/>
  <c r="Z313" i="3"/>
  <c r="U313" i="3"/>
  <c r="V313" i="3" s="1"/>
  <c r="W313" i="3" s="1"/>
  <c r="Z305" i="3"/>
  <c r="U305" i="3"/>
  <c r="V305" i="3" s="1"/>
  <c r="Z297" i="3"/>
  <c r="U297" i="3"/>
  <c r="V297" i="3" s="1"/>
  <c r="W297" i="3" s="1"/>
  <c r="Z289" i="3"/>
  <c r="U289" i="3"/>
  <c r="V289" i="3" s="1"/>
  <c r="Z281" i="3"/>
  <c r="U281" i="3"/>
  <c r="V281" i="3" s="1"/>
  <c r="U273" i="3"/>
  <c r="V273" i="3" s="1"/>
  <c r="Z273" i="3"/>
  <c r="Z265" i="3"/>
  <c r="U265" i="3"/>
  <c r="V265" i="3" s="1"/>
  <c r="Z249" i="3"/>
  <c r="U249" i="3"/>
  <c r="V249" i="3" s="1"/>
  <c r="W249" i="3" s="1"/>
  <c r="Z241" i="3"/>
  <c r="U241" i="3"/>
  <c r="V241" i="3" s="1"/>
  <c r="U233" i="3"/>
  <c r="V233" i="3" s="1"/>
  <c r="W233" i="3" s="1"/>
  <c r="Z225" i="3"/>
  <c r="U225" i="3"/>
  <c r="V225" i="3" s="1"/>
  <c r="W225" i="3" s="1"/>
  <c r="Z217" i="3"/>
  <c r="U217" i="3"/>
  <c r="V217" i="3" s="1"/>
  <c r="Z209" i="3"/>
  <c r="U209" i="3"/>
  <c r="V209" i="3" s="1"/>
  <c r="Z201" i="3"/>
  <c r="U201" i="3"/>
  <c r="V201" i="3" s="1"/>
  <c r="Z193" i="3"/>
  <c r="Z185" i="3"/>
  <c r="U185" i="3"/>
  <c r="V185" i="3" s="1"/>
  <c r="Z177" i="3"/>
  <c r="U177" i="3"/>
  <c r="V177" i="3" s="1"/>
  <c r="U169" i="3"/>
  <c r="V169" i="3" s="1"/>
  <c r="Z169" i="3"/>
  <c r="Z161" i="3"/>
  <c r="Z153" i="3"/>
  <c r="U153" i="3"/>
  <c r="V153" i="3" s="1"/>
  <c r="Z145" i="3"/>
  <c r="U145" i="3"/>
  <c r="V145" i="3" s="1"/>
  <c r="W145" i="3" s="1"/>
  <c r="Z137" i="3"/>
  <c r="U137" i="3"/>
  <c r="V137" i="3" s="1"/>
  <c r="W137" i="3" s="1"/>
  <c r="Z129" i="3"/>
  <c r="Z121" i="3"/>
  <c r="U121" i="3"/>
  <c r="V121" i="3" s="1"/>
  <c r="Z113" i="3"/>
  <c r="U113" i="3"/>
  <c r="V113" i="3" s="1"/>
  <c r="Z105" i="3"/>
  <c r="U105" i="3"/>
  <c r="V105" i="3" s="1"/>
  <c r="W105" i="3" s="1"/>
  <c r="U613" i="3"/>
  <c r="V613" i="3" s="1"/>
  <c r="U577" i="3"/>
  <c r="V577" i="3" s="1"/>
  <c r="W577" i="3" s="1"/>
  <c r="U540" i="3"/>
  <c r="V540" i="3" s="1"/>
  <c r="W540" i="3" s="1"/>
  <c r="U517" i="3"/>
  <c r="V517" i="3" s="1"/>
  <c r="U453" i="3"/>
  <c r="V453" i="3" s="1"/>
  <c r="U436" i="3"/>
  <c r="V436" i="3" s="1"/>
  <c r="U329" i="3"/>
  <c r="V329" i="3" s="1"/>
  <c r="U285" i="3"/>
  <c r="V285" i="3" s="1"/>
  <c r="U193" i="3"/>
  <c r="V193" i="3" s="1"/>
  <c r="W193" i="3" s="1"/>
  <c r="Z422" i="3"/>
  <c r="Z65" i="3"/>
  <c r="Z525" i="3"/>
  <c r="U525" i="3"/>
  <c r="V525" i="3" s="1"/>
  <c r="Z485" i="3"/>
  <c r="Z477" i="3"/>
  <c r="U477" i="3"/>
  <c r="V477" i="3" s="1"/>
  <c r="Z445" i="3"/>
  <c r="U445" i="3"/>
  <c r="V445" i="3" s="1"/>
  <c r="Z421" i="3"/>
  <c r="U421" i="3"/>
  <c r="V421" i="3" s="1"/>
  <c r="Z245" i="3"/>
  <c r="Z229" i="3"/>
  <c r="U229" i="3"/>
  <c r="V229" i="3" s="1"/>
  <c r="Z205" i="3"/>
  <c r="U205" i="3"/>
  <c r="V205" i="3" s="1"/>
  <c r="U157" i="3"/>
  <c r="V157" i="3" s="1"/>
  <c r="Z157" i="3"/>
  <c r="Z37" i="3"/>
  <c r="U29" i="3"/>
  <c r="V29" i="3" s="1"/>
  <c r="Z29" i="3"/>
  <c r="Z5" i="3"/>
  <c r="U5" i="3"/>
  <c r="V5" i="3" s="1"/>
  <c r="U293" i="3"/>
  <c r="V293" i="3" s="1"/>
  <c r="Z168" i="3"/>
  <c r="Z461" i="3"/>
  <c r="Z627" i="3"/>
  <c r="Z611" i="3"/>
  <c r="U611" i="3"/>
  <c r="V611" i="3" s="1"/>
  <c r="W611" i="3" s="1"/>
  <c r="Z595" i="3"/>
  <c r="Z579" i="3"/>
  <c r="U579" i="3"/>
  <c r="V579" i="3" s="1"/>
  <c r="Z563" i="3"/>
  <c r="Z555" i="3"/>
  <c r="U555" i="3"/>
  <c r="V555" i="3" s="1"/>
  <c r="Z539" i="3"/>
  <c r="Z523" i="3"/>
  <c r="U523" i="3"/>
  <c r="V523" i="3" s="1"/>
  <c r="Z515" i="3"/>
  <c r="U515" i="3"/>
  <c r="V515" i="3" s="1"/>
  <c r="Z499" i="3"/>
  <c r="Z491" i="3"/>
  <c r="U491" i="3"/>
  <c r="V491" i="3" s="1"/>
  <c r="Z483" i="3"/>
  <c r="U483" i="3"/>
  <c r="V483" i="3" s="1"/>
  <c r="Z467" i="3"/>
  <c r="U467" i="3"/>
  <c r="V467" i="3" s="1"/>
  <c r="W467" i="3" s="1"/>
  <c r="Z443" i="3"/>
  <c r="Z419" i="3"/>
  <c r="Z411" i="3"/>
  <c r="U411" i="3"/>
  <c r="V411" i="3" s="1"/>
  <c r="W411" i="3" s="1"/>
  <c r="U403" i="3"/>
  <c r="V403" i="3" s="1"/>
  <c r="Z403" i="3"/>
  <c r="Z387" i="3"/>
  <c r="U387" i="3"/>
  <c r="V387" i="3" s="1"/>
  <c r="Z371" i="3"/>
  <c r="U371" i="3"/>
  <c r="V371" i="3" s="1"/>
  <c r="W371" i="3" s="1"/>
  <c r="Z355" i="3"/>
  <c r="U355" i="3"/>
  <c r="V355" i="3" s="1"/>
  <c r="W355" i="3" s="1"/>
  <c r="Z339" i="3"/>
  <c r="U339" i="3"/>
  <c r="V339" i="3" s="1"/>
  <c r="Z323" i="3"/>
  <c r="U323" i="3"/>
  <c r="V323" i="3" s="1"/>
  <c r="Z299" i="3"/>
  <c r="U299" i="3"/>
  <c r="V299" i="3" s="1"/>
  <c r="Z283" i="3"/>
  <c r="U283" i="3"/>
  <c r="V283" i="3" s="1"/>
  <c r="W283" i="3" s="1"/>
  <c r="Z267" i="3"/>
  <c r="Z251" i="3"/>
  <c r="U251" i="3"/>
  <c r="V251" i="3" s="1"/>
  <c r="Z219" i="3"/>
  <c r="Z203" i="3"/>
  <c r="U203" i="3"/>
  <c r="V203" i="3" s="1"/>
  <c r="Z195" i="3"/>
  <c r="U195" i="3"/>
  <c r="V195" i="3" s="1"/>
  <c r="Z187" i="3"/>
  <c r="U187" i="3"/>
  <c r="V187" i="3" s="1"/>
  <c r="Z147" i="3"/>
  <c r="Z131" i="3"/>
  <c r="U131" i="3"/>
  <c r="V131" i="3" s="1"/>
  <c r="Z123" i="3"/>
  <c r="U123" i="3"/>
  <c r="V123" i="3" s="1"/>
  <c r="Z115" i="3"/>
  <c r="U115" i="3"/>
  <c r="V115" i="3" s="1"/>
  <c r="Z107" i="3"/>
  <c r="U107" i="3"/>
  <c r="V107" i="3" s="1"/>
  <c r="Z99" i="3"/>
  <c r="U99" i="3"/>
  <c r="V99" i="3" s="1"/>
  <c r="Z83" i="3"/>
  <c r="U83" i="3"/>
  <c r="V83" i="3" s="1"/>
  <c r="Z67" i="3"/>
  <c r="U67" i="3"/>
  <c r="V67" i="3" s="1"/>
  <c r="Z51" i="3"/>
  <c r="U51" i="3"/>
  <c r="V51" i="3" s="1"/>
  <c r="Z27" i="3"/>
  <c r="U27" i="3"/>
  <c r="V27" i="3" s="1"/>
  <c r="W27" i="3" s="1"/>
  <c r="Z19" i="3"/>
  <c r="U19" i="3"/>
  <c r="V19" i="3" s="1"/>
  <c r="U604" i="3"/>
  <c r="V604" i="3" s="1"/>
  <c r="U581" i="3"/>
  <c r="V581" i="3" s="1"/>
  <c r="U484" i="3"/>
  <c r="V484" i="3" s="1"/>
  <c r="W484" i="3" s="1"/>
  <c r="U408" i="3"/>
  <c r="V408" i="3" s="1"/>
  <c r="U376" i="3"/>
  <c r="V376" i="3" s="1"/>
  <c r="W376" i="3" s="1"/>
  <c r="Z312" i="3"/>
  <c r="Z632" i="3"/>
  <c r="U632" i="3"/>
  <c r="V632" i="3" s="1"/>
  <c r="Z624" i="3"/>
  <c r="U624" i="3"/>
  <c r="V624" i="3" s="1"/>
  <c r="W624" i="3" s="1"/>
  <c r="Z616" i="3"/>
  <c r="Z608" i="3"/>
  <c r="Z600" i="3"/>
  <c r="U600" i="3"/>
  <c r="V600" i="3" s="1"/>
  <c r="Z592" i="3"/>
  <c r="U592" i="3"/>
  <c r="V592" i="3" s="1"/>
  <c r="Z584" i="3"/>
  <c r="U584" i="3"/>
  <c r="V584" i="3" s="1"/>
  <c r="W584" i="3" s="1"/>
  <c r="Z576" i="3"/>
  <c r="U568" i="3"/>
  <c r="V568" i="3" s="1"/>
  <c r="Z560" i="3"/>
  <c r="U560" i="3"/>
  <c r="V560" i="3" s="1"/>
  <c r="U552" i="3"/>
  <c r="V552" i="3" s="1"/>
  <c r="W552" i="3" s="1"/>
  <c r="Z544" i="3"/>
  <c r="Z536" i="3"/>
  <c r="U536" i="3"/>
  <c r="V536" i="3" s="1"/>
  <c r="Z528" i="3"/>
  <c r="U528" i="3"/>
  <c r="V528" i="3" s="1"/>
  <c r="Z520" i="3"/>
  <c r="U520" i="3"/>
  <c r="V520" i="3" s="1"/>
  <c r="Z512" i="3"/>
  <c r="Z504" i="3"/>
  <c r="U504" i="3"/>
  <c r="V504" i="3" s="1"/>
  <c r="U496" i="3"/>
  <c r="V496" i="3" s="1"/>
  <c r="W496" i="3" s="1"/>
  <c r="Z496" i="3"/>
  <c r="Z488" i="3"/>
  <c r="U488" i="3"/>
  <c r="V488" i="3" s="1"/>
  <c r="W488" i="3" s="1"/>
  <c r="Z480" i="3"/>
  <c r="Z472" i="3"/>
  <c r="U472" i="3"/>
  <c r="V472" i="3" s="1"/>
  <c r="Z464" i="3"/>
  <c r="U464" i="3"/>
  <c r="V464" i="3" s="1"/>
  <c r="Z456" i="3"/>
  <c r="U456" i="3"/>
  <c r="V456" i="3" s="1"/>
  <c r="Z448" i="3"/>
  <c r="Z440" i="3"/>
  <c r="U440" i="3"/>
  <c r="V440" i="3" s="1"/>
  <c r="Z432" i="3"/>
  <c r="U432" i="3"/>
  <c r="V432" i="3" s="1"/>
  <c r="Z424" i="3"/>
  <c r="Z416" i="3"/>
  <c r="U416" i="3"/>
  <c r="V416" i="3" s="1"/>
  <c r="Z408" i="3"/>
  <c r="Z400" i="3"/>
  <c r="U400" i="3"/>
  <c r="V400" i="3" s="1"/>
  <c r="Z392" i="3"/>
  <c r="U392" i="3"/>
  <c r="V392" i="3" s="1"/>
  <c r="W392" i="3" s="1"/>
  <c r="Z384" i="3"/>
  <c r="Z376" i="3"/>
  <c r="U360" i="3"/>
  <c r="V360" i="3" s="1"/>
  <c r="W360" i="3" s="1"/>
  <c r="Z360" i="3"/>
  <c r="Z352" i="3"/>
  <c r="Z344" i="3"/>
  <c r="U344" i="3"/>
  <c r="V344" i="3" s="1"/>
  <c r="Z336" i="3"/>
  <c r="Z328" i="3"/>
  <c r="U320" i="3"/>
  <c r="V320" i="3" s="1"/>
  <c r="Z320" i="3"/>
  <c r="Z304" i="3"/>
  <c r="U304" i="3"/>
  <c r="V304" i="3" s="1"/>
  <c r="W304" i="3" s="1"/>
  <c r="Z296" i="3"/>
  <c r="U296" i="3"/>
  <c r="V296" i="3" s="1"/>
  <c r="Z288" i="3"/>
  <c r="U288" i="3"/>
  <c r="V288" i="3" s="1"/>
  <c r="Z280" i="3"/>
  <c r="U280" i="3"/>
  <c r="V280" i="3" s="1"/>
  <c r="U272" i="3"/>
  <c r="V272" i="3" s="1"/>
  <c r="Z272" i="3"/>
  <c r="Z264" i="3"/>
  <c r="Z256" i="3"/>
  <c r="Z248" i="3"/>
  <c r="Z240" i="3"/>
  <c r="U240" i="3"/>
  <c r="V240" i="3" s="1"/>
  <c r="W240" i="3" s="1"/>
  <c r="Z232" i="3"/>
  <c r="Z224" i="3"/>
  <c r="U224" i="3"/>
  <c r="V224" i="3" s="1"/>
  <c r="Z216" i="3"/>
  <c r="U216" i="3"/>
  <c r="V216" i="3" s="1"/>
  <c r="Z208" i="3"/>
  <c r="U208" i="3"/>
  <c r="V208" i="3" s="1"/>
  <c r="Z200" i="3"/>
  <c r="U200" i="3"/>
  <c r="V200" i="3" s="1"/>
  <c r="Z192" i="3"/>
  <c r="U192" i="3"/>
  <c r="V192" i="3" s="1"/>
  <c r="Z184" i="3"/>
  <c r="U184" i="3"/>
  <c r="V184" i="3" s="1"/>
  <c r="Z176" i="3"/>
  <c r="U176" i="3"/>
  <c r="V176" i="3" s="1"/>
  <c r="U168" i="3"/>
  <c r="V168" i="3" s="1"/>
  <c r="Z160" i="3"/>
  <c r="U160" i="3"/>
  <c r="V160" i="3" s="1"/>
  <c r="Z152" i="3"/>
  <c r="U152" i="3"/>
  <c r="V152" i="3" s="1"/>
  <c r="Z144" i="3"/>
  <c r="U144" i="3"/>
  <c r="V144" i="3" s="1"/>
  <c r="Z136" i="3"/>
  <c r="U136" i="3"/>
  <c r="V136" i="3" s="1"/>
  <c r="Z128" i="3"/>
  <c r="Z120" i="3"/>
  <c r="U120" i="3"/>
  <c r="V120" i="3" s="1"/>
  <c r="U112" i="3"/>
  <c r="V112" i="3" s="1"/>
  <c r="W112" i="3" s="1"/>
  <c r="Z112" i="3"/>
  <c r="Z104" i="3"/>
  <c r="U56" i="3"/>
  <c r="V56" i="3" s="1"/>
  <c r="U612" i="3"/>
  <c r="V612" i="3" s="1"/>
  <c r="U576" i="3"/>
  <c r="V576" i="3" s="1"/>
  <c r="U563" i="3"/>
  <c r="V563" i="3" s="1"/>
  <c r="U553" i="3"/>
  <c r="V553" i="3" s="1"/>
  <c r="U516" i="3"/>
  <c r="V516" i="3" s="1"/>
  <c r="U490" i="3"/>
  <c r="V490" i="3" s="1"/>
  <c r="U465" i="3"/>
  <c r="V465" i="3" s="1"/>
  <c r="U449" i="3"/>
  <c r="V449" i="3" s="1"/>
  <c r="W449" i="3" s="1"/>
  <c r="U402" i="3"/>
  <c r="V402" i="3" s="1"/>
  <c r="U388" i="3"/>
  <c r="V388" i="3" s="1"/>
  <c r="U369" i="3"/>
  <c r="V369" i="3" s="1"/>
  <c r="U346" i="3"/>
  <c r="V346" i="3" s="1"/>
  <c r="W346" i="3" s="1"/>
  <c r="U328" i="3"/>
  <c r="V328" i="3" s="1"/>
  <c r="W328" i="3" s="1"/>
  <c r="U277" i="3"/>
  <c r="V277" i="3" s="1"/>
  <c r="U219" i="3"/>
  <c r="V219" i="3" s="1"/>
  <c r="U181" i="3"/>
  <c r="V181" i="3" s="1"/>
  <c r="Z56" i="3"/>
  <c r="Z597" i="3"/>
  <c r="U597" i="3"/>
  <c r="V597" i="3" s="1"/>
  <c r="Z589" i="3"/>
  <c r="U589" i="3"/>
  <c r="V589" i="3" s="1"/>
  <c r="Z573" i="3"/>
  <c r="U573" i="3"/>
  <c r="V573" i="3" s="1"/>
  <c r="Z557" i="3"/>
  <c r="U557" i="3"/>
  <c r="V557" i="3" s="1"/>
  <c r="Z533" i="3"/>
  <c r="U533" i="3"/>
  <c r="V533" i="3" s="1"/>
  <c r="Z413" i="3"/>
  <c r="Z397" i="3"/>
  <c r="Z389" i="3"/>
  <c r="U389" i="3"/>
  <c r="V389" i="3" s="1"/>
  <c r="Z381" i="3"/>
  <c r="U381" i="3"/>
  <c r="V381" i="3" s="1"/>
  <c r="Z373" i="3"/>
  <c r="U373" i="3"/>
  <c r="V373" i="3" s="1"/>
  <c r="Z365" i="3"/>
  <c r="U365" i="3"/>
  <c r="V365" i="3" s="1"/>
  <c r="Z357" i="3"/>
  <c r="U357" i="3"/>
  <c r="V357" i="3" s="1"/>
  <c r="U349" i="3"/>
  <c r="V349" i="3" s="1"/>
  <c r="Z349" i="3"/>
  <c r="Z341" i="3"/>
  <c r="U341" i="3"/>
  <c r="V341" i="3" s="1"/>
  <c r="U333" i="3"/>
  <c r="V333" i="3" s="1"/>
  <c r="Z333" i="3"/>
  <c r="Z325" i="3"/>
  <c r="U325" i="3"/>
  <c r="V325" i="3" s="1"/>
  <c r="W325" i="3" s="1"/>
  <c r="Z317" i="3"/>
  <c r="U317" i="3"/>
  <c r="V317" i="3" s="1"/>
  <c r="Z301" i="3"/>
  <c r="U301" i="3"/>
  <c r="V301" i="3" s="1"/>
  <c r="Z21" i="3"/>
  <c r="U21" i="3"/>
  <c r="V21" i="3" s="1"/>
  <c r="U522" i="3"/>
  <c r="V522" i="3" s="1"/>
  <c r="W522" i="3" s="1"/>
  <c r="U397" i="3"/>
  <c r="V397" i="3" s="1"/>
  <c r="Z367" i="3"/>
  <c r="Z452" i="3"/>
  <c r="U452" i="3"/>
  <c r="V452" i="3" s="1"/>
  <c r="Z619" i="3"/>
  <c r="U619" i="3"/>
  <c r="V619" i="3" s="1"/>
  <c r="W619" i="3" s="1"/>
  <c r="Z603" i="3"/>
  <c r="U587" i="3"/>
  <c r="V587" i="3" s="1"/>
  <c r="Z587" i="3"/>
  <c r="Z571" i="3"/>
  <c r="Z547" i="3"/>
  <c r="U547" i="3"/>
  <c r="V547" i="3" s="1"/>
  <c r="Z531" i="3"/>
  <c r="Z507" i="3"/>
  <c r="Z475" i="3"/>
  <c r="Z451" i="3"/>
  <c r="U451" i="3"/>
  <c r="V451" i="3" s="1"/>
  <c r="Z435" i="3"/>
  <c r="Z427" i="3"/>
  <c r="U427" i="3"/>
  <c r="V427" i="3" s="1"/>
  <c r="W427" i="3" s="1"/>
  <c r="Z395" i="3"/>
  <c r="Z379" i="3"/>
  <c r="U379" i="3"/>
  <c r="V379" i="3" s="1"/>
  <c r="Z363" i="3"/>
  <c r="U363" i="3"/>
  <c r="V363" i="3" s="1"/>
  <c r="Z347" i="3"/>
  <c r="U347" i="3"/>
  <c r="V347" i="3" s="1"/>
  <c r="U331" i="3"/>
  <c r="V331" i="3" s="1"/>
  <c r="Z331" i="3"/>
  <c r="Z315" i="3"/>
  <c r="U315" i="3"/>
  <c r="V315" i="3" s="1"/>
  <c r="W315" i="3" s="1"/>
  <c r="Z307" i="3"/>
  <c r="U307" i="3"/>
  <c r="V307" i="3" s="1"/>
  <c r="Z291" i="3"/>
  <c r="U291" i="3"/>
  <c r="V291" i="3" s="1"/>
  <c r="Z275" i="3"/>
  <c r="Z259" i="3"/>
  <c r="U259" i="3"/>
  <c r="V259" i="3" s="1"/>
  <c r="Z243" i="3"/>
  <c r="U243" i="3"/>
  <c r="V243" i="3" s="1"/>
  <c r="Z235" i="3"/>
  <c r="U235" i="3"/>
  <c r="V235" i="3" s="1"/>
  <c r="Z227" i="3"/>
  <c r="U227" i="3"/>
  <c r="V227" i="3" s="1"/>
  <c r="Z211" i="3"/>
  <c r="U211" i="3"/>
  <c r="V211" i="3" s="1"/>
  <c r="Z179" i="3"/>
  <c r="Z171" i="3"/>
  <c r="U171" i="3"/>
  <c r="V171" i="3" s="1"/>
  <c r="Z163" i="3"/>
  <c r="U163" i="3"/>
  <c r="V163" i="3" s="1"/>
  <c r="Z155" i="3"/>
  <c r="U155" i="3"/>
  <c r="V155" i="3" s="1"/>
  <c r="Z139" i="3"/>
  <c r="U139" i="3"/>
  <c r="V139" i="3" s="1"/>
  <c r="Z91" i="3"/>
  <c r="Z75" i="3"/>
  <c r="U75" i="3"/>
  <c r="V75" i="3" s="1"/>
  <c r="Z59" i="3"/>
  <c r="U59" i="3"/>
  <c r="V59" i="3" s="1"/>
  <c r="Z43" i="3"/>
  <c r="U43" i="3"/>
  <c r="V43" i="3" s="1"/>
  <c r="Z35" i="3"/>
  <c r="U35" i="3"/>
  <c r="V35" i="3" s="1"/>
  <c r="Z11" i="3"/>
  <c r="U11" i="3"/>
  <c r="V11" i="3" s="1"/>
  <c r="U616" i="3"/>
  <c r="V616" i="3" s="1"/>
  <c r="U594" i="3"/>
  <c r="V594" i="3" s="1"/>
  <c r="U544" i="3"/>
  <c r="V544" i="3" s="1"/>
  <c r="W544" i="3" s="1"/>
  <c r="U521" i="3"/>
  <c r="V521" i="3" s="1"/>
  <c r="U425" i="3"/>
  <c r="V425" i="3" s="1"/>
  <c r="U395" i="3"/>
  <c r="V395" i="3" s="1"/>
  <c r="U264" i="3"/>
  <c r="V264" i="3" s="1"/>
  <c r="U232" i="3"/>
  <c r="V232" i="3" s="1"/>
  <c r="W232" i="3" s="1"/>
  <c r="U161" i="3"/>
  <c r="V161" i="3" s="1"/>
  <c r="Z631" i="3"/>
  <c r="Z623" i="3"/>
  <c r="U623" i="3"/>
  <c r="V623" i="3" s="1"/>
  <c r="Z615" i="3"/>
  <c r="U615" i="3"/>
  <c r="V615" i="3" s="1"/>
  <c r="U607" i="3"/>
  <c r="V607" i="3" s="1"/>
  <c r="W607" i="3" s="1"/>
  <c r="Z599" i="3"/>
  <c r="Z591" i="3"/>
  <c r="U591" i="3"/>
  <c r="V591" i="3" s="1"/>
  <c r="W591" i="3" s="1"/>
  <c r="Z583" i="3"/>
  <c r="U583" i="3"/>
  <c r="V583" i="3" s="1"/>
  <c r="Z575" i="3"/>
  <c r="U575" i="3"/>
  <c r="V575" i="3" s="1"/>
  <c r="Z567" i="3"/>
  <c r="Z559" i="3"/>
  <c r="U559" i="3"/>
  <c r="V559" i="3" s="1"/>
  <c r="U551" i="3"/>
  <c r="V551" i="3" s="1"/>
  <c r="Z543" i="3"/>
  <c r="U543" i="3"/>
  <c r="V543" i="3" s="1"/>
  <c r="Z535" i="3"/>
  <c r="Z527" i="3"/>
  <c r="U527" i="3"/>
  <c r="V527" i="3" s="1"/>
  <c r="Z519" i="3"/>
  <c r="U519" i="3"/>
  <c r="V519" i="3" s="1"/>
  <c r="Z511" i="3"/>
  <c r="U511" i="3"/>
  <c r="V511" i="3" s="1"/>
  <c r="Z503" i="3"/>
  <c r="U495" i="3"/>
  <c r="V495" i="3" s="1"/>
  <c r="Z495" i="3"/>
  <c r="Z487" i="3"/>
  <c r="U487" i="3"/>
  <c r="V487" i="3" s="1"/>
  <c r="Z479" i="3"/>
  <c r="U479" i="3"/>
  <c r="V479" i="3" s="1"/>
  <c r="W479" i="3" s="1"/>
  <c r="Z471" i="3"/>
  <c r="Z463" i="3"/>
  <c r="U463" i="3"/>
  <c r="V463" i="3" s="1"/>
  <c r="W463" i="3" s="1"/>
  <c r="Z455" i="3"/>
  <c r="U455" i="3"/>
  <c r="V455" i="3" s="1"/>
  <c r="Z447" i="3"/>
  <c r="Z439" i="3"/>
  <c r="U439" i="3"/>
  <c r="V439" i="3" s="1"/>
  <c r="Z431" i="3"/>
  <c r="Z423" i="3"/>
  <c r="U423" i="3"/>
  <c r="V423" i="3" s="1"/>
  <c r="Z415" i="3"/>
  <c r="U415" i="3"/>
  <c r="V415" i="3" s="1"/>
  <c r="Z407" i="3"/>
  <c r="Z399" i="3"/>
  <c r="U399" i="3"/>
  <c r="V399" i="3" s="1"/>
  <c r="Z391" i="3"/>
  <c r="U391" i="3"/>
  <c r="V391" i="3" s="1"/>
  <c r="Z383" i="3"/>
  <c r="U383" i="3"/>
  <c r="V383" i="3" s="1"/>
  <c r="Z375" i="3"/>
  <c r="U367" i="3"/>
  <c r="V367" i="3" s="1"/>
  <c r="Z359" i="3"/>
  <c r="U351" i="3"/>
  <c r="V351" i="3" s="1"/>
  <c r="Z343" i="3"/>
  <c r="U343" i="3"/>
  <c r="V343" i="3" s="1"/>
  <c r="Z335" i="3"/>
  <c r="Z327" i="3"/>
  <c r="U327" i="3"/>
  <c r="V327" i="3" s="1"/>
  <c r="Z319" i="3"/>
  <c r="Z311" i="3"/>
  <c r="Z303" i="3"/>
  <c r="U303" i="3"/>
  <c r="V303" i="3" s="1"/>
  <c r="Z295" i="3"/>
  <c r="Z287" i="3"/>
  <c r="U287" i="3"/>
  <c r="V287" i="3" s="1"/>
  <c r="Z279" i="3"/>
  <c r="U279" i="3"/>
  <c r="V279" i="3" s="1"/>
  <c r="Z271" i="3"/>
  <c r="U271" i="3"/>
  <c r="V271" i="3" s="1"/>
  <c r="Z263" i="3"/>
  <c r="U263" i="3"/>
  <c r="V263" i="3" s="1"/>
  <c r="Z255" i="3"/>
  <c r="Z247" i="3"/>
  <c r="U247" i="3"/>
  <c r="V247" i="3" s="1"/>
  <c r="Z239" i="3"/>
  <c r="U239" i="3"/>
  <c r="V239" i="3" s="1"/>
  <c r="W239" i="3" s="1"/>
  <c r="Z231" i="3"/>
  <c r="Z223" i="3"/>
  <c r="Z215" i="3"/>
  <c r="U215" i="3"/>
  <c r="V215" i="3" s="1"/>
  <c r="Z207" i="3"/>
  <c r="U207" i="3"/>
  <c r="V207" i="3" s="1"/>
  <c r="Z199" i="3"/>
  <c r="U199" i="3"/>
  <c r="V199" i="3" s="1"/>
  <c r="W199" i="3" s="1"/>
  <c r="Z191" i="3"/>
  <c r="U191" i="3"/>
  <c r="V191" i="3" s="1"/>
  <c r="Z183" i="3"/>
  <c r="U183" i="3"/>
  <c r="V183" i="3" s="1"/>
  <c r="Z175" i="3"/>
  <c r="U175" i="3"/>
  <c r="V175" i="3" s="1"/>
  <c r="Z167" i="3"/>
  <c r="U167" i="3"/>
  <c r="V167" i="3" s="1"/>
  <c r="Z159" i="3"/>
  <c r="U159" i="3"/>
  <c r="V159" i="3" s="1"/>
  <c r="Z151" i="3"/>
  <c r="U151" i="3"/>
  <c r="V151" i="3" s="1"/>
  <c r="Z143" i="3"/>
  <c r="U143" i="3"/>
  <c r="V143" i="3" s="1"/>
  <c r="Z135" i="3"/>
  <c r="U135" i="3"/>
  <c r="V135" i="3" s="1"/>
  <c r="Z127" i="3"/>
  <c r="Z119" i="3"/>
  <c r="U119" i="3"/>
  <c r="V119" i="3" s="1"/>
  <c r="Z111" i="3"/>
  <c r="U111" i="3"/>
  <c r="V111" i="3" s="1"/>
  <c r="Z103" i="3"/>
  <c r="U103" i="3"/>
  <c r="V103" i="3" s="1"/>
  <c r="Z95" i="3"/>
  <c r="U95" i="3"/>
  <c r="V95" i="3" s="1"/>
  <c r="Z87" i="3"/>
  <c r="U87" i="3"/>
  <c r="V87" i="3" s="1"/>
  <c r="Z79" i="3"/>
  <c r="U79" i="3"/>
  <c r="V79" i="3" s="1"/>
  <c r="Z71" i="3"/>
  <c r="U71" i="3"/>
  <c r="V71" i="3" s="1"/>
  <c r="Z63" i="3"/>
  <c r="U63" i="3"/>
  <c r="V63" i="3" s="1"/>
  <c r="Z55" i="3"/>
  <c r="U55" i="3"/>
  <c r="V55" i="3" s="1"/>
  <c r="W55" i="3" s="1"/>
  <c r="Z47" i="3"/>
  <c r="U47" i="3"/>
  <c r="V47" i="3" s="1"/>
  <c r="Z39" i="3"/>
  <c r="U39" i="3"/>
  <c r="V39" i="3" s="1"/>
  <c r="W39" i="3" s="1"/>
  <c r="Z31" i="3"/>
  <c r="U31" i="3"/>
  <c r="V31" i="3" s="1"/>
  <c r="Z23" i="3"/>
  <c r="U23" i="3"/>
  <c r="V23" i="3" s="1"/>
  <c r="Z15" i="3"/>
  <c r="U15" i="3"/>
  <c r="V15" i="3" s="1"/>
  <c r="Z7" i="3"/>
  <c r="U7" i="3"/>
  <c r="V7" i="3" s="1"/>
  <c r="U621" i="3"/>
  <c r="V621" i="3" s="1"/>
  <c r="W621" i="3" s="1"/>
  <c r="U599" i="3"/>
  <c r="V599" i="3" s="1"/>
  <c r="W599" i="3" s="1"/>
  <c r="U586" i="3"/>
  <c r="V586" i="3" s="1"/>
  <c r="W586" i="3" s="1"/>
  <c r="U539" i="3"/>
  <c r="V539" i="3" s="1"/>
  <c r="W539" i="3" s="1"/>
  <c r="U513" i="3"/>
  <c r="V513" i="3" s="1"/>
  <c r="W513" i="3" s="1"/>
  <c r="U476" i="3"/>
  <c r="V476" i="3" s="1"/>
  <c r="W476" i="3" s="1"/>
  <c r="U448" i="3"/>
  <c r="V448" i="3" s="1"/>
  <c r="U431" i="3"/>
  <c r="V431" i="3" s="1"/>
  <c r="U418" i="3"/>
  <c r="V418" i="3" s="1"/>
  <c r="W418" i="3" s="1"/>
  <c r="U384" i="3"/>
  <c r="V384" i="3" s="1"/>
  <c r="U368" i="3"/>
  <c r="V368" i="3" s="1"/>
  <c r="U319" i="3"/>
  <c r="V319" i="3" s="1"/>
  <c r="U276" i="3"/>
  <c r="V276" i="3" s="1"/>
  <c r="U248" i="3"/>
  <c r="V248" i="3" s="1"/>
  <c r="U180" i="3"/>
  <c r="V180" i="3" s="1"/>
  <c r="U129" i="3"/>
  <c r="V129" i="3" s="1"/>
  <c r="Z514" i="3"/>
  <c r="Z405" i="3"/>
  <c r="Z234" i="3"/>
  <c r="Z630" i="3"/>
  <c r="Z622" i="3"/>
  <c r="Z614" i="3"/>
  <c r="U614" i="3"/>
  <c r="V614" i="3" s="1"/>
  <c r="U606" i="3"/>
  <c r="V606" i="3" s="1"/>
  <c r="Z598" i="3"/>
  <c r="U598" i="3"/>
  <c r="V598" i="3" s="1"/>
  <c r="Z590" i="3"/>
  <c r="Z582" i="3"/>
  <c r="U582" i="3"/>
  <c r="V582" i="3" s="1"/>
  <c r="W582" i="3" s="1"/>
  <c r="Z574" i="3"/>
  <c r="U574" i="3"/>
  <c r="V574" i="3" s="1"/>
  <c r="Z566" i="3"/>
  <c r="U566" i="3"/>
  <c r="V566" i="3" s="1"/>
  <c r="Z558" i="3"/>
  <c r="U550" i="3"/>
  <c r="V550" i="3" s="1"/>
  <c r="W550" i="3" s="1"/>
  <c r="Z550" i="3"/>
  <c r="Z542" i="3"/>
  <c r="U542" i="3"/>
  <c r="V542" i="3" s="1"/>
  <c r="W542" i="3" s="1"/>
  <c r="Z534" i="3"/>
  <c r="U534" i="3"/>
  <c r="V534" i="3" s="1"/>
  <c r="Z526" i="3"/>
  <c r="Z518" i="3"/>
  <c r="U518" i="3"/>
  <c r="V518" i="3" s="1"/>
  <c r="Z510" i="3"/>
  <c r="U510" i="3"/>
  <c r="V510" i="3" s="1"/>
  <c r="Z502" i="3"/>
  <c r="U502" i="3"/>
  <c r="V502" i="3" s="1"/>
  <c r="Z494" i="3"/>
  <c r="Z486" i="3"/>
  <c r="U486" i="3"/>
  <c r="V486" i="3" s="1"/>
  <c r="W486" i="3" s="1"/>
  <c r="Z478" i="3"/>
  <c r="U478" i="3"/>
  <c r="V478" i="3" s="1"/>
  <c r="W478" i="3" s="1"/>
  <c r="Z470" i="3"/>
  <c r="U470" i="3"/>
  <c r="V470" i="3" s="1"/>
  <c r="Z462" i="3"/>
  <c r="U462" i="3"/>
  <c r="V462" i="3" s="1"/>
  <c r="W462" i="3" s="1"/>
  <c r="Z454" i="3"/>
  <c r="Z446" i="3"/>
  <c r="U446" i="3"/>
  <c r="V446" i="3" s="1"/>
  <c r="Z438" i="3"/>
  <c r="U438" i="3"/>
  <c r="V438" i="3" s="1"/>
  <c r="Z430" i="3"/>
  <c r="U422" i="3"/>
  <c r="V422" i="3" s="1"/>
  <c r="W422" i="3" s="1"/>
  <c r="Z414" i="3"/>
  <c r="U406" i="3"/>
  <c r="V406" i="3" s="1"/>
  <c r="W406" i="3" s="1"/>
  <c r="Z398" i="3"/>
  <c r="U398" i="3"/>
  <c r="V398" i="3" s="1"/>
  <c r="W398" i="3" s="1"/>
  <c r="Z390" i="3"/>
  <c r="Z382" i="3"/>
  <c r="Z374" i="3"/>
  <c r="U374" i="3"/>
  <c r="V374" i="3" s="1"/>
  <c r="U366" i="3"/>
  <c r="V366" i="3" s="1"/>
  <c r="W366" i="3" s="1"/>
  <c r="Z366" i="3"/>
  <c r="Z358" i="3"/>
  <c r="U358" i="3"/>
  <c r="V358" i="3" s="1"/>
  <c r="W358" i="3" s="1"/>
  <c r="U350" i="3"/>
  <c r="V350" i="3" s="1"/>
  <c r="W350" i="3" s="1"/>
  <c r="Z350" i="3"/>
  <c r="Z342" i="3"/>
  <c r="U342" i="3"/>
  <c r="V342" i="3" s="1"/>
  <c r="W342" i="3" s="1"/>
  <c r="Z334" i="3"/>
  <c r="U334" i="3"/>
  <c r="V334" i="3" s="1"/>
  <c r="W334" i="3" s="1"/>
  <c r="Z326" i="3"/>
  <c r="U326" i="3"/>
  <c r="V326" i="3" s="1"/>
  <c r="Z318" i="3"/>
  <c r="U310" i="3"/>
  <c r="V310" i="3" s="1"/>
  <c r="Z302" i="3"/>
  <c r="Z294" i="3"/>
  <c r="U294" i="3"/>
  <c r="V294" i="3" s="1"/>
  <c r="W294" i="3" s="1"/>
  <c r="Z286" i="3"/>
  <c r="Z278" i="3"/>
  <c r="U278" i="3"/>
  <c r="V278" i="3" s="1"/>
  <c r="W278" i="3" s="1"/>
  <c r="Z270" i="3"/>
  <c r="U270" i="3"/>
  <c r="V270" i="3" s="1"/>
  <c r="Z262" i="3"/>
  <c r="U262" i="3"/>
  <c r="V262" i="3" s="1"/>
  <c r="Z254" i="3"/>
  <c r="U254" i="3"/>
  <c r="V254" i="3" s="1"/>
  <c r="U246" i="3"/>
  <c r="V246" i="3" s="1"/>
  <c r="W246" i="3" s="1"/>
  <c r="Z246" i="3"/>
  <c r="Z238" i="3"/>
  <c r="U238" i="3"/>
  <c r="V238" i="3" s="1"/>
  <c r="W238" i="3" s="1"/>
  <c r="Z230" i="3"/>
  <c r="U230" i="3"/>
  <c r="V230" i="3" s="1"/>
  <c r="U222" i="3"/>
  <c r="V222" i="3" s="1"/>
  <c r="Z222" i="3"/>
  <c r="Z214" i="3"/>
  <c r="U214" i="3"/>
  <c r="V214" i="3" s="1"/>
  <c r="W214" i="3" s="1"/>
  <c r="Z206" i="3"/>
  <c r="Z198" i="3"/>
  <c r="Z190" i="3"/>
  <c r="U190" i="3"/>
  <c r="V190" i="3" s="1"/>
  <c r="U182" i="3"/>
  <c r="V182" i="3" s="1"/>
  <c r="W182" i="3" s="1"/>
  <c r="Z182" i="3"/>
  <c r="Z174" i="3"/>
  <c r="U174" i="3"/>
  <c r="V174" i="3" s="1"/>
  <c r="Z166" i="3"/>
  <c r="U166" i="3"/>
  <c r="V166" i="3" s="1"/>
  <c r="U158" i="3"/>
  <c r="V158" i="3" s="1"/>
  <c r="W158" i="3" s="1"/>
  <c r="Z150" i="3"/>
  <c r="U150" i="3"/>
  <c r="V150" i="3" s="1"/>
  <c r="W150" i="3" s="1"/>
  <c r="Z142" i="3"/>
  <c r="U142" i="3"/>
  <c r="V142" i="3" s="1"/>
  <c r="W142" i="3" s="1"/>
  <c r="Z134" i="3"/>
  <c r="U134" i="3"/>
  <c r="V134" i="3" s="1"/>
  <c r="Z126" i="3"/>
  <c r="U126" i="3"/>
  <c r="V126" i="3" s="1"/>
  <c r="U118" i="3"/>
  <c r="V118" i="3" s="1"/>
  <c r="W118" i="3" s="1"/>
  <c r="Z118" i="3"/>
  <c r="Z110" i="3"/>
  <c r="U110" i="3"/>
  <c r="V110" i="3" s="1"/>
  <c r="W110" i="3" s="1"/>
  <c r="Z102" i="3"/>
  <c r="U102" i="3"/>
  <c r="V102" i="3" s="1"/>
  <c r="U94" i="3"/>
  <c r="V94" i="3" s="1"/>
  <c r="W94" i="3" s="1"/>
  <c r="Z94" i="3"/>
  <c r="Z86" i="3"/>
  <c r="U86" i="3"/>
  <c r="V86" i="3" s="1"/>
  <c r="Z78" i="3"/>
  <c r="U78" i="3"/>
  <c r="V78" i="3" s="1"/>
  <c r="W78" i="3" s="1"/>
  <c r="Z70" i="3"/>
  <c r="U70" i="3"/>
  <c r="V70" i="3" s="1"/>
  <c r="U62" i="3"/>
  <c r="V62" i="3" s="1"/>
  <c r="Z62" i="3"/>
  <c r="U54" i="3"/>
  <c r="V54" i="3" s="1"/>
  <c r="W54" i="3" s="1"/>
  <c r="Z54" i="3"/>
  <c r="Z46" i="3"/>
  <c r="Z38" i="3"/>
  <c r="U30" i="3"/>
  <c r="V30" i="3" s="1"/>
  <c r="Z30" i="3"/>
  <c r="U22" i="3"/>
  <c r="V22" i="3" s="1"/>
  <c r="Z22" i="3"/>
  <c r="U14" i="3"/>
  <c r="V14" i="3" s="1"/>
  <c r="Z14" i="3"/>
  <c r="Z6" i="3"/>
  <c r="U6" i="3"/>
  <c r="V6" i="3" s="1"/>
  <c r="U627" i="3"/>
  <c r="V627" i="3" s="1"/>
  <c r="W627" i="3" s="1"/>
  <c r="U618" i="3"/>
  <c r="V618" i="3" s="1"/>
  <c r="U609" i="3"/>
  <c r="V609" i="3" s="1"/>
  <c r="U572" i="3"/>
  <c r="V572" i="3" s="1"/>
  <c r="U562" i="3"/>
  <c r="V562" i="3" s="1"/>
  <c r="U549" i="3"/>
  <c r="V549" i="3" s="1"/>
  <c r="W549" i="3" s="1"/>
  <c r="U512" i="3"/>
  <c r="V512" i="3" s="1"/>
  <c r="U499" i="3"/>
  <c r="V499" i="3" s="1"/>
  <c r="U489" i="3"/>
  <c r="V489" i="3" s="1"/>
  <c r="U447" i="3"/>
  <c r="V447" i="3" s="1"/>
  <c r="U414" i="3"/>
  <c r="V414" i="3" s="1"/>
  <c r="W414" i="3" s="1"/>
  <c r="U401" i="3"/>
  <c r="V401" i="3" s="1"/>
  <c r="W401" i="3" s="1"/>
  <c r="U362" i="3"/>
  <c r="V362" i="3" s="1"/>
  <c r="U345" i="3"/>
  <c r="V345" i="3" s="1"/>
  <c r="W345" i="3" s="1"/>
  <c r="U295" i="3"/>
  <c r="V295" i="3" s="1"/>
  <c r="U275" i="3"/>
  <c r="V275" i="3" s="1"/>
  <c r="U245" i="3"/>
  <c r="V245" i="3" s="1"/>
  <c r="U179" i="3"/>
  <c r="V179" i="3" s="1"/>
  <c r="U128" i="3"/>
  <c r="V128" i="3" s="1"/>
  <c r="Z233" i="3"/>
  <c r="Z3" i="3"/>
  <c r="U3" i="3"/>
  <c r="V3" i="3" s="1"/>
  <c r="Z50" i="3"/>
  <c r="U50" i="3"/>
  <c r="V50" i="3" s="1"/>
  <c r="Z42" i="3"/>
  <c r="U42" i="3"/>
  <c r="V42" i="3" s="1"/>
  <c r="U34" i="3"/>
  <c r="V34" i="3" s="1"/>
  <c r="W34" i="3" s="1"/>
  <c r="Z34" i="3"/>
  <c r="U26" i="3"/>
  <c r="V26" i="3" s="1"/>
  <c r="Z18" i="3"/>
  <c r="U10" i="3"/>
  <c r="V10" i="3" s="1"/>
  <c r="Z10" i="3"/>
  <c r="Z26" i="3"/>
  <c r="Z97" i="3"/>
  <c r="U89" i="3"/>
  <c r="V89" i="3" s="1"/>
  <c r="Z89" i="3"/>
  <c r="U81" i="3"/>
  <c r="V81" i="3" s="1"/>
  <c r="W81" i="3" s="1"/>
  <c r="Z81" i="3"/>
  <c r="Z73" i="3"/>
  <c r="Z57" i="3"/>
  <c r="U57" i="3"/>
  <c r="V57" i="3" s="1"/>
  <c r="Z49" i="3"/>
  <c r="U49" i="3"/>
  <c r="V49" i="3" s="1"/>
  <c r="Z41" i="3"/>
  <c r="U41" i="3"/>
  <c r="V41" i="3" s="1"/>
  <c r="Z33" i="3"/>
  <c r="U33" i="3"/>
  <c r="V33" i="3" s="1"/>
  <c r="U25" i="3"/>
  <c r="V25" i="3" s="1"/>
  <c r="Z25" i="3"/>
  <c r="U17" i="3"/>
  <c r="V17" i="3" s="1"/>
  <c r="Z17" i="3"/>
  <c r="U9" i="3"/>
  <c r="V9" i="3" s="1"/>
  <c r="Z9" i="3"/>
  <c r="U97" i="3"/>
  <c r="V97" i="3" s="1"/>
  <c r="W97" i="3" s="1"/>
  <c r="U104" i="3"/>
  <c r="V104" i="3" s="1"/>
  <c r="W104" i="3" s="1"/>
  <c r="Z96" i="3"/>
  <c r="U96" i="3"/>
  <c r="V96" i="3" s="1"/>
  <c r="Z88" i="3"/>
  <c r="U88" i="3"/>
  <c r="V88" i="3" s="1"/>
  <c r="U80" i="3"/>
  <c r="V80" i="3" s="1"/>
  <c r="Z80" i="3"/>
  <c r="Z72" i="3"/>
  <c r="U72" i="3"/>
  <c r="V72" i="3" s="1"/>
  <c r="Z64" i="3"/>
  <c r="U48" i="3"/>
  <c r="V48" i="3" s="1"/>
  <c r="Z48" i="3"/>
  <c r="U40" i="3"/>
  <c r="V40" i="3" s="1"/>
  <c r="Z40" i="3"/>
  <c r="Z32" i="3"/>
  <c r="U32" i="3"/>
  <c r="V32" i="3" s="1"/>
  <c r="U24" i="3"/>
  <c r="V24" i="3" s="1"/>
  <c r="Z24" i="3"/>
  <c r="Z16" i="3"/>
  <c r="U16" i="3"/>
  <c r="V16" i="3" s="1"/>
  <c r="U8" i="3"/>
  <c r="V8" i="3" s="1"/>
  <c r="Z8" i="3"/>
  <c r="U73" i="3"/>
  <c r="V73" i="3" s="1"/>
  <c r="W73" i="3" s="1"/>
  <c r="AA591" i="3"/>
  <c r="AA567" i="3"/>
  <c r="AA527" i="3"/>
  <c r="AA503" i="3"/>
  <c r="AA463" i="3"/>
  <c r="AA439" i="3"/>
  <c r="AA399" i="3"/>
  <c r="AA375" i="3"/>
  <c r="AA327" i="3"/>
  <c r="AA614" i="3"/>
  <c r="AA606" i="3"/>
  <c r="AA598" i="3"/>
  <c r="AA574" i="3"/>
  <c r="AA542" i="3"/>
  <c r="AA525" i="3"/>
  <c r="AA509" i="3"/>
  <c r="AA501" i="3"/>
  <c r="AA493" i="3"/>
  <c r="AA485" i="3"/>
  <c r="AA477" i="3"/>
  <c r="AA461" i="3"/>
  <c r="AA445" i="3"/>
  <c r="AA437" i="3"/>
  <c r="AA429" i="3"/>
  <c r="AA421" i="3"/>
  <c r="AA413" i="3"/>
  <c r="AA397" i="3"/>
  <c r="AA381" i="3"/>
  <c r="AA373" i="3"/>
  <c r="AA365" i="3"/>
  <c r="AA357" i="3"/>
  <c r="AA349" i="3"/>
  <c r="AA301" i="3"/>
  <c r="AA595" i="3"/>
  <c r="AA586" i="3"/>
  <c r="AA578" i="3"/>
  <c r="AA570" i="3"/>
  <c r="AA562" i="3"/>
  <c r="AA554" i="3"/>
  <c r="AA546" i="3"/>
  <c r="AA538" i="3"/>
  <c r="AA530" i="3"/>
  <c r="AA522" i="3"/>
  <c r="AA514" i="3"/>
  <c r="AA506" i="3"/>
  <c r="AA498" i="3"/>
  <c r="AA490" i="3"/>
  <c r="AA482" i="3"/>
  <c r="AA474" i="3"/>
  <c r="AA458" i="3"/>
  <c r="AA450" i="3"/>
  <c r="AA442" i="3"/>
  <c r="AA434" i="3"/>
  <c r="AA426" i="3"/>
  <c r="AA418" i="3"/>
  <c r="AA410" i="3"/>
  <c r="AA394" i="3"/>
  <c r="AA386" i="3"/>
  <c r="AA378" i="3"/>
  <c r="AA370" i="3"/>
  <c r="AA362" i="3"/>
  <c r="AA354" i="3"/>
  <c r="AA346" i="3"/>
  <c r="AA338" i="3"/>
  <c r="AA322" i="3"/>
  <c r="AA314" i="3"/>
  <c r="AA306" i="3"/>
  <c r="AA298" i="3"/>
  <c r="AA290" i="3"/>
  <c r="AA274" i="3"/>
  <c r="AA266" i="3"/>
  <c r="AA258" i="3"/>
  <c r="AA250" i="3"/>
  <c r="AA242" i="3"/>
  <c r="AA234" i="3"/>
  <c r="AA226" i="3"/>
  <c r="AA210" i="3"/>
  <c r="AA202" i="3"/>
  <c r="AA194" i="3"/>
  <c r="AA186" i="3"/>
  <c r="AA178" i="3"/>
  <c r="AA170" i="3"/>
  <c r="AA162" i="3"/>
  <c r="AA146" i="3"/>
  <c r="AA138" i="3"/>
  <c r="AA130" i="3"/>
  <c r="AA122" i="3"/>
  <c r="AA114" i="3"/>
  <c r="AA106" i="3"/>
  <c r="AA98" i="3"/>
  <c r="AA82" i="3"/>
  <c r="AA74" i="3"/>
  <c r="AA66" i="3"/>
  <c r="AA58" i="3"/>
  <c r="AA50" i="3"/>
  <c r="AA42" i="3"/>
  <c r="AA34" i="3"/>
  <c r="AA18" i="3"/>
  <c r="AA10" i="3"/>
  <c r="W329" i="3"/>
  <c r="W286" i="3"/>
  <c r="U2" i="3"/>
  <c r="AB618" i="3"/>
  <c r="Y618" i="3"/>
  <c r="AC618" i="3"/>
  <c r="AB594" i="3"/>
  <c r="Y594" i="3"/>
  <c r="AC594" i="3"/>
  <c r="AB626" i="3"/>
  <c r="Y626" i="3"/>
  <c r="AC626" i="3"/>
  <c r="AB602" i="3"/>
  <c r="Y602" i="3"/>
  <c r="AC602" i="3"/>
  <c r="AB633" i="3"/>
  <c r="AC633" i="3"/>
  <c r="Y633" i="3"/>
  <c r="AB625" i="3"/>
  <c r="AC625" i="3"/>
  <c r="Y625" i="3"/>
  <c r="AB632" i="3"/>
  <c r="AC632" i="3"/>
  <c r="Y632" i="3"/>
  <c r="AC2" i="3"/>
  <c r="Y2" i="3"/>
  <c r="AB2" i="3"/>
  <c r="AB610" i="3"/>
  <c r="Y610" i="3"/>
  <c r="AC610" i="3"/>
  <c r="AB629" i="3"/>
  <c r="AC629" i="3"/>
  <c r="Y629" i="3"/>
  <c r="AB621" i="3"/>
  <c r="AC621" i="3"/>
  <c r="Y621" i="3"/>
  <c r="AB613" i="3"/>
  <c r="AC613" i="3"/>
  <c r="Y613" i="3"/>
  <c r="AB605" i="3"/>
  <c r="AC605" i="3"/>
  <c r="Y605" i="3"/>
  <c r="AB597" i="3"/>
  <c r="AC597" i="3"/>
  <c r="Y597" i="3"/>
  <c r="AB589" i="3"/>
  <c r="AC589" i="3"/>
  <c r="Y589" i="3"/>
  <c r="AB581" i="3"/>
  <c r="AC581" i="3"/>
  <c r="Y581" i="3"/>
  <c r="AB573" i="3"/>
  <c r="AC573" i="3"/>
  <c r="Y573" i="3"/>
  <c r="AB565" i="3"/>
  <c r="AC565" i="3"/>
  <c r="Y565" i="3"/>
  <c r="AB557" i="3"/>
  <c r="AC557" i="3"/>
  <c r="Y557" i="3"/>
  <c r="AB549" i="3"/>
  <c r="AC549" i="3"/>
  <c r="Y549" i="3"/>
  <c r="AB541" i="3"/>
  <c r="AC541" i="3"/>
  <c r="Y541" i="3"/>
  <c r="AB533" i="3"/>
  <c r="AC533" i="3"/>
  <c r="Y533" i="3"/>
  <c r="AB617" i="3"/>
  <c r="AC617" i="3"/>
  <c r="Y617" i="3"/>
  <c r="AB609" i="3"/>
  <c r="AC609" i="3"/>
  <c r="Y609" i="3"/>
  <c r="AB601" i="3"/>
  <c r="AC601" i="3"/>
  <c r="Y601" i="3"/>
  <c r="AB593" i="3"/>
  <c r="AC593" i="3"/>
  <c r="Y593" i="3"/>
  <c r="AB585" i="3"/>
  <c r="AC585" i="3"/>
  <c r="Y585" i="3"/>
  <c r="AB624" i="3"/>
  <c r="AC624" i="3"/>
  <c r="Y624" i="3"/>
  <c r="AB616" i="3"/>
  <c r="AC616" i="3"/>
  <c r="Y616" i="3"/>
  <c r="AB608" i="3"/>
  <c r="AC608" i="3"/>
  <c r="Y608" i="3"/>
  <c r="AB600" i="3"/>
  <c r="AC600" i="3"/>
  <c r="Y600" i="3"/>
  <c r="AB592" i="3"/>
  <c r="AC592" i="3"/>
  <c r="Y592" i="3"/>
  <c r="AB577" i="3"/>
  <c r="AC577" i="3"/>
  <c r="Y577" i="3"/>
  <c r="AB569" i="3"/>
  <c r="AC569" i="3"/>
  <c r="Y569" i="3"/>
  <c r="AB561" i="3"/>
  <c r="AC561" i="3"/>
  <c r="Y561" i="3"/>
  <c r="AB553" i="3"/>
  <c r="AC553" i="3"/>
  <c r="Y553" i="3"/>
  <c r="AB545" i="3"/>
  <c r="AC545" i="3"/>
  <c r="Y545" i="3"/>
  <c r="AB584" i="3"/>
  <c r="AC584" i="3"/>
  <c r="Y584" i="3"/>
  <c r="AB576" i="3"/>
  <c r="AC576" i="3"/>
  <c r="Y576" i="3"/>
  <c r="AB568" i="3"/>
  <c r="AC568" i="3"/>
  <c r="Y568" i="3"/>
  <c r="AB560" i="3"/>
  <c r="AC560" i="3"/>
  <c r="Y560" i="3"/>
  <c r="AB552" i="3"/>
  <c r="AC552" i="3"/>
  <c r="Y552" i="3"/>
  <c r="AB544" i="3"/>
  <c r="AC544" i="3"/>
  <c r="Y544" i="3"/>
  <c r="AB536" i="3"/>
  <c r="AC536" i="3"/>
  <c r="Y536" i="3"/>
  <c r="AB528" i="3"/>
  <c r="AC528" i="3"/>
  <c r="Y528" i="3"/>
  <c r="AB630" i="3"/>
  <c r="AC630" i="3"/>
  <c r="Y630" i="3"/>
  <c r="AB622" i="3"/>
  <c r="AC622" i="3"/>
  <c r="Y622" i="3"/>
  <c r="AB537" i="3"/>
  <c r="AC537" i="3"/>
  <c r="Y537" i="3"/>
  <c r="AB529" i="3"/>
  <c r="AC529" i="3"/>
  <c r="Y529" i="3"/>
  <c r="AC521" i="3"/>
  <c r="AB521" i="3"/>
  <c r="Y521" i="3"/>
  <c r="AC513" i="3"/>
  <c r="AB513" i="3"/>
  <c r="Y513" i="3"/>
  <c r="AC505" i="3"/>
  <c r="AB505" i="3"/>
  <c r="Y505" i="3"/>
  <c r="AC497" i="3"/>
  <c r="AB497" i="3"/>
  <c r="Y497" i="3"/>
  <c r="AC489" i="3"/>
  <c r="AB489" i="3"/>
  <c r="Y489" i="3"/>
  <c r="AC481" i="3"/>
  <c r="AB481" i="3"/>
  <c r="Y481" i="3"/>
  <c r="AC473" i="3"/>
  <c r="AB473" i="3"/>
  <c r="Y473" i="3"/>
  <c r="AC465" i="3"/>
  <c r="AB465" i="3"/>
  <c r="Y465" i="3"/>
  <c r="AC457" i="3"/>
  <c r="AB457" i="3"/>
  <c r="Y457" i="3"/>
  <c r="AC449" i="3"/>
  <c r="AB449" i="3"/>
  <c r="Y449" i="3"/>
  <c r="AC441" i="3"/>
  <c r="AB441" i="3"/>
  <c r="Y441" i="3"/>
  <c r="AC433" i="3"/>
  <c r="AB433" i="3"/>
  <c r="Y433" i="3"/>
  <c r="AC425" i="3"/>
  <c r="AB425" i="3"/>
  <c r="Y425" i="3"/>
  <c r="AC417" i="3"/>
  <c r="AB417" i="3"/>
  <c r="Y417" i="3"/>
  <c r="AC409" i="3"/>
  <c r="AB409" i="3"/>
  <c r="Y409" i="3"/>
  <c r="AC401" i="3"/>
  <c r="AB401" i="3"/>
  <c r="Y401" i="3"/>
  <c r="AC393" i="3"/>
  <c r="AB393" i="3"/>
  <c r="Y393" i="3"/>
  <c r="AC385" i="3"/>
  <c r="AB385" i="3"/>
  <c r="Y385" i="3"/>
  <c r="AC377" i="3"/>
  <c r="AB377" i="3"/>
  <c r="Y377" i="3"/>
  <c r="AC369" i="3"/>
  <c r="AB369" i="3"/>
  <c r="Y369" i="3"/>
  <c r="AC361" i="3"/>
  <c r="AB361" i="3"/>
  <c r="Y361" i="3"/>
  <c r="AC353" i="3"/>
  <c r="AB353" i="3"/>
  <c r="Y353" i="3"/>
  <c r="AC345" i="3"/>
  <c r="AB345" i="3"/>
  <c r="Y345" i="3"/>
  <c r="AC337" i="3"/>
  <c r="AB337" i="3"/>
  <c r="Y337" i="3"/>
  <c r="AB329" i="3"/>
  <c r="AC329" i="3"/>
  <c r="Y329" i="3"/>
  <c r="AC321" i="3"/>
  <c r="AB321" i="3"/>
  <c r="Y321" i="3"/>
  <c r="AB313" i="3"/>
  <c r="AC313" i="3"/>
  <c r="Y313" i="3"/>
  <c r="AC305" i="3"/>
  <c r="Y305" i="3"/>
  <c r="AB305" i="3"/>
  <c r="AB297" i="3"/>
  <c r="AC297" i="3"/>
  <c r="Y297" i="3"/>
  <c r="AC289" i="3"/>
  <c r="AB289" i="3"/>
  <c r="Y289" i="3"/>
  <c r="AC281" i="3"/>
  <c r="AB281" i="3"/>
  <c r="Y281" i="3"/>
  <c r="AC273" i="3"/>
  <c r="Y273" i="3"/>
  <c r="AC265" i="3"/>
  <c r="AB265" i="3"/>
  <c r="Y265" i="3"/>
  <c r="AC257" i="3"/>
  <c r="AB257" i="3"/>
  <c r="Y257" i="3"/>
  <c r="AC249" i="3"/>
  <c r="AB249" i="3"/>
  <c r="Y249" i="3"/>
  <c r="AC241" i="3"/>
  <c r="AB241" i="3"/>
  <c r="Y241" i="3"/>
  <c r="AC233" i="3"/>
  <c r="AB233" i="3"/>
  <c r="Y233" i="3"/>
  <c r="AC225" i="3"/>
  <c r="Y225" i="3"/>
  <c r="AB225" i="3"/>
  <c r="AC217" i="3"/>
  <c r="Y217" i="3"/>
  <c r="AC209" i="3"/>
  <c r="AB209" i="3"/>
  <c r="Y209" i="3"/>
  <c r="AC201" i="3"/>
  <c r="AB201" i="3"/>
  <c r="Y201" i="3"/>
  <c r="AC193" i="3"/>
  <c r="AB193" i="3"/>
  <c r="Y193" i="3"/>
  <c r="AC185" i="3"/>
  <c r="AB185" i="3"/>
  <c r="Y185" i="3"/>
  <c r="AC177" i="3"/>
  <c r="AB177" i="3"/>
  <c r="Y177" i="3"/>
  <c r="AC169" i="3"/>
  <c r="AB169" i="3"/>
  <c r="Y169" i="3"/>
  <c r="AC161" i="3"/>
  <c r="Y161" i="3"/>
  <c r="AB161" i="3"/>
  <c r="AC153" i="3"/>
  <c r="Y153" i="3"/>
  <c r="AC145" i="3"/>
  <c r="AB145" i="3"/>
  <c r="Y145" i="3"/>
  <c r="AC137" i="3"/>
  <c r="AB137" i="3"/>
  <c r="Y137" i="3"/>
  <c r="AC129" i="3"/>
  <c r="AB129" i="3"/>
  <c r="Y129" i="3"/>
  <c r="AC121" i="3"/>
  <c r="AB121" i="3"/>
  <c r="Y121" i="3"/>
  <c r="AB113" i="3"/>
  <c r="AC113" i="3"/>
  <c r="Y113" i="3"/>
  <c r="AB105" i="3"/>
  <c r="AC105" i="3"/>
  <c r="Y105" i="3"/>
  <c r="AB97" i="3"/>
  <c r="AC97" i="3"/>
  <c r="Y97" i="3"/>
  <c r="AB89" i="3"/>
  <c r="Y89" i="3"/>
  <c r="AC89" i="3"/>
  <c r="AB81" i="3"/>
  <c r="AC81" i="3"/>
  <c r="Y81" i="3"/>
  <c r="AB73" i="3"/>
  <c r="AC73" i="3"/>
  <c r="Y73" i="3"/>
  <c r="AB65" i="3"/>
  <c r="AC65" i="3"/>
  <c r="Y65" i="3"/>
  <c r="AB57" i="3"/>
  <c r="AC57" i="3"/>
  <c r="Y57" i="3"/>
  <c r="AB49" i="3"/>
  <c r="AC49" i="3"/>
  <c r="Y49" i="3"/>
  <c r="AB41" i="3"/>
  <c r="AC41" i="3"/>
  <c r="Y41" i="3"/>
  <c r="AB33" i="3"/>
  <c r="AC33" i="3"/>
  <c r="Y33" i="3"/>
  <c r="AB25" i="3"/>
  <c r="AC25" i="3"/>
  <c r="Y25" i="3"/>
  <c r="AB17" i="3"/>
  <c r="AC17" i="3"/>
  <c r="Y17" i="3"/>
  <c r="AB9" i="3"/>
  <c r="AC9" i="3"/>
  <c r="Y9" i="3"/>
  <c r="Y570" i="3"/>
  <c r="Y327" i="3"/>
  <c r="AC578" i="3"/>
  <c r="AC546" i="3"/>
  <c r="AB493" i="3"/>
  <c r="AB365" i="3"/>
  <c r="AB520" i="3"/>
  <c r="AC520" i="3"/>
  <c r="Y520" i="3"/>
  <c r="AB512" i="3"/>
  <c r="AC512" i="3"/>
  <c r="Y512" i="3"/>
  <c r="AB504" i="3"/>
  <c r="AC504" i="3"/>
  <c r="Y504" i="3"/>
  <c r="AB496" i="3"/>
  <c r="AC496" i="3"/>
  <c r="Y496" i="3"/>
  <c r="AB488" i="3"/>
  <c r="AC488" i="3"/>
  <c r="Y488" i="3"/>
  <c r="AB480" i="3"/>
  <c r="AC480" i="3"/>
  <c r="Y480" i="3"/>
  <c r="AB472" i="3"/>
  <c r="AC472" i="3"/>
  <c r="Y472" i="3"/>
  <c r="AB464" i="3"/>
  <c r="AC464" i="3"/>
  <c r="Y464" i="3"/>
  <c r="AB456" i="3"/>
  <c r="AC456" i="3"/>
  <c r="Y456" i="3"/>
  <c r="AB448" i="3"/>
  <c r="AC448" i="3"/>
  <c r="Y448" i="3"/>
  <c r="AB440" i="3"/>
  <c r="AC440" i="3"/>
  <c r="Y440" i="3"/>
  <c r="AB432" i="3"/>
  <c r="AC432" i="3"/>
  <c r="Y432" i="3"/>
  <c r="AB424" i="3"/>
  <c r="AC424" i="3"/>
  <c r="Y424" i="3"/>
  <c r="AB416" i="3"/>
  <c r="AC416" i="3"/>
  <c r="Y416" i="3"/>
  <c r="AB408" i="3"/>
  <c r="AC408" i="3"/>
  <c r="Y408" i="3"/>
  <c r="AB400" i="3"/>
  <c r="AC400" i="3"/>
  <c r="Y400" i="3"/>
  <c r="AB392" i="3"/>
  <c r="AC392" i="3"/>
  <c r="Y392" i="3"/>
  <c r="AB384" i="3"/>
  <c r="AC384" i="3"/>
  <c r="Y384" i="3"/>
  <c r="AB376" i="3"/>
  <c r="AC376" i="3"/>
  <c r="Y376" i="3"/>
  <c r="AB368" i="3"/>
  <c r="AC368" i="3"/>
  <c r="Y368" i="3"/>
  <c r="AB360" i="3"/>
  <c r="AC360" i="3"/>
  <c r="Y360" i="3"/>
  <c r="AB352" i="3"/>
  <c r="AC352" i="3"/>
  <c r="Y352" i="3"/>
  <c r="AB344" i="3"/>
  <c r="AC344" i="3"/>
  <c r="Y344" i="3"/>
  <c r="AB336" i="3"/>
  <c r="AC336" i="3"/>
  <c r="Y336" i="3"/>
  <c r="AC328" i="3"/>
  <c r="AB328" i="3"/>
  <c r="Y328" i="3"/>
  <c r="AB320" i="3"/>
  <c r="AC320" i="3"/>
  <c r="Y320" i="3"/>
  <c r="AC312" i="3"/>
  <c r="AB312" i="3"/>
  <c r="Y312" i="3"/>
  <c r="AB304" i="3"/>
  <c r="AC304" i="3"/>
  <c r="Y304" i="3"/>
  <c r="AC296" i="3"/>
  <c r="AB296" i="3"/>
  <c r="Y296" i="3"/>
  <c r="AB288" i="3"/>
  <c r="AC288" i="3"/>
  <c r="Y288" i="3"/>
  <c r="AB280" i="3"/>
  <c r="AC280" i="3"/>
  <c r="Y280" i="3"/>
  <c r="AB272" i="3"/>
  <c r="AC272" i="3"/>
  <c r="Y272" i="3"/>
  <c r="AB264" i="3"/>
  <c r="AC264" i="3"/>
  <c r="Y264" i="3"/>
  <c r="AB256" i="3"/>
  <c r="AC256" i="3"/>
  <c r="Y256" i="3"/>
  <c r="AB248" i="3"/>
  <c r="AC248" i="3"/>
  <c r="Y248" i="3"/>
  <c r="AB240" i="3"/>
  <c r="AC240" i="3"/>
  <c r="Y240" i="3"/>
  <c r="AB232" i="3"/>
  <c r="AC232" i="3"/>
  <c r="Y232" i="3"/>
  <c r="AB224" i="3"/>
  <c r="AC224" i="3"/>
  <c r="Y224" i="3"/>
  <c r="AB216" i="3"/>
  <c r="AC216" i="3"/>
  <c r="Y216" i="3"/>
  <c r="AB208" i="3"/>
  <c r="AC208" i="3"/>
  <c r="Y208" i="3"/>
  <c r="AB200" i="3"/>
  <c r="AC200" i="3"/>
  <c r="Y200" i="3"/>
  <c r="AB192" i="3"/>
  <c r="AC192" i="3"/>
  <c r="Y192" i="3"/>
  <c r="AB184" i="3"/>
  <c r="AC184" i="3"/>
  <c r="Y184" i="3"/>
  <c r="AB176" i="3"/>
  <c r="AC176" i="3"/>
  <c r="Y176" i="3"/>
  <c r="AB168" i="3"/>
  <c r="AC168" i="3"/>
  <c r="Y168" i="3"/>
  <c r="AB160" i="3"/>
  <c r="AC160" i="3"/>
  <c r="Y160" i="3"/>
  <c r="AB152" i="3"/>
  <c r="AC152" i="3"/>
  <c r="Y152" i="3"/>
  <c r="AB144" i="3"/>
  <c r="AC144" i="3"/>
  <c r="Y144" i="3"/>
  <c r="AB136" i="3"/>
  <c r="AC136" i="3"/>
  <c r="Y136" i="3"/>
  <c r="AB128" i="3"/>
  <c r="AC128" i="3"/>
  <c r="Y128" i="3"/>
  <c r="AB120" i="3"/>
  <c r="AC120" i="3"/>
  <c r="Y120" i="3"/>
  <c r="AB112" i="3"/>
  <c r="AC112" i="3"/>
  <c r="Y112" i="3"/>
  <c r="AB104" i="3"/>
  <c r="AC104" i="3"/>
  <c r="Y104" i="3"/>
  <c r="AB96" i="3"/>
  <c r="AC96" i="3"/>
  <c r="Y96" i="3"/>
  <c r="AB88" i="3"/>
  <c r="AC88" i="3"/>
  <c r="Y88" i="3"/>
  <c r="AB80" i="3"/>
  <c r="AC80" i="3"/>
  <c r="Y80" i="3"/>
  <c r="AB72" i="3"/>
  <c r="AC72" i="3"/>
  <c r="Y72" i="3"/>
  <c r="AB64" i="3"/>
  <c r="AC64" i="3"/>
  <c r="Y64" i="3"/>
  <c r="AB56" i="3"/>
  <c r="AC56" i="3"/>
  <c r="Y56" i="3"/>
  <c r="AB48" i="3"/>
  <c r="AC48" i="3"/>
  <c r="Y48" i="3"/>
  <c r="AB40" i="3"/>
  <c r="AC40" i="3"/>
  <c r="Y40" i="3"/>
  <c r="AB32" i="3"/>
  <c r="AC32" i="3"/>
  <c r="Y32" i="3"/>
  <c r="AB24" i="3"/>
  <c r="AC24" i="3"/>
  <c r="Y24" i="3"/>
  <c r="AB16" i="3"/>
  <c r="AC16" i="3"/>
  <c r="Y16" i="3"/>
  <c r="AB8" i="3"/>
  <c r="AC8" i="3"/>
  <c r="Y8" i="3"/>
  <c r="Y546" i="3"/>
  <c r="Y461" i="3"/>
  <c r="Y397" i="3"/>
  <c r="AC606" i="3"/>
  <c r="AB477" i="3"/>
  <c r="AC631" i="3"/>
  <c r="AB631" i="3"/>
  <c r="AC623" i="3"/>
  <c r="AB623" i="3"/>
  <c r="AC615" i="3"/>
  <c r="AB615" i="3"/>
  <c r="AC607" i="3"/>
  <c r="AB607" i="3"/>
  <c r="AC599" i="3"/>
  <c r="AB599" i="3"/>
  <c r="AC591" i="3"/>
  <c r="AB591" i="3"/>
  <c r="AC583" i="3"/>
  <c r="AB583" i="3"/>
  <c r="AC575" i="3"/>
  <c r="AB575" i="3"/>
  <c r="AC567" i="3"/>
  <c r="AB567" i="3"/>
  <c r="AC559" i="3"/>
  <c r="AB559" i="3"/>
  <c r="AC551" i="3"/>
  <c r="AB551" i="3"/>
  <c r="AC543" i="3"/>
  <c r="AB543" i="3"/>
  <c r="AC535" i="3"/>
  <c r="AB535" i="3"/>
  <c r="AC527" i="3"/>
  <c r="AB527" i="3"/>
  <c r="AB519" i="3"/>
  <c r="AC519" i="3"/>
  <c r="AB511" i="3"/>
  <c r="AC511" i="3"/>
  <c r="AB503" i="3"/>
  <c r="AC503" i="3"/>
  <c r="AB495" i="3"/>
  <c r="AC495" i="3"/>
  <c r="AB487" i="3"/>
  <c r="AC487" i="3"/>
  <c r="AB479" i="3"/>
  <c r="AC479" i="3"/>
  <c r="AB471" i="3"/>
  <c r="AC471" i="3"/>
  <c r="AB463" i="3"/>
  <c r="AC463" i="3"/>
  <c r="AB455" i="3"/>
  <c r="AC455" i="3"/>
  <c r="AB447" i="3"/>
  <c r="AC447" i="3"/>
  <c r="AB439" i="3"/>
  <c r="AC439" i="3"/>
  <c r="AB431" i="3"/>
  <c r="AC431" i="3"/>
  <c r="AB423" i="3"/>
  <c r="AC423" i="3"/>
  <c r="AB415" i="3"/>
  <c r="AC415" i="3"/>
  <c r="AB407" i="3"/>
  <c r="AC407" i="3"/>
  <c r="AB399" i="3"/>
  <c r="AC399" i="3"/>
  <c r="AB391" i="3"/>
  <c r="AC391" i="3"/>
  <c r="AB383" i="3"/>
  <c r="AC383" i="3"/>
  <c r="AB375" i="3"/>
  <c r="AC375" i="3"/>
  <c r="AB367" i="3"/>
  <c r="AC367" i="3"/>
  <c r="AB359" i="3"/>
  <c r="AC359" i="3"/>
  <c r="AB351" i="3"/>
  <c r="AC351" i="3"/>
  <c r="AB343" i="3"/>
  <c r="AC343" i="3"/>
  <c r="AC335" i="3"/>
  <c r="AB335" i="3"/>
  <c r="AC319" i="3"/>
  <c r="AB319" i="3"/>
  <c r="AC311" i="3"/>
  <c r="AB311" i="3"/>
  <c r="Y311" i="3"/>
  <c r="AC303" i="3"/>
  <c r="AB303" i="3"/>
  <c r="Y303" i="3"/>
  <c r="AC295" i="3"/>
  <c r="Y295" i="3"/>
  <c r="AB295" i="3"/>
  <c r="AC287" i="3"/>
  <c r="AB287" i="3"/>
  <c r="Y287" i="3"/>
  <c r="AC279" i="3"/>
  <c r="AB279" i="3"/>
  <c r="Y279" i="3"/>
  <c r="AC271" i="3"/>
  <c r="AB271" i="3"/>
  <c r="Y271" i="3"/>
  <c r="AC263" i="3"/>
  <c r="AB263" i="3"/>
  <c r="Y263" i="3"/>
  <c r="AC255" i="3"/>
  <c r="AB255" i="3"/>
  <c r="Y255" i="3"/>
  <c r="AC247" i="3"/>
  <c r="AB247" i="3"/>
  <c r="Y247" i="3"/>
  <c r="AC239" i="3"/>
  <c r="AB239" i="3"/>
  <c r="Y239" i="3"/>
  <c r="AC231" i="3"/>
  <c r="AB231" i="3"/>
  <c r="Y231" i="3"/>
  <c r="AC223" i="3"/>
  <c r="AB223" i="3"/>
  <c r="Y223" i="3"/>
  <c r="AC215" i="3"/>
  <c r="AB215" i="3"/>
  <c r="Y215" i="3"/>
  <c r="AC207" i="3"/>
  <c r="AB207" i="3"/>
  <c r="Y207" i="3"/>
  <c r="AC199" i="3"/>
  <c r="AB199" i="3"/>
  <c r="Y199" i="3"/>
  <c r="AC191" i="3"/>
  <c r="AB191" i="3"/>
  <c r="Y191" i="3"/>
  <c r="AC183" i="3"/>
  <c r="AB183" i="3"/>
  <c r="Y183" i="3"/>
  <c r="AC175" i="3"/>
  <c r="AB175" i="3"/>
  <c r="Y175" i="3"/>
  <c r="AC167" i="3"/>
  <c r="AB167" i="3"/>
  <c r="Y167" i="3"/>
  <c r="AC159" i="3"/>
  <c r="AB159" i="3"/>
  <c r="Y159" i="3"/>
  <c r="AC151" i="3"/>
  <c r="AB151" i="3"/>
  <c r="Y151" i="3"/>
  <c r="AC143" i="3"/>
  <c r="AB143" i="3"/>
  <c r="Y143" i="3"/>
  <c r="AC135" i="3"/>
  <c r="AB135" i="3"/>
  <c r="Y135" i="3"/>
  <c r="AC127" i="3"/>
  <c r="AB127" i="3"/>
  <c r="Y127" i="3"/>
  <c r="AC119" i="3"/>
  <c r="AB119" i="3"/>
  <c r="Y119" i="3"/>
  <c r="AC111" i="3"/>
  <c r="AB111" i="3"/>
  <c r="Y111" i="3"/>
  <c r="AC103" i="3"/>
  <c r="AB103" i="3"/>
  <c r="Y103" i="3"/>
  <c r="AC95" i="3"/>
  <c r="AB95" i="3"/>
  <c r="Y95" i="3"/>
  <c r="AC87" i="3"/>
  <c r="AB87" i="3"/>
  <c r="Y87" i="3"/>
  <c r="AC79" i="3"/>
  <c r="Y79" i="3"/>
  <c r="AC71" i="3"/>
  <c r="AB71" i="3"/>
  <c r="Y71" i="3"/>
  <c r="AC63" i="3"/>
  <c r="AB63" i="3"/>
  <c r="Y63" i="3"/>
  <c r="AC55" i="3"/>
  <c r="AB55" i="3"/>
  <c r="Y55" i="3"/>
  <c r="AC47" i="3"/>
  <c r="AB47" i="3"/>
  <c r="Y47" i="3"/>
  <c r="AC39" i="3"/>
  <c r="AB39" i="3"/>
  <c r="Y39" i="3"/>
  <c r="AC31" i="3"/>
  <c r="AB31" i="3"/>
  <c r="Y31" i="3"/>
  <c r="AC23" i="3"/>
  <c r="AB23" i="3"/>
  <c r="Y23" i="3"/>
  <c r="AC15" i="3"/>
  <c r="AB15" i="3"/>
  <c r="Y15" i="3"/>
  <c r="AC7" i="3"/>
  <c r="AB7" i="3"/>
  <c r="Y7" i="3"/>
  <c r="Y631" i="3"/>
  <c r="Y623" i="3"/>
  <c r="Y615" i="3"/>
  <c r="Y607" i="3"/>
  <c r="Y599" i="3"/>
  <c r="Y586" i="3"/>
  <c r="Y543" i="3"/>
  <c r="Y522" i="3"/>
  <c r="Y479" i="3"/>
  <c r="Y415" i="3"/>
  <c r="Y351" i="3"/>
  <c r="Y319" i="3"/>
  <c r="AC570" i="3"/>
  <c r="AC538" i="3"/>
  <c r="AB461" i="3"/>
  <c r="AB327" i="3"/>
  <c r="Y590" i="3"/>
  <c r="AB590" i="3"/>
  <c r="Y582" i="3"/>
  <c r="AB582" i="3"/>
  <c r="Y574" i="3"/>
  <c r="AB574" i="3"/>
  <c r="Y566" i="3"/>
  <c r="AB566" i="3"/>
  <c r="Y558" i="3"/>
  <c r="AB558" i="3"/>
  <c r="Y550" i="3"/>
  <c r="AB550" i="3"/>
  <c r="Y542" i="3"/>
  <c r="AB542" i="3"/>
  <c r="Y534" i="3"/>
  <c r="AB534" i="3"/>
  <c r="Y526" i="3"/>
  <c r="AB526" i="3"/>
  <c r="AB518" i="3"/>
  <c r="AC518" i="3"/>
  <c r="Y518" i="3"/>
  <c r="AB510" i="3"/>
  <c r="AC510" i="3"/>
  <c r="Y510" i="3"/>
  <c r="AB502" i="3"/>
  <c r="AC502" i="3"/>
  <c r="Y502" i="3"/>
  <c r="AB494" i="3"/>
  <c r="AC494" i="3"/>
  <c r="Y494" i="3"/>
  <c r="AB486" i="3"/>
  <c r="AC486" i="3"/>
  <c r="Y486" i="3"/>
  <c r="AB478" i="3"/>
  <c r="AC478" i="3"/>
  <c r="Y478" i="3"/>
  <c r="AB470" i="3"/>
  <c r="AC470" i="3"/>
  <c r="Y470" i="3"/>
  <c r="AB462" i="3"/>
  <c r="AC462" i="3"/>
  <c r="Y462" i="3"/>
  <c r="AB454" i="3"/>
  <c r="AC454" i="3"/>
  <c r="Y454" i="3"/>
  <c r="AB446" i="3"/>
  <c r="AC446" i="3"/>
  <c r="Y446" i="3"/>
  <c r="AB438" i="3"/>
  <c r="AC438" i="3"/>
  <c r="Y438" i="3"/>
  <c r="AB430" i="3"/>
  <c r="AC430" i="3"/>
  <c r="Y430" i="3"/>
  <c r="AB422" i="3"/>
  <c r="AC422" i="3"/>
  <c r="Y422" i="3"/>
  <c r="AB414" i="3"/>
  <c r="AC414" i="3"/>
  <c r="Y414" i="3"/>
  <c r="AB406" i="3"/>
  <c r="AC406" i="3"/>
  <c r="Y406" i="3"/>
  <c r="AB398" i="3"/>
  <c r="AC398" i="3"/>
  <c r="Y398" i="3"/>
  <c r="AB390" i="3"/>
  <c r="AC390" i="3"/>
  <c r="Y390" i="3"/>
  <c r="AB382" i="3"/>
  <c r="AC382" i="3"/>
  <c r="Y382" i="3"/>
  <c r="AB374" i="3"/>
  <c r="AC374" i="3"/>
  <c r="Y374" i="3"/>
  <c r="AB366" i="3"/>
  <c r="AC366" i="3"/>
  <c r="Y366" i="3"/>
  <c r="AB358" i="3"/>
  <c r="AC358" i="3"/>
  <c r="Y358" i="3"/>
  <c r="AB350" i="3"/>
  <c r="AC350" i="3"/>
  <c r="Y350" i="3"/>
  <c r="AB342" i="3"/>
  <c r="AC342" i="3"/>
  <c r="Y342" i="3"/>
  <c r="AB334" i="3"/>
  <c r="AC334" i="3"/>
  <c r="Y334" i="3"/>
  <c r="AB326" i="3"/>
  <c r="AC326" i="3"/>
  <c r="Y326" i="3"/>
  <c r="AB318" i="3"/>
  <c r="AC318" i="3"/>
  <c r="Y318" i="3"/>
  <c r="AB310" i="3"/>
  <c r="AC310" i="3"/>
  <c r="Y310" i="3"/>
  <c r="AB302" i="3"/>
  <c r="AC302" i="3"/>
  <c r="Y302" i="3"/>
  <c r="AB294" i="3"/>
  <c r="AC294" i="3"/>
  <c r="Y294" i="3"/>
  <c r="AB286" i="3"/>
  <c r="AC286" i="3"/>
  <c r="Y286" i="3"/>
  <c r="AB278" i="3"/>
  <c r="AC278" i="3"/>
  <c r="Y278" i="3"/>
  <c r="AB270" i="3"/>
  <c r="AC270" i="3"/>
  <c r="Y270" i="3"/>
  <c r="AB262" i="3"/>
  <c r="AC262" i="3"/>
  <c r="Y262" i="3"/>
  <c r="AB254" i="3"/>
  <c r="AC254" i="3"/>
  <c r="Y254" i="3"/>
  <c r="AB246" i="3"/>
  <c r="AC246" i="3"/>
  <c r="Y246" i="3"/>
  <c r="AB238" i="3"/>
  <c r="AC238" i="3"/>
  <c r="Y238" i="3"/>
  <c r="AB230" i="3"/>
  <c r="AC230" i="3"/>
  <c r="Y230" i="3"/>
  <c r="AB222" i="3"/>
  <c r="AC222" i="3"/>
  <c r="Y222" i="3"/>
  <c r="AB214" i="3"/>
  <c r="AC214" i="3"/>
  <c r="Y214" i="3"/>
  <c r="AB206" i="3"/>
  <c r="AC206" i="3"/>
  <c r="Y206" i="3"/>
  <c r="AB198" i="3"/>
  <c r="AC198" i="3"/>
  <c r="Y198" i="3"/>
  <c r="AB190" i="3"/>
  <c r="AC190" i="3"/>
  <c r="Y190" i="3"/>
  <c r="AB182" i="3"/>
  <c r="AC182" i="3"/>
  <c r="Y182" i="3"/>
  <c r="AB174" i="3"/>
  <c r="AC174" i="3"/>
  <c r="Y174" i="3"/>
  <c r="AB166" i="3"/>
  <c r="AC166" i="3"/>
  <c r="Y166" i="3"/>
  <c r="AB158" i="3"/>
  <c r="AC158" i="3"/>
  <c r="Y158" i="3"/>
  <c r="AB150" i="3"/>
  <c r="AC150" i="3"/>
  <c r="Y150" i="3"/>
  <c r="AB142" i="3"/>
  <c r="AC142" i="3"/>
  <c r="Y142" i="3"/>
  <c r="AB134" i="3"/>
  <c r="AC134" i="3"/>
  <c r="Y134" i="3"/>
  <c r="AB126" i="3"/>
  <c r="AC126" i="3"/>
  <c r="Y126" i="3"/>
  <c r="AB118" i="3"/>
  <c r="AC118" i="3"/>
  <c r="Y118" i="3"/>
  <c r="AB110" i="3"/>
  <c r="AC110" i="3"/>
  <c r="Y110" i="3"/>
  <c r="AB102" i="3"/>
  <c r="AC102" i="3"/>
  <c r="Y102" i="3"/>
  <c r="AB94" i="3"/>
  <c r="AC94" i="3"/>
  <c r="Y94" i="3"/>
  <c r="AB86" i="3"/>
  <c r="AC86" i="3"/>
  <c r="Y86" i="3"/>
  <c r="AB78" i="3"/>
  <c r="AC78" i="3"/>
  <c r="Y78" i="3"/>
  <c r="AB70" i="3"/>
  <c r="AC70" i="3"/>
  <c r="Y70" i="3"/>
  <c r="AB62" i="3"/>
  <c r="AC62" i="3"/>
  <c r="Y62" i="3"/>
  <c r="AB54" i="3"/>
  <c r="AC54" i="3"/>
  <c r="Y54" i="3"/>
  <c r="AB46" i="3"/>
  <c r="AC46" i="3"/>
  <c r="Y46" i="3"/>
  <c r="AB38" i="3"/>
  <c r="AC38" i="3"/>
  <c r="Y38" i="3"/>
  <c r="AB30" i="3"/>
  <c r="AC30" i="3"/>
  <c r="Y30" i="3"/>
  <c r="AB22" i="3"/>
  <c r="AC22" i="3"/>
  <c r="Y22" i="3"/>
  <c r="AB14" i="3"/>
  <c r="AC14" i="3"/>
  <c r="Y14" i="3"/>
  <c r="AB6" i="3"/>
  <c r="AC6" i="3"/>
  <c r="Y6" i="3"/>
  <c r="Y614" i="3"/>
  <c r="Y606" i="3"/>
  <c r="Y598" i="3"/>
  <c r="Y583" i="3"/>
  <c r="Y562" i="3"/>
  <c r="Y519" i="3"/>
  <c r="Y477" i="3"/>
  <c r="Y455" i="3"/>
  <c r="Y413" i="3"/>
  <c r="Y391" i="3"/>
  <c r="AC598" i="3"/>
  <c r="AC566" i="3"/>
  <c r="AC534" i="3"/>
  <c r="AB445" i="3"/>
  <c r="AB525" i="3"/>
  <c r="AC525" i="3"/>
  <c r="AC517" i="3"/>
  <c r="AB517" i="3"/>
  <c r="AC501" i="3"/>
  <c r="AB501" i="3"/>
  <c r="AC485" i="3"/>
  <c r="AB485" i="3"/>
  <c r="AC469" i="3"/>
  <c r="AB469" i="3"/>
  <c r="AC453" i="3"/>
  <c r="AB453" i="3"/>
  <c r="AC437" i="3"/>
  <c r="AB437" i="3"/>
  <c r="AC421" i="3"/>
  <c r="AB421" i="3"/>
  <c r="AC405" i="3"/>
  <c r="AB405" i="3"/>
  <c r="AC389" i="3"/>
  <c r="AB389" i="3"/>
  <c r="AC373" i="3"/>
  <c r="AB373" i="3"/>
  <c r="AC357" i="3"/>
  <c r="AB357" i="3"/>
  <c r="AC349" i="3"/>
  <c r="Y349" i="3"/>
  <c r="AB341" i="3"/>
  <c r="AC341" i="3"/>
  <c r="Y341" i="3"/>
  <c r="AC333" i="3"/>
  <c r="AB333" i="3"/>
  <c r="Y333" i="3"/>
  <c r="AB325" i="3"/>
  <c r="AC325" i="3"/>
  <c r="Y325" i="3"/>
  <c r="AB317" i="3"/>
  <c r="Y317" i="3"/>
  <c r="AC317" i="3"/>
  <c r="AB309" i="3"/>
  <c r="AC309" i="3"/>
  <c r="Y309" i="3"/>
  <c r="AC301" i="3"/>
  <c r="Y301" i="3"/>
  <c r="AB293" i="3"/>
  <c r="AC293" i="3"/>
  <c r="Y293" i="3"/>
  <c r="AB285" i="3"/>
  <c r="AC285" i="3"/>
  <c r="Y285" i="3"/>
  <c r="AB277" i="3"/>
  <c r="Y277" i="3"/>
  <c r="AC277" i="3"/>
  <c r="AB269" i="3"/>
  <c r="Y269" i="3"/>
  <c r="AC269" i="3"/>
  <c r="AB261" i="3"/>
  <c r="AC261" i="3"/>
  <c r="Y261" i="3"/>
  <c r="AB253" i="3"/>
  <c r="AC253" i="3"/>
  <c r="Y253" i="3"/>
  <c r="AB245" i="3"/>
  <c r="AC245" i="3"/>
  <c r="Y245" i="3"/>
  <c r="AB237" i="3"/>
  <c r="AC237" i="3"/>
  <c r="Y237" i="3"/>
  <c r="AB229" i="3"/>
  <c r="AC229" i="3"/>
  <c r="Y229" i="3"/>
  <c r="AB221" i="3"/>
  <c r="AC221" i="3"/>
  <c r="Y221" i="3"/>
  <c r="AB213" i="3"/>
  <c r="AC213" i="3"/>
  <c r="Y213" i="3"/>
  <c r="AB205" i="3"/>
  <c r="AC205" i="3"/>
  <c r="Y205" i="3"/>
  <c r="AB197" i="3"/>
  <c r="AC197" i="3"/>
  <c r="Y197" i="3"/>
  <c r="AB189" i="3"/>
  <c r="AC189" i="3"/>
  <c r="Y189" i="3"/>
  <c r="AB181" i="3"/>
  <c r="AC181" i="3"/>
  <c r="Y181" i="3"/>
  <c r="AB173" i="3"/>
  <c r="AC173" i="3"/>
  <c r="Y173" i="3"/>
  <c r="AB165" i="3"/>
  <c r="AC165" i="3"/>
  <c r="Y165" i="3"/>
  <c r="AB157" i="3"/>
  <c r="AC157" i="3"/>
  <c r="Y157" i="3"/>
  <c r="AB149" i="3"/>
  <c r="AC149" i="3"/>
  <c r="Y149" i="3"/>
  <c r="AB141" i="3"/>
  <c r="AC141" i="3"/>
  <c r="Y141" i="3"/>
  <c r="AB133" i="3"/>
  <c r="AC133" i="3"/>
  <c r="Y133" i="3"/>
  <c r="AB125" i="3"/>
  <c r="AC125" i="3"/>
  <c r="Y125" i="3"/>
  <c r="AB117" i="3"/>
  <c r="AC117" i="3"/>
  <c r="Y117" i="3"/>
  <c r="AB109" i="3"/>
  <c r="AC109" i="3"/>
  <c r="Y109" i="3"/>
  <c r="AB101" i="3"/>
  <c r="AC101" i="3"/>
  <c r="Y101" i="3"/>
  <c r="AB93" i="3"/>
  <c r="AC93" i="3"/>
  <c r="Y93" i="3"/>
  <c r="AB85" i="3"/>
  <c r="AC85" i="3"/>
  <c r="Y85" i="3"/>
  <c r="AB77" i="3"/>
  <c r="AC77" i="3"/>
  <c r="Y77" i="3"/>
  <c r="AB69" i="3"/>
  <c r="AC69" i="3"/>
  <c r="Y69" i="3"/>
  <c r="AB61" i="3"/>
  <c r="AC61" i="3"/>
  <c r="Y61" i="3"/>
  <c r="AB53" i="3"/>
  <c r="AC53" i="3"/>
  <c r="Y53" i="3"/>
  <c r="AB45" i="3"/>
  <c r="AC45" i="3"/>
  <c r="Y45" i="3"/>
  <c r="AB37" i="3"/>
  <c r="AC37" i="3"/>
  <c r="Y37" i="3"/>
  <c r="AB29" i="3"/>
  <c r="AC29" i="3"/>
  <c r="Y29" i="3"/>
  <c r="AB21" i="3"/>
  <c r="AC21" i="3"/>
  <c r="Y21" i="3"/>
  <c r="AB13" i="3"/>
  <c r="AC13" i="3"/>
  <c r="Y13" i="3"/>
  <c r="AB5" i="3"/>
  <c r="AC5" i="3"/>
  <c r="Y5" i="3"/>
  <c r="Y559" i="3"/>
  <c r="Y538" i="3"/>
  <c r="Y517" i="3"/>
  <c r="Y495" i="3"/>
  <c r="Y453" i="3"/>
  <c r="Y431" i="3"/>
  <c r="Y389" i="3"/>
  <c r="Y367" i="3"/>
  <c r="Y343" i="3"/>
  <c r="AC562" i="3"/>
  <c r="AC530" i="3"/>
  <c r="AB429" i="3"/>
  <c r="AB273" i="3"/>
  <c r="AB628" i="3"/>
  <c r="AC628" i="3"/>
  <c r="AB620" i="3"/>
  <c r="AC620" i="3"/>
  <c r="AB612" i="3"/>
  <c r="AC612" i="3"/>
  <c r="AB604" i="3"/>
  <c r="AC604" i="3"/>
  <c r="Y596" i="3"/>
  <c r="AB596" i="3"/>
  <c r="AC596" i="3"/>
  <c r="Y588" i="3"/>
  <c r="AB588" i="3"/>
  <c r="AC588" i="3"/>
  <c r="Y580" i="3"/>
  <c r="AB580" i="3"/>
  <c r="AC580" i="3"/>
  <c r="Y572" i="3"/>
  <c r="AB572" i="3"/>
  <c r="AC572" i="3"/>
  <c r="Y564" i="3"/>
  <c r="AB564" i="3"/>
  <c r="AC564" i="3"/>
  <c r="Y556" i="3"/>
  <c r="AB556" i="3"/>
  <c r="AC556" i="3"/>
  <c r="Y548" i="3"/>
  <c r="AB548" i="3"/>
  <c r="AC548" i="3"/>
  <c r="Y540" i="3"/>
  <c r="AB540" i="3"/>
  <c r="AC540" i="3"/>
  <c r="Y532" i="3"/>
  <c r="AB532" i="3"/>
  <c r="AC532" i="3"/>
  <c r="Y524" i="3"/>
  <c r="AB524" i="3"/>
  <c r="AC524" i="3"/>
  <c r="AB516" i="3"/>
  <c r="AC516" i="3"/>
  <c r="Y516" i="3"/>
  <c r="AB508" i="3"/>
  <c r="AC508" i="3"/>
  <c r="Y508" i="3"/>
  <c r="AB500" i="3"/>
  <c r="AC500" i="3"/>
  <c r="Y500" i="3"/>
  <c r="AB492" i="3"/>
  <c r="AC492" i="3"/>
  <c r="Y492" i="3"/>
  <c r="AB484" i="3"/>
  <c r="AC484" i="3"/>
  <c r="Y484" i="3"/>
  <c r="AB476" i="3"/>
  <c r="AC476" i="3"/>
  <c r="Y476" i="3"/>
  <c r="AB468" i="3"/>
  <c r="AC468" i="3"/>
  <c r="Y468" i="3"/>
  <c r="AB460" i="3"/>
  <c r="AC460" i="3"/>
  <c r="Y460" i="3"/>
  <c r="AB452" i="3"/>
  <c r="AC452" i="3"/>
  <c r="Y452" i="3"/>
  <c r="AB444" i="3"/>
  <c r="AC444" i="3"/>
  <c r="Y444" i="3"/>
  <c r="AB436" i="3"/>
  <c r="AC436" i="3"/>
  <c r="Y436" i="3"/>
  <c r="AB428" i="3"/>
  <c r="AC428" i="3"/>
  <c r="Y428" i="3"/>
  <c r="AB420" i="3"/>
  <c r="AC420" i="3"/>
  <c r="Y420" i="3"/>
  <c r="AB412" i="3"/>
  <c r="AC412" i="3"/>
  <c r="Y412" i="3"/>
  <c r="AB404" i="3"/>
  <c r="AC404" i="3"/>
  <c r="Y404" i="3"/>
  <c r="AB396" i="3"/>
  <c r="AC396" i="3"/>
  <c r="Y396" i="3"/>
  <c r="AB388" i="3"/>
  <c r="AC388" i="3"/>
  <c r="Y388" i="3"/>
  <c r="AB380" i="3"/>
  <c r="AC380" i="3"/>
  <c r="Y380" i="3"/>
  <c r="AB372" i="3"/>
  <c r="AC372" i="3"/>
  <c r="Y372" i="3"/>
  <c r="AB364" i="3"/>
  <c r="AC364" i="3"/>
  <c r="Y364" i="3"/>
  <c r="AB356" i="3"/>
  <c r="AC356" i="3"/>
  <c r="Y356" i="3"/>
  <c r="AB348" i="3"/>
  <c r="AC348" i="3"/>
  <c r="Y348" i="3"/>
  <c r="AC340" i="3"/>
  <c r="Y340" i="3"/>
  <c r="AB340" i="3"/>
  <c r="AB332" i="3"/>
  <c r="AC332" i="3"/>
  <c r="Y332" i="3"/>
  <c r="AB324" i="3"/>
  <c r="Y324" i="3"/>
  <c r="AC324" i="3"/>
  <c r="AB316" i="3"/>
  <c r="AC316" i="3"/>
  <c r="Y316" i="3"/>
  <c r="AC308" i="3"/>
  <c r="AB308" i="3"/>
  <c r="Y308" i="3"/>
  <c r="AB300" i="3"/>
  <c r="AC300" i="3"/>
  <c r="Y300" i="3"/>
  <c r="AB292" i="3"/>
  <c r="Y292" i="3"/>
  <c r="AC292" i="3"/>
  <c r="AB284" i="3"/>
  <c r="AC284" i="3"/>
  <c r="Y284" i="3"/>
  <c r="AB276" i="3"/>
  <c r="AC276" i="3"/>
  <c r="Y276" i="3"/>
  <c r="AB268" i="3"/>
  <c r="AC268" i="3"/>
  <c r="Y268" i="3"/>
  <c r="AB260" i="3"/>
  <c r="AC260" i="3"/>
  <c r="Y260" i="3"/>
  <c r="AB252" i="3"/>
  <c r="AC252" i="3"/>
  <c r="Y252" i="3"/>
  <c r="AB244" i="3"/>
  <c r="AC244" i="3"/>
  <c r="Y244" i="3"/>
  <c r="AB236" i="3"/>
  <c r="AC236" i="3"/>
  <c r="Y236" i="3"/>
  <c r="AB228" i="3"/>
  <c r="AC228" i="3"/>
  <c r="Y228" i="3"/>
  <c r="AB220" i="3"/>
  <c r="AC220" i="3"/>
  <c r="Y220" i="3"/>
  <c r="AB212" i="3"/>
  <c r="AC212" i="3"/>
  <c r="Y212" i="3"/>
  <c r="AB204" i="3"/>
  <c r="AC204" i="3"/>
  <c r="Y204" i="3"/>
  <c r="AB196" i="3"/>
  <c r="AC196" i="3"/>
  <c r="Y196" i="3"/>
  <c r="AB188" i="3"/>
  <c r="AC188" i="3"/>
  <c r="Y188" i="3"/>
  <c r="AB180" i="3"/>
  <c r="AC180" i="3"/>
  <c r="Y180" i="3"/>
  <c r="AB172" i="3"/>
  <c r="AC172" i="3"/>
  <c r="Y172" i="3"/>
  <c r="AB164" i="3"/>
  <c r="AC164" i="3"/>
  <c r="Y164" i="3"/>
  <c r="AB156" i="3"/>
  <c r="AC156" i="3"/>
  <c r="Y156" i="3"/>
  <c r="AB148" i="3"/>
  <c r="AC148" i="3"/>
  <c r="Y148" i="3"/>
  <c r="AB140" i="3"/>
  <c r="AC140" i="3"/>
  <c r="Y140" i="3"/>
  <c r="AB132" i="3"/>
  <c r="AC132" i="3"/>
  <c r="Y132" i="3"/>
  <c r="AB124" i="3"/>
  <c r="AC124" i="3"/>
  <c r="Y124" i="3"/>
  <c r="AB116" i="3"/>
  <c r="AC116" i="3"/>
  <c r="Y116" i="3"/>
  <c r="AB108" i="3"/>
  <c r="AC108" i="3"/>
  <c r="Y108" i="3"/>
  <c r="AB100" i="3"/>
  <c r="AC100" i="3"/>
  <c r="Y100" i="3"/>
  <c r="AB92" i="3"/>
  <c r="AC92" i="3"/>
  <c r="Y92" i="3"/>
  <c r="AB84" i="3"/>
  <c r="AC84" i="3"/>
  <c r="Y84" i="3"/>
  <c r="AB76" i="3"/>
  <c r="AC76" i="3"/>
  <c r="Y76" i="3"/>
  <c r="AB68" i="3"/>
  <c r="Y68" i="3"/>
  <c r="AC68" i="3"/>
  <c r="AB60" i="3"/>
  <c r="AC60" i="3"/>
  <c r="Y60" i="3"/>
  <c r="AB52" i="3"/>
  <c r="AC52" i="3"/>
  <c r="Y52" i="3"/>
  <c r="AB44" i="3"/>
  <c r="AC44" i="3"/>
  <c r="Y44" i="3"/>
  <c r="AB36" i="3"/>
  <c r="Y36" i="3"/>
  <c r="AC36" i="3"/>
  <c r="AB28" i="3"/>
  <c r="AC28" i="3"/>
  <c r="Y28" i="3"/>
  <c r="AB20" i="3"/>
  <c r="AC20" i="3"/>
  <c r="Y20" i="3"/>
  <c r="AB12" i="3"/>
  <c r="AC12" i="3"/>
  <c r="Y12" i="3"/>
  <c r="AB4" i="3"/>
  <c r="AC4" i="3"/>
  <c r="Y4" i="3"/>
  <c r="Y628" i="3"/>
  <c r="Y620" i="3"/>
  <c r="Y612" i="3"/>
  <c r="Y604" i="3"/>
  <c r="Y578" i="3"/>
  <c r="Y535" i="3"/>
  <c r="Y493" i="3"/>
  <c r="Y471" i="3"/>
  <c r="Y429" i="3"/>
  <c r="Y407" i="3"/>
  <c r="Y365" i="3"/>
  <c r="AC590" i="3"/>
  <c r="AC558" i="3"/>
  <c r="AC526" i="3"/>
  <c r="AB413" i="3"/>
  <c r="AB217" i="3"/>
  <c r="AC627" i="3"/>
  <c r="AB627" i="3"/>
  <c r="AC619" i="3"/>
  <c r="AB619" i="3"/>
  <c r="AC611" i="3"/>
  <c r="AB611" i="3"/>
  <c r="AC603" i="3"/>
  <c r="AB603" i="3"/>
  <c r="AC595" i="3"/>
  <c r="AB595" i="3"/>
  <c r="AC587" i="3"/>
  <c r="AB587" i="3"/>
  <c r="Y587" i="3"/>
  <c r="AC579" i="3"/>
  <c r="AB579" i="3"/>
  <c r="Y579" i="3"/>
  <c r="AC571" i="3"/>
  <c r="AB571" i="3"/>
  <c r="Y571" i="3"/>
  <c r="AC563" i="3"/>
  <c r="AB563" i="3"/>
  <c r="Y563" i="3"/>
  <c r="AC555" i="3"/>
  <c r="AB555" i="3"/>
  <c r="Y555" i="3"/>
  <c r="AC547" i="3"/>
  <c r="AB547" i="3"/>
  <c r="Y547" i="3"/>
  <c r="AC539" i="3"/>
  <c r="AB539" i="3"/>
  <c r="Y539" i="3"/>
  <c r="AC531" i="3"/>
  <c r="AB531" i="3"/>
  <c r="Y531" i="3"/>
  <c r="AC523" i="3"/>
  <c r="AB523" i="3"/>
  <c r="Y523" i="3"/>
  <c r="AB515" i="3"/>
  <c r="AC515" i="3"/>
  <c r="Y515" i="3"/>
  <c r="AB507" i="3"/>
  <c r="AC507" i="3"/>
  <c r="Y507" i="3"/>
  <c r="AB499" i="3"/>
  <c r="AC499" i="3"/>
  <c r="Y499" i="3"/>
  <c r="AB491" i="3"/>
  <c r="AC491" i="3"/>
  <c r="Y491" i="3"/>
  <c r="AB483" i="3"/>
  <c r="AC483" i="3"/>
  <c r="Y483" i="3"/>
  <c r="AB475" i="3"/>
  <c r="AC475" i="3"/>
  <c r="Y475" i="3"/>
  <c r="AB467" i="3"/>
  <c r="AC467" i="3"/>
  <c r="Y467" i="3"/>
  <c r="AB459" i="3"/>
  <c r="AC459" i="3"/>
  <c r="Y459" i="3"/>
  <c r="AB451" i="3"/>
  <c r="AC451" i="3"/>
  <c r="Y451" i="3"/>
  <c r="AB443" i="3"/>
  <c r="AC443" i="3"/>
  <c r="Y443" i="3"/>
  <c r="AB435" i="3"/>
  <c r="AC435" i="3"/>
  <c r="Y435" i="3"/>
  <c r="AB427" i="3"/>
  <c r="AC427" i="3"/>
  <c r="Y427" i="3"/>
  <c r="AB419" i="3"/>
  <c r="AC419" i="3"/>
  <c r="Y419" i="3"/>
  <c r="AB411" i="3"/>
  <c r="AC411" i="3"/>
  <c r="Y411" i="3"/>
  <c r="AB403" i="3"/>
  <c r="AC403" i="3"/>
  <c r="Y403" i="3"/>
  <c r="AB395" i="3"/>
  <c r="AC395" i="3"/>
  <c r="Y395" i="3"/>
  <c r="AB387" i="3"/>
  <c r="AC387" i="3"/>
  <c r="Y387" i="3"/>
  <c r="AB379" i="3"/>
  <c r="AC379" i="3"/>
  <c r="Y379" i="3"/>
  <c r="AB371" i="3"/>
  <c r="AC371" i="3"/>
  <c r="Y371" i="3"/>
  <c r="AB363" i="3"/>
  <c r="AC363" i="3"/>
  <c r="Y363" i="3"/>
  <c r="AB355" i="3"/>
  <c r="AC355" i="3"/>
  <c r="Y355" i="3"/>
  <c r="AB347" i="3"/>
  <c r="AC347" i="3"/>
  <c r="Y347" i="3"/>
  <c r="AC339" i="3"/>
  <c r="AB339" i="3"/>
  <c r="Y339" i="3"/>
  <c r="AC331" i="3"/>
  <c r="AB331" i="3"/>
  <c r="Y331" i="3"/>
  <c r="AC323" i="3"/>
  <c r="AB323" i="3"/>
  <c r="Y323" i="3"/>
  <c r="AC315" i="3"/>
  <c r="AB315" i="3"/>
  <c r="Y315" i="3"/>
  <c r="AC307" i="3"/>
  <c r="AB307" i="3"/>
  <c r="Y307" i="3"/>
  <c r="AC299" i="3"/>
  <c r="AB299" i="3"/>
  <c r="Y299" i="3"/>
  <c r="AC291" i="3"/>
  <c r="AB291" i="3"/>
  <c r="Y291" i="3"/>
  <c r="AC283" i="3"/>
  <c r="AB283" i="3"/>
  <c r="Y283" i="3"/>
  <c r="AC275" i="3"/>
  <c r="AB275" i="3"/>
  <c r="Y275" i="3"/>
  <c r="AC267" i="3"/>
  <c r="AB267" i="3"/>
  <c r="Y267" i="3"/>
  <c r="AC259" i="3"/>
  <c r="AB259" i="3"/>
  <c r="Y259" i="3"/>
  <c r="AC251" i="3"/>
  <c r="AB251" i="3"/>
  <c r="Y251" i="3"/>
  <c r="AC243" i="3"/>
  <c r="AB243" i="3"/>
  <c r="Y243" i="3"/>
  <c r="AC235" i="3"/>
  <c r="AB235" i="3"/>
  <c r="Y235" i="3"/>
  <c r="AC227" i="3"/>
  <c r="AB227" i="3"/>
  <c r="Y227" i="3"/>
  <c r="AC219" i="3"/>
  <c r="AB219" i="3"/>
  <c r="Y219" i="3"/>
  <c r="AC211" i="3"/>
  <c r="AB211" i="3"/>
  <c r="Y211" i="3"/>
  <c r="AC203" i="3"/>
  <c r="AB203" i="3"/>
  <c r="Y203" i="3"/>
  <c r="AC195" i="3"/>
  <c r="AB195" i="3"/>
  <c r="Y195" i="3"/>
  <c r="AC187" i="3"/>
  <c r="AB187" i="3"/>
  <c r="Y187" i="3"/>
  <c r="AC179" i="3"/>
  <c r="AB179" i="3"/>
  <c r="Y179" i="3"/>
  <c r="AC171" i="3"/>
  <c r="AB171" i="3"/>
  <c r="Y171" i="3"/>
  <c r="AC163" i="3"/>
  <c r="AB163" i="3"/>
  <c r="Y163" i="3"/>
  <c r="AC155" i="3"/>
  <c r="AB155" i="3"/>
  <c r="Y155" i="3"/>
  <c r="AC147" i="3"/>
  <c r="AB147" i="3"/>
  <c r="Y147" i="3"/>
  <c r="AC139" i="3"/>
  <c r="AB139" i="3"/>
  <c r="Y139" i="3"/>
  <c r="AC131" i="3"/>
  <c r="AB131" i="3"/>
  <c r="Y131" i="3"/>
  <c r="AC123" i="3"/>
  <c r="AB123" i="3"/>
  <c r="Y123" i="3"/>
  <c r="AC115" i="3"/>
  <c r="AB115" i="3"/>
  <c r="Y115" i="3"/>
  <c r="AC107" i="3"/>
  <c r="AB107" i="3"/>
  <c r="Y107" i="3"/>
  <c r="AC99" i="3"/>
  <c r="AB99" i="3"/>
  <c r="Y99" i="3"/>
  <c r="AC91" i="3"/>
  <c r="AB91" i="3"/>
  <c r="Y91" i="3"/>
  <c r="AC83" i="3"/>
  <c r="AB83" i="3"/>
  <c r="Y83" i="3"/>
  <c r="AC75" i="3"/>
  <c r="AB75" i="3"/>
  <c r="Y75" i="3"/>
  <c r="AC67" i="3"/>
  <c r="AB67" i="3"/>
  <c r="Y67" i="3"/>
  <c r="AC59" i="3"/>
  <c r="AB59" i="3"/>
  <c r="Y59" i="3"/>
  <c r="AC51" i="3"/>
  <c r="AB51" i="3"/>
  <c r="Y51" i="3"/>
  <c r="AC43" i="3"/>
  <c r="AB43" i="3"/>
  <c r="Y43" i="3"/>
  <c r="AC35" i="3"/>
  <c r="AB35" i="3"/>
  <c r="Y35" i="3"/>
  <c r="AC27" i="3"/>
  <c r="AB27" i="3"/>
  <c r="Y27" i="3"/>
  <c r="AC19" i="3"/>
  <c r="AB19" i="3"/>
  <c r="Y19" i="3"/>
  <c r="AC11" i="3"/>
  <c r="AB11" i="3"/>
  <c r="Y11" i="3"/>
  <c r="AB3" i="3"/>
  <c r="AC3" i="3"/>
  <c r="Y3" i="3"/>
  <c r="Y627" i="3"/>
  <c r="Y619" i="3"/>
  <c r="Y611" i="3"/>
  <c r="Y603" i="3"/>
  <c r="Y575" i="3"/>
  <c r="Y554" i="3"/>
  <c r="Y511" i="3"/>
  <c r="Y469" i="3"/>
  <c r="Y447" i="3"/>
  <c r="Y405" i="3"/>
  <c r="Y383" i="3"/>
  <c r="Y335" i="3"/>
  <c r="AC586" i="3"/>
  <c r="AC554" i="3"/>
  <c r="AC522" i="3"/>
  <c r="AB397" i="3"/>
  <c r="AB153" i="3"/>
  <c r="AB514" i="3"/>
  <c r="AC514" i="3"/>
  <c r="AB506" i="3"/>
  <c r="AC506" i="3"/>
  <c r="AB498" i="3"/>
  <c r="AC498" i="3"/>
  <c r="AB490" i="3"/>
  <c r="AC490" i="3"/>
  <c r="AB482" i="3"/>
  <c r="AC482" i="3"/>
  <c r="AB474" i="3"/>
  <c r="AC474" i="3"/>
  <c r="AB466" i="3"/>
  <c r="AC466" i="3"/>
  <c r="AB458" i="3"/>
  <c r="AC458" i="3"/>
  <c r="AB450" i="3"/>
  <c r="AC450" i="3"/>
  <c r="AB442" i="3"/>
  <c r="AC442" i="3"/>
  <c r="AB434" i="3"/>
  <c r="AC434" i="3"/>
  <c r="AB426" i="3"/>
  <c r="AC426" i="3"/>
  <c r="AB418" i="3"/>
  <c r="AC418" i="3"/>
  <c r="AB410" i="3"/>
  <c r="AC410" i="3"/>
  <c r="AB402" i="3"/>
  <c r="AC402" i="3"/>
  <c r="AB394" i="3"/>
  <c r="AC394" i="3"/>
  <c r="AB386" i="3"/>
  <c r="AC386" i="3"/>
  <c r="AB378" i="3"/>
  <c r="AC378" i="3"/>
  <c r="AB370" i="3"/>
  <c r="AC370" i="3"/>
  <c r="AB362" i="3"/>
  <c r="AC362" i="3"/>
  <c r="AB354" i="3"/>
  <c r="AC354" i="3"/>
  <c r="AB346" i="3"/>
  <c r="AC346" i="3"/>
  <c r="AB338" i="3"/>
  <c r="AC338" i="3"/>
  <c r="AB330" i="3"/>
  <c r="AC330" i="3"/>
  <c r="AB322" i="3"/>
  <c r="AC322" i="3"/>
  <c r="AB314" i="3"/>
  <c r="AC314" i="3"/>
  <c r="AB306" i="3"/>
  <c r="AC306" i="3"/>
  <c r="AB298" i="3"/>
  <c r="AC298" i="3"/>
  <c r="AB290" i="3"/>
  <c r="AC290" i="3"/>
  <c r="AB282" i="3"/>
  <c r="AC282" i="3"/>
  <c r="AB274" i="3"/>
  <c r="AC274" i="3"/>
  <c r="AB266" i="3"/>
  <c r="AC266" i="3"/>
  <c r="AB258" i="3"/>
  <c r="AC258" i="3"/>
  <c r="AB250" i="3"/>
  <c r="AC250" i="3"/>
  <c r="AB242" i="3"/>
  <c r="AC242" i="3"/>
  <c r="AB234" i="3"/>
  <c r="AC234" i="3"/>
  <c r="AB226" i="3"/>
  <c r="AC226" i="3"/>
  <c r="AB218" i="3"/>
  <c r="AC218" i="3"/>
  <c r="AB210" i="3"/>
  <c r="AC210" i="3"/>
  <c r="AB202" i="3"/>
  <c r="AC202" i="3"/>
  <c r="AB194" i="3"/>
  <c r="AC194" i="3"/>
  <c r="AB186" i="3"/>
  <c r="AC186" i="3"/>
  <c r="AB178" i="3"/>
  <c r="AC178" i="3"/>
  <c r="AB170" i="3"/>
  <c r="AC170" i="3"/>
  <c r="AB162" i="3"/>
  <c r="AC162" i="3"/>
  <c r="AB154" i="3"/>
  <c r="AC154" i="3"/>
  <c r="AB146" i="3"/>
  <c r="AC146" i="3"/>
  <c r="AB138" i="3"/>
  <c r="AC138" i="3"/>
  <c r="AB130" i="3"/>
  <c r="AC130" i="3"/>
  <c r="AB122" i="3"/>
  <c r="AC122" i="3"/>
  <c r="AB114" i="3"/>
  <c r="AC114" i="3"/>
  <c r="AB106" i="3"/>
  <c r="AC106" i="3"/>
  <c r="AB98" i="3"/>
  <c r="AC98" i="3"/>
  <c r="AB90" i="3"/>
  <c r="AC90" i="3"/>
  <c r="AB82" i="3"/>
  <c r="AC82" i="3"/>
  <c r="AB74" i="3"/>
  <c r="AC74" i="3"/>
  <c r="AB66" i="3"/>
  <c r="AC66" i="3"/>
  <c r="AB58" i="3"/>
  <c r="AC58" i="3"/>
  <c r="AB50" i="3"/>
  <c r="AC50" i="3"/>
  <c r="AB42" i="3"/>
  <c r="AC42" i="3"/>
  <c r="AB34" i="3"/>
  <c r="AC34" i="3"/>
  <c r="AB26" i="3"/>
  <c r="AC26" i="3"/>
  <c r="AB18" i="3"/>
  <c r="AC18" i="3"/>
  <c r="AB10" i="3"/>
  <c r="AC10" i="3"/>
  <c r="Y551" i="3"/>
  <c r="Y530" i="3"/>
  <c r="Y509" i="3"/>
  <c r="Y487" i="3"/>
  <c r="Y466" i="3"/>
  <c r="Y445" i="3"/>
  <c r="Y423" i="3"/>
  <c r="Y402" i="3"/>
  <c r="Y381" i="3"/>
  <c r="Y359" i="3"/>
  <c r="Y330" i="3"/>
  <c r="Y282" i="3"/>
  <c r="Y218" i="3"/>
  <c r="Y154" i="3"/>
  <c r="Y90" i="3"/>
  <c r="Y26" i="3"/>
  <c r="AC614" i="3"/>
  <c r="AC582" i="3"/>
  <c r="AC550" i="3"/>
  <c r="AB509" i="3"/>
  <c r="AB381" i="3"/>
  <c r="AB79" i="3"/>
  <c r="M4" i="6" l="1"/>
  <c r="F4" i="6"/>
  <c r="W103" i="3"/>
  <c r="W405" i="3"/>
  <c r="W457" i="3"/>
  <c r="W162" i="3"/>
  <c r="W58" i="3"/>
  <c r="W408" i="3"/>
  <c r="W258" i="3"/>
  <c r="W248" i="3"/>
  <c r="W393" i="3"/>
  <c r="W521" i="3"/>
  <c r="W472" i="3"/>
  <c r="W353" i="3"/>
  <c r="W481" i="3"/>
  <c r="W333" i="3"/>
  <c r="W545" i="3"/>
  <c r="W71" i="3"/>
  <c r="W254" i="3"/>
  <c r="W7" i="3"/>
  <c r="W461" i="3"/>
  <c r="W525" i="3"/>
  <c r="W167" i="3"/>
  <c r="W605" i="3"/>
  <c r="W600" i="3"/>
  <c r="W186" i="3"/>
  <c r="W281" i="3"/>
  <c r="W417" i="3"/>
  <c r="W520" i="3"/>
  <c r="W432" i="3"/>
  <c r="W410" i="3"/>
  <c r="W194" i="3"/>
  <c r="W344" i="3"/>
  <c r="W563" i="3"/>
  <c r="W133" i="3"/>
  <c r="W609" i="3"/>
  <c r="W189" i="3"/>
  <c r="W413" i="3"/>
  <c r="W626" i="3"/>
  <c r="W143" i="3"/>
  <c r="W512" i="3"/>
  <c r="W372" i="3"/>
  <c r="W452" i="3"/>
  <c r="W460" i="3"/>
  <c r="W90" i="3"/>
  <c r="W389" i="3"/>
  <c r="W373" i="3"/>
  <c r="W169" i="3"/>
  <c r="W197" i="3"/>
  <c r="W264" i="3"/>
  <c r="W597" i="3"/>
  <c r="W537" i="3"/>
  <c r="W280" i="3"/>
  <c r="W469" i="3"/>
  <c r="W336" i="3"/>
  <c r="W416" i="3"/>
  <c r="W66" i="3"/>
  <c r="W465" i="3"/>
  <c r="W593" i="3"/>
  <c r="W265" i="3"/>
  <c r="W170" i="3"/>
  <c r="W161" i="3"/>
  <c r="W266" i="3"/>
  <c r="W618" i="3"/>
  <c r="W529" i="3"/>
  <c r="W377" i="3"/>
  <c r="W493" i="3"/>
  <c r="W129" i="3"/>
  <c r="W212" i="3"/>
  <c r="W320" i="3"/>
  <c r="W473" i="3"/>
  <c r="W108" i="3"/>
  <c r="W204" i="3"/>
  <c r="W62" i="3"/>
  <c r="W567" i="3"/>
  <c r="W501" i="3"/>
  <c r="W565" i="3"/>
  <c r="W18" i="3"/>
  <c r="W456" i="3"/>
  <c r="W384" i="3"/>
  <c r="W242" i="3"/>
  <c r="W464" i="3"/>
  <c r="W111" i="3"/>
  <c r="W510" i="3"/>
  <c r="W10" i="3"/>
  <c r="W441" i="3"/>
  <c r="V2" i="3"/>
  <c r="H4" i="6" s="1"/>
  <c r="W569" i="3"/>
  <c r="W154" i="3"/>
  <c r="W400" i="3"/>
  <c r="W602" i="3"/>
  <c r="W312" i="3"/>
  <c r="W594" i="3"/>
  <c r="W175" i="3"/>
  <c r="W201" i="3"/>
  <c r="W574" i="3"/>
  <c r="W369" i="3"/>
  <c r="W226" i="3"/>
  <c r="W306" i="3"/>
  <c r="W98" i="3"/>
  <c r="W296" i="3"/>
  <c r="W625" i="3"/>
  <c r="W433" i="3"/>
  <c r="W288" i="3"/>
  <c r="W448" i="3"/>
  <c r="W370" i="3"/>
  <c r="W443" i="3"/>
  <c r="W515" i="3"/>
  <c r="W425" i="3"/>
  <c r="W528" i="3"/>
  <c r="W516" i="3"/>
  <c r="W298" i="3"/>
  <c r="W317" i="3"/>
  <c r="W553" i="3"/>
  <c r="W183" i="3"/>
  <c r="W632" i="3"/>
  <c r="W558" i="3"/>
  <c r="W497" i="3"/>
  <c r="W218" i="3"/>
  <c r="W361" i="3"/>
  <c r="W440" i="3"/>
  <c r="W209" i="3"/>
  <c r="W368" i="3"/>
  <c r="W617" i="3"/>
  <c r="W444" i="3"/>
  <c r="W585" i="3"/>
  <c r="W485" i="3"/>
  <c r="W608" i="3"/>
  <c r="W557" i="3"/>
  <c r="W271" i="3"/>
  <c r="W489" i="3"/>
  <c r="W541" i="3"/>
  <c r="W173" i="3"/>
  <c r="W263" i="3"/>
  <c r="W319" i="3"/>
  <c r="W359" i="3"/>
  <c r="W439" i="3"/>
  <c r="W556" i="3"/>
  <c r="W415" i="3"/>
  <c r="W490" i="3"/>
  <c r="W155" i="3"/>
  <c r="W235" i="3"/>
  <c r="W99" i="3"/>
  <c r="W211" i="3"/>
  <c r="W519" i="3"/>
  <c r="W12" i="3"/>
  <c r="W382" i="3"/>
  <c r="W187" i="3"/>
  <c r="W219" i="3"/>
  <c r="W251" i="3"/>
  <c r="W291" i="3"/>
  <c r="W379" i="3"/>
  <c r="W499" i="3"/>
  <c r="W579" i="3"/>
  <c r="W21" i="3"/>
  <c r="W391" i="3"/>
  <c r="W453" i="3"/>
  <c r="W596" i="3"/>
  <c r="W554" i="3"/>
  <c r="W67" i="3"/>
  <c r="W131" i="3"/>
  <c r="W179" i="3"/>
  <c r="W243" i="3"/>
  <c r="W323" i="3"/>
  <c r="W403" i="3"/>
  <c r="W451" i="3"/>
  <c r="W491" i="3"/>
  <c r="W523" i="3"/>
  <c r="W571" i="3"/>
  <c r="W300" i="3"/>
  <c r="W13" i="3"/>
  <c r="W421" i="3"/>
  <c r="W119" i="3"/>
  <c r="W534" i="3"/>
  <c r="W174" i="3"/>
  <c r="W180" i="3"/>
  <c r="W168" i="3"/>
  <c r="W210" i="3"/>
  <c r="W404" i="3"/>
  <c r="W356" i="3"/>
  <c r="W270" i="3"/>
  <c r="W79" i="3"/>
  <c r="W35" i="3"/>
  <c r="W222" i="3"/>
  <c r="W349" i="3"/>
  <c r="W437" i="3"/>
  <c r="W23" i="3"/>
  <c r="W397" i="3"/>
  <c r="W477" i="3"/>
  <c r="W316" i="3"/>
  <c r="W310" i="3"/>
  <c r="W622" i="3"/>
  <c r="W135" i="3"/>
  <c r="W381" i="3"/>
  <c r="W616" i="3"/>
  <c r="W303" i="3"/>
  <c r="W494" i="3"/>
  <c r="W536" i="3"/>
  <c r="W502" i="3"/>
  <c r="W364" i="3"/>
  <c r="W613" i="3"/>
  <c r="W56" i="3"/>
  <c r="W568" i="3"/>
  <c r="W606" i="3"/>
  <c r="W581" i="3"/>
  <c r="W231" i="3"/>
  <c r="W509" i="3"/>
  <c r="W576" i="3"/>
  <c r="W86" i="3"/>
  <c r="W589" i="3"/>
  <c r="W365" i="3"/>
  <c r="W446" i="3"/>
  <c r="W504" i="3"/>
  <c r="W566" i="3"/>
  <c r="W517" i="3"/>
  <c r="W445" i="3"/>
  <c r="W604" i="3"/>
  <c r="W533" i="3"/>
  <c r="W518" i="3"/>
  <c r="W480" i="3"/>
  <c r="W560" i="3"/>
  <c r="W326" i="3"/>
  <c r="W532" i="3"/>
  <c r="W598" i="3"/>
  <c r="W429" i="3"/>
  <c r="W341" i="3"/>
  <c r="W84" i="3"/>
  <c r="W468" i="3"/>
  <c r="W380" i="3"/>
  <c r="W292" i="3"/>
  <c r="W395" i="3"/>
  <c r="W630" i="3"/>
  <c r="W207" i="3"/>
  <c r="W148" i="3"/>
  <c r="W573" i="3"/>
  <c r="W42" i="3"/>
  <c r="W114" i="3"/>
  <c r="W250" i="3"/>
  <c r="W378" i="3"/>
  <c r="W19" i="3"/>
  <c r="W438" i="3"/>
  <c r="W32" i="3"/>
  <c r="W64" i="3"/>
  <c r="W96" i="3"/>
  <c r="W176" i="3"/>
  <c r="W208" i="3"/>
  <c r="W9" i="3"/>
  <c r="W101" i="3"/>
  <c r="W4" i="3"/>
  <c r="W140" i="3"/>
  <c r="W228" i="3"/>
  <c r="W205" i="3"/>
  <c r="W14" i="3"/>
  <c r="W70" i="3"/>
  <c r="W166" i="3"/>
  <c r="W262" i="3"/>
  <c r="W455" i="3"/>
  <c r="W287" i="3"/>
  <c r="W255" i="3"/>
  <c r="W47" i="3"/>
  <c r="W127" i="3"/>
  <c r="W223" i="3"/>
  <c r="W295" i="3"/>
  <c r="W335" i="3"/>
  <c r="W383" i="3"/>
  <c r="W575" i="3"/>
  <c r="W109" i="3"/>
  <c r="W16" i="3"/>
  <c r="W48" i="3"/>
  <c r="W192" i="3"/>
  <c r="W224" i="3"/>
  <c r="W85" i="3"/>
  <c r="W25" i="3"/>
  <c r="W57" i="3"/>
  <c r="W153" i="3"/>
  <c r="W253" i="3"/>
  <c r="W229" i="3"/>
  <c r="W559" i="3"/>
  <c r="W500" i="3"/>
  <c r="W357" i="3"/>
  <c r="W6" i="3"/>
  <c r="W492" i="3"/>
  <c r="W171" i="3"/>
  <c r="W318" i="3"/>
  <c r="W390" i="3"/>
  <c r="W426" i="3"/>
  <c r="W470" i="3"/>
  <c r="W50" i="3"/>
  <c r="W282" i="3"/>
  <c r="W474" i="3"/>
  <c r="W530" i="3"/>
  <c r="W43" i="3"/>
  <c r="W139" i="3"/>
  <c r="W583" i="3"/>
  <c r="W308" i="3"/>
  <c r="W548" i="3"/>
  <c r="W20" i="3"/>
  <c r="W68" i="3"/>
  <c r="W132" i="3"/>
  <c r="W524" i="3"/>
  <c r="W614" i="3"/>
  <c r="W374" i="3"/>
  <c r="W276" i="3"/>
  <c r="W163" i="3"/>
  <c r="W324" i="3"/>
  <c r="W564" i="3"/>
  <c r="W3" i="3"/>
  <c r="W495" i="3"/>
  <c r="W631" i="3"/>
  <c r="W24" i="3"/>
  <c r="W149" i="3"/>
  <c r="W33" i="3"/>
  <c r="W89" i="3"/>
  <c r="W177" i="3"/>
  <c r="W26" i="3"/>
  <c r="W458" i="3"/>
  <c r="W45" i="3"/>
  <c r="W11" i="3"/>
  <c r="W59" i="3"/>
  <c r="W347" i="3"/>
  <c r="W483" i="3"/>
  <c r="W595" i="3"/>
  <c r="W284" i="3"/>
  <c r="W134" i="3"/>
  <c r="W230" i="3"/>
  <c r="W375" i="3"/>
  <c r="W511" i="3"/>
  <c r="W196" i="3"/>
  <c r="W588" i="3"/>
  <c r="W612" i="3"/>
  <c r="W434" i="3"/>
  <c r="W562" i="3"/>
  <c r="W419" i="3"/>
  <c r="W547" i="3"/>
  <c r="W245" i="3"/>
  <c r="W285" i="3"/>
  <c r="W620" i="3"/>
  <c r="W75" i="3"/>
  <c r="W60" i="3"/>
  <c r="W124" i="3"/>
  <c r="W116" i="3"/>
  <c r="W44" i="3"/>
  <c r="W156" i="3"/>
  <c r="W332" i="3"/>
  <c r="W178" i="3"/>
  <c r="W394" i="3"/>
  <c r="W331" i="3"/>
  <c r="W388" i="3"/>
  <c r="W592" i="3"/>
  <c r="W447" i="3"/>
  <c r="W160" i="3"/>
  <c r="W241" i="3"/>
  <c r="W420" i="3"/>
  <c r="W82" i="3"/>
  <c r="W322" i="3"/>
  <c r="W546" i="3"/>
  <c r="W91" i="3"/>
  <c r="W123" i="3"/>
  <c r="W203" i="3"/>
  <c r="W267" i="3"/>
  <c r="W307" i="3"/>
  <c r="W100" i="3"/>
  <c r="W172" i="3"/>
  <c r="W52" i="3"/>
  <c r="W508" i="3"/>
  <c r="W580" i="3"/>
  <c r="W63" i="3"/>
  <c r="W151" i="3"/>
  <c r="W247" i="3"/>
  <c r="W311" i="3"/>
  <c r="W343" i="3"/>
  <c r="W399" i="3"/>
  <c r="W165" i="3"/>
  <c r="W88" i="3"/>
  <c r="W136" i="3"/>
  <c r="W200" i="3"/>
  <c r="W272" i="3"/>
  <c r="W257" i="3"/>
  <c r="W53" i="3"/>
  <c r="W354" i="3"/>
  <c r="W428" i="3"/>
  <c r="W527" i="3"/>
  <c r="W572" i="3"/>
  <c r="W340" i="3"/>
  <c r="W578" i="3"/>
  <c r="W436" i="3"/>
  <c r="W293" i="3"/>
  <c r="W31" i="3"/>
  <c r="W95" i="3"/>
  <c r="W215" i="3"/>
  <c r="W279" i="3"/>
  <c r="W327" i="3"/>
  <c r="W367" i="3"/>
  <c r="W431" i="3"/>
  <c r="W551" i="3"/>
  <c r="W69" i="3"/>
  <c r="W269" i="3"/>
  <c r="W8" i="3"/>
  <c r="W40" i="3"/>
  <c r="W72" i="3"/>
  <c r="W120" i="3"/>
  <c r="W152" i="3"/>
  <c r="W184" i="3"/>
  <c r="W216" i="3"/>
  <c r="W5" i="3"/>
  <c r="W277" i="3"/>
  <c r="W17" i="3"/>
  <c r="W121" i="3"/>
  <c r="W217" i="3"/>
  <c r="W289" i="3"/>
  <c r="W181" i="3"/>
  <c r="W36" i="3"/>
  <c r="W164" i="3"/>
  <c r="W236" i="3"/>
  <c r="W61" i="3"/>
  <c r="W261" i="3"/>
  <c r="W22" i="3"/>
  <c r="W102" i="3"/>
  <c r="W190" i="3"/>
  <c r="W191" i="3"/>
  <c r="W407" i="3"/>
  <c r="W487" i="3"/>
  <c r="W543" i="3"/>
  <c r="W615" i="3"/>
  <c r="W252" i="3"/>
  <c r="W125" i="3"/>
  <c r="W309" i="3"/>
  <c r="W30" i="3"/>
  <c r="W126" i="3"/>
  <c r="W198" i="3"/>
  <c r="W351" i="3"/>
  <c r="W423" i="3"/>
  <c r="W503" i="3"/>
  <c r="W623" i="3"/>
  <c r="W338" i="3"/>
  <c r="W466" i="3"/>
  <c r="W498" i="3"/>
  <c r="W275" i="3"/>
  <c r="W363" i="3"/>
  <c r="W237" i="3"/>
  <c r="W15" i="3"/>
  <c r="W87" i="3"/>
  <c r="W159" i="3"/>
  <c r="W29" i="3"/>
  <c r="W221" i="3"/>
  <c r="W144" i="3"/>
  <c r="W213" i="3"/>
  <c r="W41" i="3"/>
  <c r="W113" i="3"/>
  <c r="W185" i="3"/>
  <c r="W273" i="3"/>
  <c r="W117" i="3"/>
  <c r="W107" i="3"/>
  <c r="W459" i="3"/>
  <c r="W37" i="3"/>
  <c r="W93" i="3"/>
  <c r="W74" i="3"/>
  <c r="W202" i="3"/>
  <c r="W314" i="3"/>
  <c r="W362" i="3"/>
  <c r="W402" i="3"/>
  <c r="W442" i="3"/>
  <c r="W482" i="3"/>
  <c r="W538" i="3"/>
  <c r="W51" i="3"/>
  <c r="W83" i="3"/>
  <c r="W115" i="3"/>
  <c r="W147" i="3"/>
  <c r="W195" i="3"/>
  <c r="W227" i="3"/>
  <c r="W259" i="3"/>
  <c r="W299" i="3"/>
  <c r="W339" i="3"/>
  <c r="W387" i="3"/>
  <c r="W435" i="3"/>
  <c r="W475" i="3"/>
  <c r="W507" i="3"/>
  <c r="W555" i="3"/>
  <c r="W587" i="3"/>
  <c r="W77" i="3"/>
  <c r="W301" i="3"/>
  <c r="W141" i="3"/>
  <c r="W80" i="3"/>
  <c r="W128" i="3"/>
  <c r="W305" i="3"/>
  <c r="W49" i="3"/>
  <c r="W157" i="3"/>
  <c r="W2" i="3" l="1"/>
  <c r="J4" i="6" s="1"/>
</calcChain>
</file>

<file path=xl/sharedStrings.xml><?xml version="1.0" encoding="utf-8"?>
<sst xmlns="http://schemas.openxmlformats.org/spreadsheetml/2006/main" count="14382" uniqueCount="1518">
  <si>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</si>
  <si>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</si>
  <si>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</si>
  <si>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</si>
  <si>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</si>
  <si>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</si>
  <si>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</si>
  <si>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</si>
  <si>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</si>
  <si>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</si>
  <si>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</si>
  <si>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</si>
  <si>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</si>
  <si>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</si>
  <si>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</si>
  <si>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</si>
  <si>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</si>
  <si>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</si>
  <si>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</si>
  <si>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</si>
  <si>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</si>
  <si>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</si>
  <si>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</si>
  <si>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</si>
  <si>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</si>
  <si>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</si>
  <si>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</si>
  <si>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</si>
  <si>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</si>
  <si>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</si>
  <si>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</si>
  <si>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</si>
  <si>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</si>
  <si>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</si>
  <si>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</si>
  <si>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</si>
  <si>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</si>
  <si>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</si>
  <si>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</si>
  <si>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</si>
  <si>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</si>
  <si>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</si>
  <si>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</si>
  <si>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</si>
  <si>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</si>
  <si>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</si>
  <si>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</si>
  <si>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</si>
  <si>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</si>
  <si>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</si>
  <si>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</si>
  <si>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</si>
  <si>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</si>
  <si>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</si>
  <si>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</si>
  <si>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</si>
  <si>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</si>
  <si>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</si>
  <si>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</si>
  <si>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</si>
  <si>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</si>
  <si>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</si>
  <si>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</si>
  <si>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</si>
  <si>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</si>
  <si>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</si>
  <si>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</si>
  <si>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</si>
  <si>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</si>
  <si>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</si>
  <si>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</si>
  <si>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</si>
  <si>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</si>
  <si>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</si>
  <si>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</si>
  <si>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</si>
  <si>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</si>
  <si>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</si>
  <si>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</si>
  <si>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</si>
  <si>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</si>
  <si>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</si>
  <si>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</si>
  <si>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</si>
  <si>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</si>
  <si>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</si>
  <si>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</si>
  <si>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</si>
  <si>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</si>
  <si>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</si>
  <si>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</si>
  <si>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</si>
  <si>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</si>
  <si>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</si>
  <si>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</si>
  <si>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</si>
  <si>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</si>
  <si>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</si>
  <si>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</si>
  <si>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</si>
  <si>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</si>
  <si>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</si>
  <si>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</si>
  <si>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</si>
  <si>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</si>
  <si>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</si>
  <si>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</si>
  <si>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</si>
  <si>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</si>
  <si>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</si>
  <si>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</si>
  <si>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</si>
  <si>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</si>
  <si>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</si>
  <si>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</si>
  <si>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</si>
  <si>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</si>
  <si>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</si>
  <si>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</si>
  <si>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</si>
  <si>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</si>
  <si>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</si>
  <si>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</si>
  <si>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</si>
  <si>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</si>
  <si>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</si>
  <si>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</si>
  <si>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</si>
  <si>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</si>
  <si>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</si>
  <si>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</si>
  <si>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</si>
  <si>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</si>
  <si>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</si>
  <si>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</si>
  <si>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</si>
  <si>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</si>
  <si>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</si>
  <si>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</si>
  <si>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</si>
  <si>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</si>
  <si>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</si>
  <si>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</si>
  <si>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</si>
  <si>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</si>
  <si>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</si>
  <si>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</si>
  <si>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</si>
  <si>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</si>
  <si>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</si>
  <si>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</si>
  <si>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</si>
  <si>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</si>
  <si>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</si>
  <si>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</si>
  <si>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</si>
  <si>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</si>
  <si>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</si>
  <si>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</si>
  <si>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</si>
  <si>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</si>
  <si>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</si>
  <si>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</si>
  <si>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</si>
  <si>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</si>
  <si>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</si>
  <si>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</si>
  <si>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</si>
  <si>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</si>
  <si>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</si>
  <si>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</si>
  <si>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</si>
  <si>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</si>
  <si>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</si>
  <si>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</si>
  <si>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</si>
  <si>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</si>
  <si>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</si>
  <si>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</si>
  <si>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</si>
  <si>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</si>
  <si>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</si>
  <si>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</si>
  <si>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</si>
  <si>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</si>
  <si>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</si>
  <si>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</si>
  <si>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</si>
  <si>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</si>
  <si>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</si>
  <si>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</si>
  <si>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</si>
  <si>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</si>
  <si>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</si>
  <si>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</si>
  <si>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</si>
  <si>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</si>
  <si>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</si>
  <si>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</si>
  <si>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</si>
  <si>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</si>
  <si>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</si>
  <si>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</si>
  <si>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</si>
  <si>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</si>
  <si>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</si>
  <si>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</si>
  <si>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</si>
  <si>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</si>
  <si>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</si>
  <si>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</si>
  <si>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</si>
  <si>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</si>
  <si>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</si>
  <si>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</si>
  <si>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</si>
  <si>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</si>
  <si>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</si>
  <si>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</si>
  <si>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</si>
  <si>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</si>
  <si>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</si>
  <si>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</si>
  <si>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</si>
  <si>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</si>
  <si>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</si>
  <si>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</si>
  <si>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</si>
  <si>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</si>
  <si>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</si>
  <si>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</si>
  <si>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</si>
  <si>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</si>
  <si>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</si>
  <si>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</si>
  <si>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</si>
  <si>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</si>
  <si>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</si>
  <si>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</si>
  <si>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</si>
  <si>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</si>
  <si>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</si>
  <si>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</si>
  <si>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</si>
  <si>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</si>
  <si>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</si>
  <si>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</si>
  <si>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</si>
  <si>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</si>
  <si>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</si>
  <si>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</si>
  <si>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</si>
  <si>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</si>
  <si>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</si>
  <si>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</si>
  <si>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</si>
  <si>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</si>
  <si>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</si>
  <si>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</si>
  <si>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</si>
  <si>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</si>
  <si>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</si>
  <si>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</si>
  <si>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</si>
  <si>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</si>
  <si>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</si>
  <si>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</si>
  <si>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</si>
  <si>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</si>
  <si>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</si>
  <si>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</si>
  <si>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</si>
  <si>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</si>
  <si>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</si>
  <si>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</si>
  <si>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</si>
  <si>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</si>
  <si>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</si>
  <si>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</si>
  <si>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</si>
  <si>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</si>
  <si>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</si>
  <si>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</si>
  <si>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</si>
  <si>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</si>
  <si>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</si>
  <si>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</si>
  <si>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</si>
  <si>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</si>
  <si>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</si>
  <si>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</si>
  <si>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</si>
  <si>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</si>
  <si>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</si>
  <si>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</si>
  <si>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</si>
  <si>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</si>
  <si>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</si>
  <si>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</si>
  <si>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</si>
  <si>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</si>
  <si>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</si>
  <si>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</si>
  <si>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</si>
  <si>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</si>
  <si>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</si>
  <si>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</si>
  <si>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</si>
  <si>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</si>
  <si>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</si>
  <si>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</si>
  <si>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</si>
  <si>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</si>
  <si>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</si>
  <si>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</si>
  <si>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</si>
  <si>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</si>
  <si>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</si>
  <si>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</si>
  <si>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</si>
  <si>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</si>
  <si>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</si>
  <si>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</si>
  <si>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</si>
  <si>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</si>
  <si>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</si>
  <si>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</si>
  <si>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</si>
  <si>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</si>
  <si>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</si>
  <si>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</si>
  <si>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</si>
  <si>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</si>
  <si>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</si>
  <si>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</si>
  <si>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</si>
  <si>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</si>
  <si>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</si>
  <si>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</si>
  <si>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</si>
  <si>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</si>
  <si>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</si>
  <si>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</si>
  <si>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</si>
  <si>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</si>
  <si>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</si>
  <si>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</si>
  <si>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</si>
  <si>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</si>
  <si>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</si>
  <si>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</si>
  <si>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</si>
  <si>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</si>
  <si>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</si>
  <si>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</si>
  <si>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</si>
  <si>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</si>
  <si>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</si>
  <si>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</si>
  <si>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</si>
  <si>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</si>
  <si>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</si>
  <si>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</si>
  <si>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</si>
  <si>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</si>
  <si>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</si>
  <si>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</si>
  <si>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</si>
  <si>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</si>
  <si>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</si>
  <si>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</si>
  <si>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</si>
  <si>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</si>
  <si>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</si>
  <si>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</si>
  <si>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</si>
  <si>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</si>
  <si>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</si>
  <si>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</si>
  <si>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</si>
  <si>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</si>
  <si>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</si>
  <si>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</si>
  <si>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</si>
  <si>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</si>
  <si>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</si>
  <si>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</si>
  <si>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</si>
  <si>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</si>
  <si>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</si>
  <si>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</si>
  <si>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</si>
  <si>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</si>
  <si>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</si>
  <si>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</si>
  <si>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</si>
  <si>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</si>
  <si>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</si>
  <si>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</si>
  <si>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</si>
  <si>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</si>
  <si>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</si>
  <si>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</si>
  <si>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</si>
  <si>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</si>
  <si>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</si>
  <si>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</si>
  <si>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</si>
  <si>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</si>
  <si>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</si>
  <si>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</si>
  <si>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</si>
  <si>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</si>
  <si>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</si>
  <si>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</si>
  <si>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</si>
  <si>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</si>
  <si>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</si>
  <si>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</si>
  <si>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</si>
  <si>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</si>
  <si>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</si>
  <si>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</si>
  <si>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</si>
  <si>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</si>
  <si>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</si>
  <si>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</si>
  <si>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</si>
  <si>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</si>
  <si>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</si>
  <si>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</si>
  <si>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</si>
  <si>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</si>
  <si>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</si>
  <si>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</si>
  <si>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</si>
  <si>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</si>
  <si>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</si>
  <si>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</si>
  <si>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</si>
  <si>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</si>
  <si>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</si>
  <si>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</si>
  <si>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</si>
  <si>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</si>
  <si>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</si>
  <si>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</si>
  <si>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</si>
  <si>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</si>
  <si>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</si>
  <si>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</si>
  <si>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</si>
  <si>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</si>
  <si>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</si>
  <si>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</si>
  <si>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</si>
  <si>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</si>
  <si>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</si>
  <si>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</si>
  <si>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</si>
  <si>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</si>
  <si>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</si>
  <si>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</si>
  <si>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</si>
  <si>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</si>
  <si>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</si>
  <si>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</si>
  <si>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</si>
  <si>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</si>
  <si>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</si>
  <si>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</si>
  <si>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</si>
  <si>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</si>
  <si>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</si>
  <si>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</si>
  <si>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</si>
  <si>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</si>
  <si>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</si>
  <si>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</si>
  <si>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</si>
  <si>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</si>
  <si>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</si>
  <si>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</si>
  <si>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</si>
  <si>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</si>
  <si>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</si>
  <si>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</si>
  <si>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</si>
  <si>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</si>
  <si>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</si>
  <si>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</si>
  <si>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</si>
  <si>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</si>
  <si>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</si>
  <si>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</si>
  <si>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</si>
  <si>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</si>
  <si>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</si>
  <si>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</si>
  <si>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</si>
  <si>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</si>
  <si>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</si>
  <si>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</si>
  <si>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</si>
  <si>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</si>
  <si>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</si>
  <si>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</si>
  <si>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</si>
  <si>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</si>
  <si>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</si>
  <si>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</si>
  <si>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</si>
  <si>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</si>
  <si>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</si>
  <si>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</si>
  <si>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</si>
  <si>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</si>
  <si>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</si>
  <si>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</si>
  <si>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</si>
  <si>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</si>
  <si>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</si>
  <si>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</si>
  <si>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</si>
  <si>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</si>
  <si>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</si>
  <si>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</si>
  <si>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</si>
  <si>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</si>
  <si>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</si>
  <si>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</si>
  <si>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</si>
  <si>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</si>
  <si>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</si>
  <si>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</si>
  <si>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</si>
  <si>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</si>
  <si>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</si>
  <si>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</si>
  <si>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</si>
  <si>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</si>
  <si>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</si>
  <si>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</si>
  <si>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</si>
  <si>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</si>
  <si>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</si>
  <si>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</si>
  <si>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</si>
  <si>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</si>
  <si>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</si>
  <si>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</si>
  <si>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</si>
  <si>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</si>
  <si>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</si>
  <si>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</si>
  <si>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</si>
  <si>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</si>
  <si>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</si>
  <si>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</si>
  <si>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</si>
  <si>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</si>
  <si>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</si>
  <si>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</si>
  <si>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</si>
  <si>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</si>
  <si>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</si>
  <si>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</si>
  <si>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</si>
  <si>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</si>
  <si>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</si>
  <si>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</si>
  <si>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</si>
  <si>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</si>
  <si>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</si>
  <si>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</si>
  <si>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</si>
  <si>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</si>
  <si>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</si>
  <si>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</si>
  <si>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</si>
  <si>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</si>
  <si>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</si>
  <si>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</si>
  <si>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</si>
  <si>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</si>
  <si>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</si>
  <si>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</si>
  <si>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</si>
  <si>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</si>
  <si>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</si>
  <si>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</si>
  <si>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</si>
  <si>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</si>
  <si>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</si>
  <si>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</si>
  <si>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</si>
  <si>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</si>
  <si>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</si>
  <si>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</si>
  <si>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</si>
  <si>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</si>
  <si>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</si>
  <si>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</si>
  <si>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</si>
  <si>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</si>
  <si>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</si>
  <si>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</si>
  <si>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</si>
  <si>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</si>
  <si>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</si>
  <si>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</si>
  <si>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</si>
  <si>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</si>
  <si>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</si>
  <si>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</si>
  <si>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</si>
  <si>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</si>
  <si>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</si>
  <si>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</si>
  <si>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</si>
  <si>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</si>
  <si>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</si>
  <si>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</si>
  <si>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</si>
  <si>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</si>
  <si>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</si>
  <si>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</si>
  <si>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</si>
  <si>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</si>
  <si>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</si>
  <si>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</si>
  <si>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</si>
  <si>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</si>
  <si>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</si>
  <si>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</si>
  <si>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</si>
  <si>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</si>
  <si>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</si>
  <si>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</si>
  <si>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</si>
  <si>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</si>
  <si>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</si>
  <si>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</si>
  <si>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</si>
  <si>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</si>
  <si>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</si>
  <si>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</si>
  <si>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</si>
  <si>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</si>
  <si>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</si>
  <si>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</si>
  <si>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</si>
  <si>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</si>
  <si>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</si>
  <si>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</si>
  <si>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</si>
  <si>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</si>
  <si>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</si>
  <si>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</si>
  <si>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</si>
  <si>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</si>
  <si>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</si>
  <si>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</si>
  <si>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</si>
  <si>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</si>
  <si>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</si>
  <si>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</si>
  <si>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</si>
  <si>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</si>
  <si>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</si>
  <si>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</si>
  <si>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</si>
  <si>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</si>
  <si>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</si>
  <si>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</si>
  <si>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</si>
  <si>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</si>
  <si>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</si>
  <si>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</si>
  <si>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</si>
  <si>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</si>
  <si>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</si>
  <si>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</si>
  <si>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</si>
  <si>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</si>
  <si>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</si>
  <si>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</si>
  <si>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</si>
  <si>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</si>
  <si>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</si>
  <si>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</si>
  <si>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</si>
  <si>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</si>
  <si>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</si>
  <si>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</si>
  <si>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</si>
  <si>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</si>
  <si>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</si>
  <si>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</si>
  <si>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</si>
  <si>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</si>
  <si>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</si>
  <si>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</si>
  <si>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</si>
  <si>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</si>
  <si>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</si>
  <si>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</si>
  <si>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</si>
  <si>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</si>
  <si>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</si>
  <si>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</si>
  <si>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</si>
  <si>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</si>
  <si>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</si>
  <si>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</si>
  <si>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</si>
  <si>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</si>
  <si>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</si>
  <si>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</si>
  <si>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</si>
  <si>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</si>
  <si>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</si>
  <si>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</si>
  <si>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</si>
  <si>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</si>
  <si>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</si>
  <si>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</si>
  <si>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</si>
  <si>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</si>
  <si>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</si>
  <si>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</si>
  <si>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</si>
  <si>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</si>
  <si>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</si>
  <si>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</si>
  <si>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</si>
  <si>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</si>
  <si>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</si>
  <si>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</si>
  <si>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</si>
  <si>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</si>
  <si>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</si>
  <si>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</si>
  <si>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</si>
  <si>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</si>
  <si>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</si>
  <si>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</si>
  <si>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</si>
  <si>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</si>
  <si>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</si>
  <si>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</si>
  <si>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</si>
  <si>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</si>
  <si>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</si>
  <si>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</si>
  <si>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</si>
  <si>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</si>
  <si>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</si>
  <si>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</si>
  <si>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</si>
  <si>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</si>
  <si>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</si>
  <si>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</si>
  <si>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</si>
  <si>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</si>
  <si>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</si>
  <si>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</si>
  <si>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</si>
  <si>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</si>
  <si>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</si>
  <si>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</si>
  <si>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</si>
  <si>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</si>
  <si>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</si>
  <si>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</si>
  <si>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</si>
  <si>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</si>
  <si>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</si>
  <si>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</si>
  <si>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</si>
  <si>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</si>
  <si>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</si>
  <si>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</si>
  <si>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</si>
  <si>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</si>
  <si>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</si>
  <si>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</si>
  <si>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</si>
  <si>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</si>
  <si>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</si>
  <si>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</si>
  <si>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</si>
  <si>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</si>
  <si>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</si>
  <si>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</si>
  <si>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</si>
  <si>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</si>
  <si>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</si>
  <si>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</si>
  <si>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</si>
  <si>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</si>
  <si>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</si>
  <si>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</si>
  <si>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</si>
  <si>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</si>
  <si>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</si>
  <si>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</si>
  <si>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</si>
  <si>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</si>
  <si>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</si>
  <si>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</si>
  <si>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</si>
  <si>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</si>
  <si>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</si>
  <si>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</si>
  <si>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</si>
  <si>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</si>
  <si>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</si>
  <si>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</si>
  <si>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</si>
  <si>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</si>
  <si>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</si>
  <si>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</si>
  <si>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</si>
  <si>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</si>
  <si>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</si>
  <si>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</si>
  <si>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</si>
  <si>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</si>
  <si>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</si>
  <si>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</si>
  <si>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</si>
  <si>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</si>
  <si>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</si>
  <si>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</si>
  <si>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</si>
  <si>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</si>
  <si>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</si>
  <si>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</si>
  <si>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</si>
  <si>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</si>
  <si>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</si>
  <si>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</si>
  <si>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</si>
  <si>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</si>
  <si>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</si>
  <si>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</si>
  <si>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</si>
  <si>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</si>
  <si>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</si>
  <si>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</si>
  <si>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</si>
  <si>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</si>
  <si>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</si>
  <si>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</si>
  <si>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</si>
  <si>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</si>
  <si>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</si>
  <si>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</si>
  <si>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</si>
  <si>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</si>
  <si>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</si>
  <si>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</si>
  <si>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</si>
  <si>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</si>
  <si>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</si>
  <si>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</si>
  <si>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</si>
  <si>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</si>
  <si>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</si>
  <si>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</si>
  <si>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</si>
  <si>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</si>
  <si>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</si>
  <si>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</si>
  <si>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</si>
  <si>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</si>
  <si>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</si>
  <si>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</si>
  <si>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</si>
  <si>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</si>
  <si>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</si>
  <si>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</si>
  <si>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</si>
  <si>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</si>
  <si>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</si>
  <si>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</si>
  <si>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</si>
  <si>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</si>
  <si>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</si>
  <si>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</si>
  <si>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</si>
  <si>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</si>
  <si>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</si>
  <si>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</si>
  <si>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</si>
  <si>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</si>
  <si>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</si>
  <si>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</si>
  <si>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</si>
  <si>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</si>
  <si>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</si>
  <si>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</si>
  <si>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</si>
  <si>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</si>
  <si>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</si>
  <si>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</si>
  <si>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</si>
  <si>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</si>
  <si>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</si>
  <si>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</si>
  <si>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</si>
  <si>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</si>
  <si>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</si>
  <si>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</si>
  <si>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</si>
  <si>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</si>
  <si>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</si>
  <si>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</si>
  <si>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</si>
  <si>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</si>
  <si>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</si>
  <si>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</si>
  <si>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</si>
  <si>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</si>
  <si>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</si>
  <si>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</si>
  <si>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</si>
  <si>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</si>
  <si>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</si>
  <si>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</si>
  <si>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</si>
  <si>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</si>
  <si>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</si>
  <si>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</si>
  <si>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</si>
  <si>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</si>
  <si>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</si>
  <si>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</si>
  <si>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</si>
  <si>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</si>
  <si>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</si>
  <si>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</si>
  <si>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</si>
  <si>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</si>
  <si>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</si>
  <si>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</si>
  <si>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</si>
  <si>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</si>
  <si>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</si>
  <si>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</si>
  <si>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</si>
  <si>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</si>
  <si>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</si>
  <si>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</si>
  <si>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</si>
  <si>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</si>
  <si>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</si>
  <si>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</si>
  <si>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</si>
  <si>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</si>
  <si>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</si>
  <si>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</si>
  <si>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</si>
  <si>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</si>
  <si>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</si>
  <si>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</si>
  <si>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</si>
  <si>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</si>
  <si>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</si>
  <si>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</si>
  <si>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</si>
  <si>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</si>
  <si>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</si>
  <si>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</si>
  <si>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</si>
  <si>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</si>
  <si>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</si>
  <si>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</si>
  <si>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</si>
  <si>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</si>
  <si>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</si>
  <si>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</si>
  <si>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</si>
  <si>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</si>
  <si>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</si>
  <si>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</si>
  <si>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</si>
  <si>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</si>
  <si>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</si>
  <si>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</si>
  <si>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</si>
  <si>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</si>
  <si>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</si>
  <si>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</si>
  <si>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</si>
  <si>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</si>
  <si>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</si>
  <si>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</si>
  <si>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</si>
  <si>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</si>
  <si>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</si>
  <si>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</si>
  <si>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</si>
  <si>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</si>
  <si>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</si>
  <si>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</si>
  <si>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</si>
  <si>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</si>
  <si>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</si>
  <si>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</si>
  <si>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</si>
  <si>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</si>
  <si>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</si>
  <si>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</si>
  <si>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</si>
  <si>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</si>
  <si>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</si>
  <si>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</si>
  <si>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</si>
  <si>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</si>
  <si>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</si>
  <si>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</si>
  <si>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</si>
  <si>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</si>
  <si>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</si>
  <si>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</si>
  <si>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</si>
  <si>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</si>
  <si>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</si>
  <si>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</si>
  <si>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</si>
  <si>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</si>
  <si>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</si>
  <si>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</si>
  <si>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</si>
  <si>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</si>
  <si>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</si>
  <si>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</si>
  <si>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</si>
  <si>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</si>
  <si>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</si>
  <si>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</si>
  <si>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</si>
  <si>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</si>
  <si>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</si>
  <si>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</si>
  <si>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</si>
  <si>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</si>
  <si>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</si>
  <si>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</si>
  <si>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</si>
  <si>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</si>
  <si>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</si>
  <si>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</si>
  <si>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</si>
  <si>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</si>
  <si>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</si>
  <si>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</si>
  <si>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</si>
  <si>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</si>
  <si>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</si>
  <si>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</si>
  <si>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</si>
  <si>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</si>
  <si>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</si>
  <si>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</si>
  <si>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</si>
  <si>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</si>
  <si>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</si>
  <si>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</si>
  <si>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</si>
  <si>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</si>
  <si>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</si>
  <si>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</si>
  <si>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</si>
  <si>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</si>
  <si>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</si>
  <si>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</si>
  <si>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</si>
  <si>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</si>
  <si>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</si>
  <si>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</si>
  <si>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</si>
  <si>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</si>
  <si>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</si>
  <si>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</si>
  <si>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</si>
  <si>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</si>
  <si>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</si>
  <si>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</si>
  <si>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</si>
  <si>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</si>
  <si>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</si>
  <si>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</si>
  <si>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</si>
  <si>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</si>
  <si>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</si>
  <si>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</si>
  <si>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</si>
  <si>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</si>
  <si>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</si>
  <si>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</si>
  <si>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</si>
  <si>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</si>
  <si>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</si>
  <si>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</si>
  <si>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</si>
  <si>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</si>
  <si>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</si>
  <si>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</si>
  <si>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</si>
  <si>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</si>
  <si>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</si>
  <si>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</si>
  <si>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</si>
  <si>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</si>
  <si>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</si>
  <si>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</si>
  <si>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</si>
  <si>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</si>
  <si>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</si>
  <si>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</si>
  <si>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</si>
  <si>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</si>
  <si>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</si>
  <si>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</si>
  <si>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</si>
  <si>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</si>
  <si>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</si>
  <si>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</si>
  <si>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</si>
  <si>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</si>
  <si>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</si>
  <si>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</si>
  <si>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</si>
  <si>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</si>
  <si>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</si>
  <si>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</si>
  <si>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</si>
  <si>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</si>
  <si>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</si>
  <si>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</si>
  <si>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</si>
  <si>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</si>
  <si>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</si>
  <si>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</si>
  <si>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</si>
  <si>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</si>
  <si>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</si>
  <si>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</si>
  <si>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</si>
  <si>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</si>
  <si>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</si>
  <si>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</si>
  <si>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</si>
  <si>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</si>
  <si>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</si>
  <si>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</si>
  <si>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</si>
  <si>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</si>
  <si>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</si>
  <si>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</si>
  <si>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</si>
  <si>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</si>
  <si>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</si>
  <si>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</si>
  <si>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</si>
  <si>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</si>
  <si>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</si>
  <si>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</si>
  <si>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</si>
  <si>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</si>
  <si>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</si>
  <si>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</si>
  <si>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</si>
  <si>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</si>
  <si>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</si>
  <si>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</si>
  <si>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</si>
  <si>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</si>
  <si>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</si>
  <si>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</si>
  <si>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</si>
  <si>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</si>
  <si>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</si>
  <si>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</si>
  <si>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</si>
  <si>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</si>
  <si>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</si>
  <si>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</si>
  <si>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</si>
  <si>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</si>
  <si>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</si>
  <si>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</si>
  <si>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</si>
  <si>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</si>
  <si>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</si>
  <si>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</si>
  <si>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</si>
  <si>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</si>
  <si>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</si>
  <si>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</si>
  <si>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</si>
  <si>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</si>
  <si>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</si>
  <si>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</si>
  <si>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</si>
  <si>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</si>
  <si>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</si>
  <si>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</si>
  <si>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</si>
  <si>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</si>
  <si>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</si>
  <si>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</si>
  <si>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</si>
  <si>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</si>
  <si>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</si>
  <si>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</si>
  <si>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</si>
  <si>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</si>
  <si>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</si>
  <si>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</si>
  <si>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</si>
  <si>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</si>
  <si>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</si>
  <si>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</si>
  <si>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</si>
  <si>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</si>
  <si>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</si>
  <si>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</si>
  <si>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</si>
  <si>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</si>
  <si>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</si>
  <si>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</si>
  <si>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</si>
  <si>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</si>
  <si>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</si>
  <si>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</si>
  <si>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</si>
  <si>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</si>
  <si>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</si>
  <si>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</si>
  <si>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</si>
  <si>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</si>
  <si>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</si>
  <si>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</si>
  <si>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</si>
  <si>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</si>
  <si>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</si>
  <si>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</si>
  <si>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</si>
  <si>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</si>
  <si>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</si>
  <si>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</si>
  <si>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</si>
  <si>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</si>
  <si>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</si>
  <si>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</si>
  <si>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</si>
  <si>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</si>
  <si>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</si>
  <si>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</si>
  <si>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</si>
  <si>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</si>
  <si>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</si>
  <si>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</si>
  <si>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</si>
  <si>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</si>
  <si>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</si>
  <si>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</si>
  <si>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</si>
  <si>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</si>
  <si>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</si>
  <si>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</si>
  <si>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</si>
  <si>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</si>
  <si>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</si>
  <si>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</si>
  <si>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</si>
  <si>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</si>
  <si>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</si>
  <si>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</si>
  <si>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</si>
  <si>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</si>
  <si>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</si>
  <si>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</si>
  <si>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</si>
  <si>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</si>
  <si>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</si>
  <si>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</si>
  <si>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</si>
  <si>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</si>
  <si>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</si>
  <si>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</si>
  <si>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</si>
  <si>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</si>
  <si>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</si>
  <si>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</si>
  <si>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</si>
  <si>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</si>
  <si>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</si>
  <si>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</si>
  <si>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</si>
  <si>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</si>
  <si>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</si>
  <si>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</si>
  <si>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</si>
  <si>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</si>
  <si>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</si>
  <si>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</si>
  <si>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</si>
  <si>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</si>
  <si>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</si>
  <si>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</si>
  <si>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</si>
  <si>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</si>
  <si>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</si>
  <si>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</si>
  <si>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</si>
  <si>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</si>
  <si>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</si>
  <si>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</si>
  <si>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</si>
  <si>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</si>
  <si>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</si>
  <si>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</si>
  <si>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</si>
  <si>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</si>
  <si>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</si>
  <si>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</si>
  <si>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</si>
  <si>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</si>
  <si>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</si>
  <si>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</si>
  <si>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</si>
  <si>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</si>
  <si>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</si>
  <si>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</si>
  <si>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</si>
  <si>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</si>
  <si>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</si>
  <si>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</si>
  <si>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</si>
  <si>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</si>
  <si>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</si>
  <si>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</si>
  <si>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</si>
  <si>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</si>
  <si>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</si>
  <si>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</si>
  <si>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</si>
  <si>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</si>
  <si>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</si>
  <si>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</si>
  <si>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</si>
  <si>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</si>
  <si>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</si>
  <si>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</si>
  <si>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</si>
  <si>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</si>
  <si>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</si>
  <si>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</si>
  <si>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</si>
  <si>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</si>
  <si>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</si>
  <si>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</si>
  <si>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</si>
  <si>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</si>
  <si>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</si>
  <si>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</si>
  <si>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</si>
  <si>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</si>
  <si>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</si>
  <si>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</si>
  <si>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</si>
  <si>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</si>
  <si>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</si>
  <si>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</si>
  <si>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</si>
  <si>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</si>
  <si>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</si>
  <si>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</si>
  <si>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</si>
  <si>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</si>
  <si>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</si>
  <si>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</si>
  <si>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</si>
  <si>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</si>
  <si>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</si>
  <si>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</si>
  <si>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</si>
  <si>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</si>
  <si>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</si>
  <si>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</si>
  <si>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</si>
  <si>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</si>
  <si>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</si>
  <si>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</si>
  <si>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</si>
  <si>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</si>
  <si>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</si>
  <si>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</si>
  <si>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</si>
  <si>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</si>
  <si>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</si>
  <si>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</si>
  <si>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</si>
  <si>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</si>
  <si>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</si>
  <si>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</si>
  <si>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</si>
  <si>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</si>
  <si>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</si>
  <si>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</si>
  <si>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</si>
  <si>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</si>
  <si>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</si>
  <si>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</si>
  <si>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</si>
  <si>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</si>
  <si>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</si>
  <si>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Discount %</t>
  </si>
  <si>
    <t>Customer Segment</t>
  </si>
  <si>
    <t>Product Category</t>
  </si>
  <si>
    <t>Required Date</t>
  </si>
  <si>
    <t>Order Date</t>
  </si>
  <si>
    <t>Order ID</t>
  </si>
  <si>
    <t>Unit Cost</t>
  </si>
  <si>
    <t>Unit Price</t>
  </si>
  <si>
    <t>Unattributed</t>
  </si>
  <si>
    <t>Lead Time in days</t>
  </si>
  <si>
    <t>Discount % limits</t>
  </si>
  <si>
    <t>Adjusted Unit Price</t>
  </si>
  <si>
    <t>Cost of Goods</t>
  </si>
  <si>
    <t>Gross Revenue</t>
  </si>
  <si>
    <t>Gross Profit</t>
  </si>
  <si>
    <t>Profit Margin %</t>
  </si>
  <si>
    <t>Order Month &amp; Year</t>
  </si>
  <si>
    <t>Quarter</t>
  </si>
  <si>
    <t>Row Labels</t>
  </si>
  <si>
    <t>Grand Total</t>
  </si>
  <si>
    <t>Order Month</t>
  </si>
  <si>
    <t>Jan</t>
  </si>
  <si>
    <t>Feb</t>
  </si>
  <si>
    <t>Mar</t>
  </si>
  <si>
    <t>Apr</t>
  </si>
  <si>
    <t>May</t>
  </si>
  <si>
    <t>Jun</t>
  </si>
  <si>
    <t>Jul</t>
  </si>
  <si>
    <t>Aug</t>
  </si>
  <si>
    <t>Sep</t>
  </si>
  <si>
    <t>Oct</t>
  </si>
  <si>
    <t>Nov</t>
  </si>
  <si>
    <t>Dec</t>
  </si>
  <si>
    <t>Sum of Gross Revenue</t>
  </si>
  <si>
    <t>Year order was placed</t>
  </si>
  <si>
    <t>Column Labels</t>
  </si>
  <si>
    <t>Sum of Gross Profit</t>
  </si>
  <si>
    <t>Average of Profit Margin %</t>
  </si>
  <si>
    <t xml:space="preserve">Global Discount Cap </t>
  </si>
  <si>
    <t>Unit Cost Inflation</t>
  </si>
  <si>
    <t>Increased quantities</t>
  </si>
  <si>
    <t>Increased Quantities simulation</t>
  </si>
  <si>
    <t>Count of Order ID</t>
  </si>
  <si>
    <t>Min of Order Date</t>
  </si>
  <si>
    <t>Count of Product Category</t>
  </si>
  <si>
    <t>(All)</t>
  </si>
  <si>
    <t>Greater than 7 days</t>
  </si>
  <si>
    <t>0-7 days</t>
  </si>
  <si>
    <t>Lead times</t>
  </si>
  <si>
    <t>Service level proxy</t>
  </si>
  <si>
    <t>Channel mix &amp; cannibalization</t>
  </si>
  <si>
    <t>Gross profit</t>
  </si>
  <si>
    <t>% profit margin</t>
  </si>
  <si>
    <t>Leadtime &lt;=7</t>
  </si>
  <si>
    <t>Total gross revenue</t>
  </si>
  <si>
    <t>Average order value</t>
  </si>
  <si>
    <t>ABC analysis</t>
  </si>
  <si>
    <t>Salesperson productivity</t>
  </si>
  <si>
    <t>Price bands by quartile</t>
  </si>
  <si>
    <t>Order count &amp; gross revenue by regional hierarchy</t>
  </si>
  <si>
    <t>2023</t>
  </si>
  <si>
    <t>Total Orders</t>
  </si>
  <si>
    <t>Jan Total</t>
  </si>
  <si>
    <t>Feb Total</t>
  </si>
  <si>
    <t>Mar Total</t>
  </si>
  <si>
    <t>Apr Total</t>
  </si>
  <si>
    <t>May Total</t>
  </si>
  <si>
    <t>Jun Total</t>
  </si>
  <si>
    <t>Jul Total</t>
  </si>
  <si>
    <t>Aug Total</t>
  </si>
  <si>
    <t>Sep Total</t>
  </si>
  <si>
    <t>Oct Total</t>
  </si>
  <si>
    <t>Nov Total</t>
  </si>
  <si>
    <t>Dec Total</t>
  </si>
  <si>
    <t>Months (Order Date)</t>
  </si>
  <si>
    <t>First date of sale by year month &amp; country; total gross revenue by month</t>
  </si>
  <si>
    <t>0-0.1</t>
  </si>
  <si>
    <t>0.1-0.2</t>
  </si>
  <si>
    <t>0.2-0.3</t>
  </si>
  <si>
    <t>0.3-0.4</t>
  </si>
  <si>
    <t>Average of Gross Revenue2</t>
  </si>
  <si>
    <t>0.5-0.6</t>
  </si>
  <si>
    <t>Quarter2</t>
  </si>
  <si>
    <t>Q1</t>
  </si>
  <si>
    <t>Q2</t>
  </si>
  <si>
    <t>Q3</t>
  </si>
  <si>
    <t>Q4</t>
  </si>
  <si>
    <t>Revenue drivers</t>
  </si>
  <si>
    <t>Outliers &gt; 20%</t>
  </si>
  <si>
    <t>&lt; 10%</t>
  </si>
  <si>
    <t>&lt; 20%</t>
  </si>
  <si>
    <t>&lt; 30%</t>
  </si>
  <si>
    <t>&lt; 40%</t>
  </si>
  <si>
    <t>&lt; 50%</t>
  </si>
  <si>
    <t>&lt; 60%</t>
  </si>
  <si>
    <t>All salespeople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</si>
</sst>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m/d/yyyy;@"/>
    <numFmt numFmtId="166" formatCode="[$-409]mmm\-yy;@"/>
  </numFmts>
  <fonts count="13"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0"/>
      <color theme="1"/>
      <name val="Candara"/>
      <family val="2"/>
    </font>
    <font>
      <b/>
      <sz val="10"/>
      <color theme="1"/>
      <name val="Candara"/>
      <family val="2"/>
    </font>
    <font>
      <b/>
      <sz val="16"/>
      <color theme="6" tint="-0.499984740745262"/>
      <name val="Candara"/>
      <family val="2"/>
    </font>
    <font>
      <sz val="10"/>
      <color theme="6" tint="-0.499984740745262"/>
      <name val="Candara"/>
      <family val="2"/>
    </font>
    <font>
      <b/>
      <sz val="16"/>
      <color theme="2" tint="-0.499984740745262"/>
      <name val="Candara"/>
      <family val="2"/>
    </font>
    <font>
      <sz val="10"/>
      <color theme="2" tint="-0.499984740745262"/>
      <name val="Candara"/>
      <family val="2"/>
    </font>
    <font>
      <b/>
      <sz val="11"/>
      <color theme="1" tint="4.9989318521683403E-2"/>
      <name val="Calibri"/>
      <family val="2"/>
      <scheme val="minor"/>
    </font>
    <font>
      <b/>
      <sz val="22"/>
      <color theme="1"/>
      <name val="Candara"/>
      <family val="2"/>
    </font>
    <font>
      <b/>
      <sz val="16"/>
      <color theme="1"/>
      <name val="Candara"/>
      <family val="2"/>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72">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49" fontId="1" fillId="0" borderId="1" xfId="0" applyNumberFormat="1" applyFont="1" applyBorder="1" applyAlignment="1">
      <alignment horizontal="center" vertical="center" wrapText="1"/>
    </xf>
    <xf numFmtId="0" fontId="0" fillId="0" borderId="0" xfId="0" applyAlignment="1">
      <alignment vertical="center" wrapText="1"/>
    </xf>
    <xf numFmtId="0" fontId="0" fillId="2" borderId="0" xfId="0" applyFill="1"/>
    <xf numFmtId="1" fontId="1" fillId="0" borderId="1" xfId="0" applyNumberFormat="1" applyFont="1" applyBorder="1" applyAlignment="1">
      <alignment horizontal="center" vertical="center" wrapText="1"/>
    </xf>
    <xf numFmtId="1" fontId="0" fillId="0" borderId="0" xfId="0" applyNumberFormat="1"/>
    <xf numFmtId="9" fontId="1" fillId="0" borderId="1" xfId="1" applyFont="1" applyBorder="1" applyAlignment="1">
      <alignment horizontal="center" vertical="center" wrapText="1"/>
    </xf>
    <xf numFmtId="9" fontId="0" fillId="0" borderId="0" xfId="1" applyFont="1"/>
    <xf numFmtId="49" fontId="3" fillId="0" borderId="0" xfId="0" applyNumberFormat="1" applyFont="1"/>
    <xf numFmtId="165" fontId="1" fillId="0" borderId="1" xfId="0" applyNumberFormat="1" applyFont="1" applyBorder="1" applyAlignment="1">
      <alignment horizontal="center" vertical="center" wrapText="1"/>
    </xf>
    <xf numFmtId="165" fontId="0" fillId="0" borderId="0" xfId="0" applyNumberFormat="1"/>
    <xf numFmtId="1" fontId="1" fillId="2" borderId="1" xfId="0" applyNumberFormat="1" applyFont="1" applyFill="1" applyBorder="1" applyAlignment="1">
      <alignment horizontal="center" vertical="center" wrapText="1"/>
    </xf>
    <xf numFmtId="1" fontId="0" fillId="2" borderId="0" xfId="0" applyNumberFormat="1" applyFill="1"/>
    <xf numFmtId="0" fontId="1" fillId="2" borderId="1" xfId="0" applyFont="1" applyFill="1" applyBorder="1" applyAlignment="1">
      <alignment horizontal="center" vertical="center" wrapText="1"/>
    </xf>
    <xf numFmtId="43" fontId="1" fillId="0" borderId="1" xfId="0" applyNumberFormat="1" applyFont="1" applyBorder="1" applyAlignment="1">
      <alignment horizontal="center" vertical="center" wrapText="1"/>
    </xf>
    <xf numFmtId="43" fontId="0" fillId="0" borderId="0" xfId="0" applyNumberFormat="1"/>
    <xf numFmtId="43" fontId="0" fillId="2" borderId="0" xfId="0" applyNumberFormat="1" applyFill="1"/>
    <xf numFmtId="9" fontId="1" fillId="2" borderId="1" xfId="1" applyFont="1" applyFill="1" applyBorder="1" applyAlignment="1">
      <alignment horizontal="center" vertical="center" wrapText="1"/>
    </xf>
    <xf numFmtId="9" fontId="0" fillId="2" borderId="0" xfId="1" applyFont="1" applyFill="1"/>
    <xf numFmtId="43" fontId="1" fillId="2"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66" fontId="1" fillId="2" borderId="1" xfId="1" applyNumberFormat="1" applyFont="1" applyFill="1" applyBorder="1" applyAlignment="1">
      <alignment horizontal="center" vertical="center" wrapText="1"/>
    </xf>
    <xf numFmtId="166" fontId="0" fillId="0" borderId="0" xfId="0" applyNumberFormat="1"/>
    <xf numFmtId="14" fontId="0" fillId="2" borderId="0" xfId="0" applyNumberFormat="1" applyFill="1"/>
    <xf numFmtId="14" fontId="1" fillId="2" borderId="1" xfId="1" applyNumberFormat="1" applyFont="1" applyFill="1" applyBorder="1" applyAlignment="1">
      <alignment horizontal="center" vertical="center" wrapText="1"/>
    </xf>
    <xf numFmtId="9" fontId="0" fillId="0" borderId="0" xfId="0" applyNumberFormat="1"/>
    <xf numFmtId="43" fontId="1" fillId="2" borderId="1" xfId="1" applyNumberFormat="1" applyFont="1" applyFill="1" applyBorder="1" applyAlignment="1">
      <alignment horizontal="center" vertical="center" wrapText="1"/>
    </xf>
    <xf numFmtId="10" fontId="0" fillId="0" borderId="0" xfId="0" applyNumberFormat="1"/>
    <xf numFmtId="10" fontId="0" fillId="2" borderId="0" xfId="0" applyNumberFormat="1" applyFill="1"/>
    <xf numFmtId="0" fontId="0" fillId="0" borderId="1" xfId="0" applyBorder="1"/>
    <xf numFmtId="0" fontId="1" fillId="3" borderId="1" xfId="0" applyFont="1" applyFill="1" applyBorder="1"/>
    <xf numFmtId="0" fontId="0" fillId="4" borderId="0" xfId="0" applyFill="1"/>
    <xf numFmtId="0" fontId="10" fillId="0" borderId="1" xfId="0" applyFont="1" applyBorder="1" applyAlignment="1">
      <alignment horizontal="center" vertical="center"/>
    </xf>
    <xf numFmtId="0" fontId="10" fillId="4" borderId="1" xfId="0" applyFont="1" applyFill="1" applyBorder="1"/>
    <xf numFmtId="0" fontId="10" fillId="5" borderId="1" xfId="0" applyFont="1" applyFill="1" applyBorder="1"/>
    <xf numFmtId="0" fontId="10" fillId="6" borderId="1" xfId="0" applyFont="1" applyFill="1" applyBorder="1"/>
    <xf numFmtId="9" fontId="1" fillId="0" borderId="1" xfId="1" applyFont="1" applyBorder="1"/>
    <xf numFmtId="0" fontId="0" fillId="0" borderId="0" xfId="0" pivotButton="1" applyAlignment="1">
      <alignment horizontal="center" vertical="center" wrapText="1"/>
    </xf>
    <xf numFmtId="0" fontId="0" fillId="0" borderId="0" xfId="0" applyAlignment="1">
      <alignment horizontal="center" vertical="center" wrapText="1"/>
    </xf>
    <xf numFmtId="0" fontId="4" fillId="7" borderId="0" xfId="0" applyFont="1" applyFill="1"/>
    <xf numFmtId="0" fontId="5" fillId="7" borderId="0" xfId="0" applyFont="1" applyFill="1"/>
    <xf numFmtId="9" fontId="4" fillId="7" borderId="0" xfId="1" applyFont="1" applyFill="1"/>
    <xf numFmtId="43" fontId="8" fillId="7" borderId="0" xfId="0" applyNumberFormat="1" applyFont="1" applyFill="1"/>
    <xf numFmtId="0" fontId="9" fillId="7" borderId="0" xfId="0" applyFont="1" applyFill="1"/>
    <xf numFmtId="43" fontId="8" fillId="7" borderId="0" xfId="0" applyNumberFormat="1" applyFont="1" applyFill="1" applyAlignment="1">
      <alignment horizontal="center"/>
    </xf>
    <xf numFmtId="43" fontId="6" fillId="7" borderId="0" xfId="0" applyNumberFormat="1" applyFont="1" applyFill="1"/>
    <xf numFmtId="0" fontId="7" fillId="7" borderId="0" xfId="0" applyFont="1" applyFill="1"/>
    <xf numFmtId="10" fontId="4" fillId="7" borderId="0" xfId="0" applyNumberFormat="1" applyFont="1" applyFill="1"/>
    <xf numFmtId="49" fontId="4" fillId="7" borderId="0" xfId="0" applyNumberFormat="1" applyFont="1" applyFill="1"/>
    <xf numFmtId="43" fontId="12" fillId="7" borderId="0" xfId="0" applyNumberFormat="1" applyFont="1" applyFill="1"/>
    <xf numFmtId="10" fontId="12" fillId="7" borderId="0" xfId="1" applyNumberFormat="1" applyFont="1" applyFill="1" applyAlignment="1">
      <alignment horizontal="center"/>
    </xf>
    <xf numFmtId="4" fontId="0" fillId="0" borderId="0" xfId="0" applyNumberFormat="1"/>
    <xf numFmtId="49" fontId="1" fillId="3" borderId="4" xfId="0" applyNumberFormat="1" applyFont="1" applyFill="1" applyBorder="1"/>
    <xf numFmtId="9" fontId="1" fillId="3" borderId="4" xfId="1" applyFont="1" applyFill="1" applyBorder="1"/>
    <xf numFmtId="43" fontId="1" fillId="3" borderId="4" xfId="0" applyNumberFormat="1" applyFont="1" applyFill="1" applyBorder="1"/>
    <xf numFmtId="0" fontId="1" fillId="6" borderId="0" xfId="0" applyFont="1" applyFill="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10" fontId="6" fillId="7" borderId="0" xfId="1" applyNumberFormat="1" applyFont="1" applyFill="1" applyAlignment="1">
      <alignment horizontal="center"/>
    </xf>
    <xf numFmtId="43" fontId="12" fillId="7" borderId="0" xfId="0" applyNumberFormat="1" applyFont="1" applyFill="1" applyAlignment="1">
      <alignment horizontal="center" vertical="center"/>
    </xf>
    <xf numFmtId="10" fontId="12" fillId="7" borderId="0" xfId="1" applyNumberFormat="1" applyFont="1" applyFill="1" applyAlignment="1">
      <alignment horizontal="center"/>
    </xf>
    <xf numFmtId="0" fontId="11" fillId="7" borderId="0" xfId="0" applyFont="1" applyFill="1" applyAlignment="1">
      <alignment horizontal="center" vertical="top" wrapText="1"/>
    </xf>
    <xf numFmtId="0" fontId="4" fillId="7" borderId="0" xfId="0" applyFont="1" applyFill="1"/>
    <xf numFmtId="0" fontId="0" fillId="6" borderId="0" xfId="0" applyFill="1" applyAlignment="1">
      <alignment horizontal="center" vertical="center" wrapText="1"/>
    </xf>
    <xf numFmtId="10" fontId="0" fillId="0" borderId="0" xfId="1" applyNumberFormat="1" applyFont="1"/>
    <xf numFmtId="10" fontId="1" fillId="0" borderId="1" xfId="0" applyNumberFormat="1" applyFont="1" applyBorder="1"/>
    <xf numFmtId="0" fontId="0" fillId="0" borderId="0" xfId="0" applyNumberFormat="1"/>
  </cellXfs>
  <cellStyles count="2">
    <cellStyle name="Normal" xfId="0" builtinId="0"/>
    <cellStyle name="Percent" xfId="1" builtinId="5"/>
  </cellStyles>
  <dxfs count="1971">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35" formatCode="_(* #,##0.00_);_(* \(#,##0.00\);_(* &quot;-&quot;??_);_(@_)"/>
    </dxf>
    <dxf>
      <numFmt numFmtId="167" formatCode="0.0000"/>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rgb="FFFFFF00"/>
        </patternFill>
      </fill>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fill>
        <patternFill patternType="solid">
          <bgColor rgb="FFFFFF00"/>
        </patternFill>
      </fill>
    </dxf>
    <dxf>
      <numFmt numFmtId="167" formatCode="0.0000"/>
    </dxf>
    <dxf>
      <numFmt numFmtId="35" formatCode="_(* #,##0.00_);_(* \(#,##0.00\);_(* &quot;-&quot;??_);_(@_)"/>
    </dxf>
    <dxf>
      <numFmt numFmtId="35" formatCode="_(* #,##0.00_);_(* \(#,##0.00\);_(* &quot;-&quot;??_);_(@_)"/>
    </dxf>
    <dxf>
      <font>
        <color rgb="FF9C0006"/>
      </font>
      <fill>
        <patternFill>
          <bgColor rgb="FFFFC7CE"/>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fill>
        <patternFill patternType="solid">
          <bgColor rgb="FFFFFF00"/>
        </patternFill>
      </fill>
    </dxf>
    <dxf>
      <numFmt numFmtId="167" formatCode="0.0000"/>
    </dxf>
    <dxf>
      <numFmt numFmtId="35" formatCode="_(* #,##0.00_);_(* \(#,##0.00\);_(* &quot;-&quot;??_);_(@_)"/>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fill>
        <patternFill patternType="solid">
          <bgColor theme="5" tint="0.79998168889431442"/>
        </patternFill>
      </fill>
    </dxf>
    <dxf>
      <fill>
        <patternFill patternType="solid">
          <bgColor theme="9" tint="0.79998168889431442"/>
        </patternFill>
      </fill>
    </dxf>
    <dxf>
      <numFmt numFmtId="14" formatCode="0.00%"/>
    </dxf>
    <dxf>
      <fill>
        <patternFill patternType="solid">
          <bgColor theme="6" tint="0.59999389629810485"/>
        </patternFill>
      </fill>
    </dxf>
    <dxf>
      <fill>
        <patternFill patternType="solid">
          <bgColor theme="8" tint="0.79998168889431442"/>
        </patternFill>
      </fill>
    </dxf>
    <dxf>
      <fill>
        <patternFill>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patternType="solid">
          <bgColor theme="6" tint="0.59999389629810485"/>
        </patternFill>
      </fill>
    </dxf>
    <dxf>
      <fill>
        <patternFill patternType="solid">
          <bgColor theme="8" tint="0.79998168889431442"/>
        </patternFill>
      </fill>
    </dxf>
    <dxf>
      <fill>
        <patternFill patternType="solid">
          <bgColor theme="9" tint="0.59999389629810485"/>
        </patternFill>
      </fill>
    </dxf>
    <dxf>
      <fill>
        <patternFill>
          <bgColor theme="6" tint="0.59999389629810485"/>
        </patternFill>
      </fill>
    </dxf>
    <dxf>
      <fill>
        <patternFill>
          <bgColor theme="8" tint="0.79998168889431442"/>
        </patternFill>
      </fill>
    </dxf>
    <dxf>
      <fill>
        <patternFill patternType="solid">
          <bgColor theme="9" tint="0.59999389629810485"/>
        </patternFill>
      </fill>
    </dxf>
    <dxf>
      <fill>
        <patternFill patternType="solid">
          <bgColor rgb="FFFFFF00"/>
        </patternFill>
      </fill>
    </dxf>
    <dxf>
      <numFmt numFmtId="167" formatCode="0.0000"/>
    </dxf>
    <dxf>
      <numFmt numFmtId="35" formatCode="_(* #,##0.00_);_(* \(#,##0.00\);_(* &quot;-&quot;??_);_(@_)"/>
    </dxf>
    <dxf>
      <numFmt numFmtId="35" formatCode="_(* #,##0.00_);_(* \(#,##0.00\);_(* &quot;-&quot;??_);_(@_)"/>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numFmt numFmtId="35" formatCode="_(* #,##0.00_);_(* \(#,##0.00\);_(* &quot;-&quot;??_);_(@_)"/>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theme="1"/>
        <name val="Calibri"/>
        <family val="2"/>
        <scheme val="minor"/>
      </font>
      <numFmt numFmtId="30" formatCode="@"/>
    </dxf>
    <dxf>
      <numFmt numFmtId="35" formatCode="_(* #,##0.00_);_(* \(#,##0.00\);_(* &quot;-&quot;??_);_(@_)"/>
    </dxf>
    <dxf>
      <numFmt numFmtId="30" formatCode="@"/>
    </dxf>
    <dxf>
      <numFmt numFmtId="30" formatCode="@"/>
    </dxf>
    <dxf>
      <numFmt numFmtId="30" formatCode="@"/>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35" formatCode="_(* #,##0.00_);_(* \(#,##0.00\);_(* &quot;-&quot;??_);_(@_)"/>
    </dxf>
    <dxf>
      <numFmt numFmtId="35" formatCode="_(* #,##0.00_);_(* \(#,##0.00\);_(* &quot;-&quot;??_);_(@_)"/>
    </dxf>
    <dxf>
      <numFmt numFmtId="167" formatCode="0.0000"/>
    </dxf>
    <dxf>
      <fill>
        <patternFill patternType="solid">
          <bgColor rgb="FFFFFF00"/>
        </patternFill>
      </fill>
    </dxf>
    <dxf>
      <fill>
        <patternFill patternType="solid">
          <bgColor theme="9" tint="0.59999389629810485"/>
        </patternFill>
      </fill>
    </dxf>
    <dxf>
      <fill>
        <patternFill>
          <bgColor theme="8" tint="0.79998168889431442"/>
        </patternFill>
      </fill>
    </dxf>
    <dxf>
      <fill>
        <patternFill>
          <bgColor theme="6"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6"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6"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6"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6"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6" tint="0.59999389629810485"/>
        </patternFill>
      </fill>
    </dxf>
    <dxf>
      <fill>
        <patternFill patternType="solid">
          <bgColor theme="9" tint="0.59999389629810485"/>
        </patternFill>
      </fill>
    </dxf>
    <dxf>
      <fill>
        <patternFill>
          <bgColor theme="8" tint="0.79998168889431442"/>
        </patternFill>
      </fill>
    </dxf>
    <dxf>
      <fill>
        <patternFill patternType="solid">
          <bgColor theme="8" tint="0.79998168889431442"/>
        </patternFill>
      </fill>
    </dxf>
    <dxf>
      <fill>
        <patternFill patternType="solid">
          <bgColor theme="6" tint="0.59999389629810485"/>
        </patternFill>
      </fill>
    </dxf>
    <dxf>
      <numFmt numFmtId="14" formatCode="0.00%"/>
    </dxf>
    <dxf>
      <fill>
        <patternFill patternType="solid">
          <bgColor theme="9" tint="0.79998168889431442"/>
        </patternFill>
      </fill>
    </dxf>
    <dxf>
      <fill>
        <patternFill patternType="solid">
          <bgColor theme="5" tint="0.79998168889431442"/>
        </patternFill>
      </fill>
    </dxf>
  </dxfs>
  <tableStyles count="0" defaultTableStyle="TableStyleMedium9" defaultPivotStyle="PivotStyleLight16"/>
  <colors>
    <mruColors>
      <color rgb="FFEFDF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Brief.xlsx]Dashboard Pivots!Revenue by Month </c:name>
    <c:fmtId val="1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ndara" panose="020E0502030303020204" pitchFamily="34" charset="0"/>
                <a:ea typeface="+mn-ea"/>
                <a:cs typeface="+mn-cs"/>
              </a:defRPr>
            </a:pPr>
            <a:r>
              <a:rPr lang="en-US" sz="1200" b="1">
                <a:solidFill>
                  <a:schemeClr val="tx1"/>
                </a:solidFill>
              </a:rPr>
              <a:t>Total monthly gross revenue</a:t>
            </a:r>
          </a:p>
        </c:rich>
      </c:tx>
      <c:layout>
        <c:manualLayout>
          <c:xMode val="edge"/>
          <c:yMode val="edge"/>
          <c:x val="0.42494393322639967"/>
          <c:y val="3.9644146202855429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2"/>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3"/>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4"/>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5"/>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6"/>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7"/>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8"/>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9"/>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10"/>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11"/>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12"/>
        <c:spPr>
          <a:solidFill>
            <a:schemeClr val="accent1"/>
          </a:solidFill>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pivotFmt>
      <c:pivotFmt>
        <c:idx val="13"/>
        <c:spPr>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6217030498438"/>
          <c:y val="0.15265968644638142"/>
          <c:w val="0.82843175239836131"/>
          <c:h val="0.66777901713695742"/>
        </c:manualLayout>
      </c:layout>
      <c:lineChart>
        <c:grouping val="stacked"/>
        <c:varyColors val="0"/>
        <c:ser>
          <c:idx val="0"/>
          <c:order val="0"/>
          <c:tx>
            <c:strRef>
              <c:f>'Dashboard Pivots'!$B$3</c:f>
              <c:strCache>
                <c:ptCount val="1"/>
                <c:pt idx="0">
                  <c:v>Total</c:v>
                </c:pt>
              </c:strCache>
            </c:strRef>
          </c:tx>
          <c:spPr>
            <a:ln w="28575" cap="rnd">
              <a:solidFill>
                <a:schemeClr val="accent5">
                  <a:lumMod val="60000"/>
                  <a:lumOff val="40000"/>
                </a:schemeClr>
              </a:solidFill>
              <a:round/>
            </a:ln>
            <a:effectLst/>
          </c:spPr>
          <c:marker>
            <c:symbol val="circle"/>
            <c:size val="5"/>
            <c:spPr>
              <a:solidFill>
                <a:schemeClr val="accent5">
                  <a:lumMod val="50000"/>
                </a:schemeClr>
              </a:solidFill>
              <a:ln w="9525">
                <a:solidFill>
                  <a:schemeClr val="accent1"/>
                </a:solidFill>
              </a:ln>
              <a:effectLst/>
            </c:spPr>
          </c:marker>
          <c:cat>
            <c:strRef>
              <c:f>'Dashboard 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Pivots'!$B$4:$B$16</c:f>
              <c:numCache>
                <c:formatCode>_(* #,##0.00_);_(* \(#,##0.00\);_(* "-"??_);_(@_)</c:formatCode>
                <c:ptCount val="12"/>
                <c:pt idx="0">
                  <c:v>625592.70693734998</c:v>
                </c:pt>
                <c:pt idx="1">
                  <c:v>849078.84242892009</c:v>
                </c:pt>
                <c:pt idx="2">
                  <c:v>699940.27634832996</c:v>
                </c:pt>
                <c:pt idx="3">
                  <c:v>826169.27736704005</c:v>
                </c:pt>
                <c:pt idx="4">
                  <c:v>1143465.3255961097</c:v>
                </c:pt>
                <c:pt idx="5">
                  <c:v>1129353.8751600902</c:v>
                </c:pt>
                <c:pt idx="6">
                  <c:v>1150273.1789273496</c:v>
                </c:pt>
                <c:pt idx="7">
                  <c:v>961205.12200742972</c:v>
                </c:pt>
                <c:pt idx="8">
                  <c:v>571165.24069643999</c:v>
                </c:pt>
                <c:pt idx="9">
                  <c:v>560649.84003024991</c:v>
                </c:pt>
                <c:pt idx="10">
                  <c:v>466577.44179933006</c:v>
                </c:pt>
                <c:pt idx="11">
                  <c:v>656137.93607274012</c:v>
                </c:pt>
              </c:numCache>
            </c:numRef>
          </c:val>
          <c:smooth val="0"/>
          <c:extLst>
            <c:ext xmlns:c16="http://schemas.microsoft.com/office/drawing/2014/chart" uri="{C3380CC4-5D6E-409C-BE32-E72D297353CC}">
              <c16:uniqueId val="{00000000-78F6-4FB8-A93B-498C7C1E9496}"/>
            </c:ext>
          </c:extLst>
        </c:ser>
        <c:dLbls>
          <c:showLegendKey val="0"/>
          <c:showVal val="0"/>
          <c:showCatName val="0"/>
          <c:showSerName val="0"/>
          <c:showPercent val="0"/>
          <c:showBubbleSize val="0"/>
        </c:dLbls>
        <c:marker val="1"/>
        <c:smooth val="0"/>
        <c:axId val="60933008"/>
        <c:axId val="60927728"/>
      </c:lineChart>
      <c:catAx>
        <c:axId val="609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60927728"/>
        <c:crosses val="autoZero"/>
        <c:auto val="1"/>
        <c:lblAlgn val="ctr"/>
        <c:lblOffset val="100"/>
        <c:noMultiLvlLbl val="0"/>
      </c:catAx>
      <c:valAx>
        <c:axId val="60927728"/>
        <c:scaling>
          <c:orientation val="minMax"/>
        </c:scaling>
        <c:delete val="0"/>
        <c:axPos val="l"/>
        <c:majorGridlines>
          <c:spPr>
            <a:ln w="9525" cap="flat" cmpd="sng" algn="ctr">
              <a:solidFill>
                <a:schemeClr val="accent1">
                  <a:alpha val="12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6093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Brief.xlsx]Dashboard Pivots!PivotTable3</c:name>
    <c:fmtId val="21"/>
  </c:pivotSource>
  <c:chart>
    <c:title>
      <c:tx>
        <c:rich>
          <a:bodyPr rot="0" spcFirstLastPara="1" vertOverflow="ellipsis" vert="horz" wrap="square" anchor="ctr" anchorCtr="1"/>
          <a:lstStyle/>
          <a:p>
            <a:pPr>
              <a:defRPr sz="1050" b="1" i="0" u="none" strike="noStrike" kern="1200" spc="0" baseline="0">
                <a:solidFill>
                  <a:schemeClr val="tx1"/>
                </a:solidFill>
                <a:latin typeface="Candara" panose="020E0502030303020204" pitchFamily="34" charset="0"/>
                <a:ea typeface="+mn-ea"/>
                <a:cs typeface="+mn-cs"/>
              </a:defRPr>
            </a:pPr>
            <a:r>
              <a:rPr lang="en-US" sz="1100" b="1">
                <a:solidFill>
                  <a:schemeClr val="tx1"/>
                </a:solidFill>
              </a:rPr>
              <a:t>Total gross profits by region &amp; sales channels</a:t>
            </a:r>
          </a:p>
        </c:rich>
      </c:tx>
      <c:layout>
        <c:manualLayout>
          <c:xMode val="edge"/>
          <c:yMode val="edge"/>
          <c:x val="0.27309814450809888"/>
          <c:y val="4.4173124836762098E-3"/>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7889775896894"/>
          <c:y val="3.8441842968736484E-2"/>
          <c:w val="0.86693530907480087"/>
          <c:h val="0.66338908438302302"/>
        </c:manualLayout>
      </c:layout>
      <c:barChart>
        <c:barDir val="col"/>
        <c:grouping val="stacked"/>
        <c:varyColors val="0"/>
        <c:ser>
          <c:idx val="0"/>
          <c:order val="0"/>
          <c:tx>
            <c:strRef>
              <c:f>'Dashboard Pivots'!$I$3:$I$4</c:f>
              <c:strCache>
                <c:ptCount val="1"/>
                <c:pt idx="0">
                  <c:v>Direct</c:v>
                </c:pt>
              </c:strCache>
            </c:strRef>
          </c:tx>
          <c:spPr>
            <a:solidFill>
              <a:schemeClr val="accent1"/>
            </a:solidFill>
            <a:ln>
              <a:noFill/>
            </a:ln>
            <a:effectLst/>
          </c:spPr>
          <c:invertIfNegative val="0"/>
          <c:cat>
            <c:strRef>
              <c:f>'Dashboard Pivots'!$H$5:$H$9</c:f>
              <c:strCache>
                <c:ptCount val="4"/>
                <c:pt idx="0">
                  <c:v>Africa</c:v>
                </c:pt>
                <c:pt idx="1">
                  <c:v>Americas</c:v>
                </c:pt>
                <c:pt idx="2">
                  <c:v>Asia</c:v>
                </c:pt>
                <c:pt idx="3">
                  <c:v>Europe</c:v>
                </c:pt>
              </c:strCache>
            </c:strRef>
          </c:cat>
          <c:val>
            <c:numRef>
              <c:f>'Dashboard Pivots'!$I$5:$I$9</c:f>
              <c:numCache>
                <c:formatCode>_(* #,##0.00_);_(* \(#,##0.00\);_(* "-"??_);_(@_)</c:formatCode>
                <c:ptCount val="4"/>
                <c:pt idx="0">
                  <c:v>127780.36154975997</c:v>
                </c:pt>
                <c:pt idx="1">
                  <c:v>175514.36648371004</c:v>
                </c:pt>
                <c:pt idx="2">
                  <c:v>154525.01600788001</c:v>
                </c:pt>
                <c:pt idx="3">
                  <c:v>181830.29148414001</c:v>
                </c:pt>
              </c:numCache>
            </c:numRef>
          </c:val>
          <c:extLst>
            <c:ext xmlns:c16="http://schemas.microsoft.com/office/drawing/2014/chart" uri="{C3380CC4-5D6E-409C-BE32-E72D297353CC}">
              <c16:uniqueId val="{00000000-9818-4707-8914-94792E3A37D8}"/>
            </c:ext>
          </c:extLst>
        </c:ser>
        <c:ser>
          <c:idx val="1"/>
          <c:order val="1"/>
          <c:tx>
            <c:strRef>
              <c:f>'Dashboard Pivots'!$J$3:$J$4</c:f>
              <c:strCache>
                <c:ptCount val="1"/>
                <c:pt idx="0">
                  <c:v>Distributor</c:v>
                </c:pt>
              </c:strCache>
            </c:strRef>
          </c:tx>
          <c:spPr>
            <a:solidFill>
              <a:schemeClr val="accent2"/>
            </a:solidFill>
            <a:ln>
              <a:noFill/>
            </a:ln>
            <a:effectLst/>
          </c:spPr>
          <c:invertIfNegative val="0"/>
          <c:cat>
            <c:strRef>
              <c:f>'Dashboard Pivots'!$H$5:$H$9</c:f>
              <c:strCache>
                <c:ptCount val="4"/>
                <c:pt idx="0">
                  <c:v>Africa</c:v>
                </c:pt>
                <c:pt idx="1">
                  <c:v>Americas</c:v>
                </c:pt>
                <c:pt idx="2">
                  <c:v>Asia</c:v>
                </c:pt>
                <c:pt idx="3">
                  <c:v>Europe</c:v>
                </c:pt>
              </c:strCache>
            </c:strRef>
          </c:cat>
          <c:val>
            <c:numRef>
              <c:f>'Dashboard Pivots'!$J$5:$J$9</c:f>
              <c:numCache>
                <c:formatCode>_(* #,##0.00_);_(* \(#,##0.00\);_(* "-"??_);_(@_)</c:formatCode>
                <c:ptCount val="4"/>
                <c:pt idx="0">
                  <c:v>115663.95359717002</c:v>
                </c:pt>
                <c:pt idx="1">
                  <c:v>104438.95285786001</c:v>
                </c:pt>
                <c:pt idx="2">
                  <c:v>82314.573984050003</c:v>
                </c:pt>
                <c:pt idx="3">
                  <c:v>76156.020964699987</c:v>
                </c:pt>
              </c:numCache>
            </c:numRef>
          </c:val>
          <c:extLst>
            <c:ext xmlns:c16="http://schemas.microsoft.com/office/drawing/2014/chart" uri="{C3380CC4-5D6E-409C-BE32-E72D297353CC}">
              <c16:uniqueId val="{00000002-ECA2-42FD-A17E-B9CCD9A41623}"/>
            </c:ext>
          </c:extLst>
        </c:ser>
        <c:ser>
          <c:idx val="2"/>
          <c:order val="2"/>
          <c:tx>
            <c:strRef>
              <c:f>'Dashboard Pivots'!$K$3:$K$4</c:f>
              <c:strCache>
                <c:ptCount val="1"/>
                <c:pt idx="0">
                  <c:v>Marketplace</c:v>
                </c:pt>
              </c:strCache>
            </c:strRef>
          </c:tx>
          <c:spPr>
            <a:solidFill>
              <a:schemeClr val="accent3"/>
            </a:solidFill>
            <a:ln>
              <a:noFill/>
            </a:ln>
            <a:effectLst/>
          </c:spPr>
          <c:invertIfNegative val="0"/>
          <c:cat>
            <c:strRef>
              <c:f>'Dashboard Pivots'!$H$5:$H$9</c:f>
              <c:strCache>
                <c:ptCount val="4"/>
                <c:pt idx="0">
                  <c:v>Africa</c:v>
                </c:pt>
                <c:pt idx="1">
                  <c:v>Americas</c:v>
                </c:pt>
                <c:pt idx="2">
                  <c:v>Asia</c:v>
                </c:pt>
                <c:pt idx="3">
                  <c:v>Europe</c:v>
                </c:pt>
              </c:strCache>
            </c:strRef>
          </c:cat>
          <c:val>
            <c:numRef>
              <c:f>'Dashboard Pivots'!$K$5:$K$9</c:f>
              <c:numCache>
                <c:formatCode>_(* #,##0.00_);_(* \(#,##0.00\);_(* "-"??_);_(@_)</c:formatCode>
                <c:ptCount val="4"/>
                <c:pt idx="0">
                  <c:v>96681.533956000014</c:v>
                </c:pt>
                <c:pt idx="1">
                  <c:v>53060.27541222002</c:v>
                </c:pt>
                <c:pt idx="2">
                  <c:v>35587.826734380011</c:v>
                </c:pt>
                <c:pt idx="3">
                  <c:v>43264.465382850009</c:v>
                </c:pt>
              </c:numCache>
            </c:numRef>
          </c:val>
          <c:extLst>
            <c:ext xmlns:c16="http://schemas.microsoft.com/office/drawing/2014/chart" uri="{C3380CC4-5D6E-409C-BE32-E72D297353CC}">
              <c16:uniqueId val="{00000003-ECA2-42FD-A17E-B9CCD9A41623}"/>
            </c:ext>
          </c:extLst>
        </c:ser>
        <c:ser>
          <c:idx val="3"/>
          <c:order val="3"/>
          <c:tx>
            <c:strRef>
              <c:f>'Dashboard Pivots'!$L$3:$L$4</c:f>
              <c:strCache>
                <c:ptCount val="1"/>
                <c:pt idx="0">
                  <c:v>Online</c:v>
                </c:pt>
              </c:strCache>
            </c:strRef>
          </c:tx>
          <c:spPr>
            <a:solidFill>
              <a:schemeClr val="accent4"/>
            </a:solidFill>
            <a:ln>
              <a:noFill/>
            </a:ln>
            <a:effectLst/>
          </c:spPr>
          <c:invertIfNegative val="0"/>
          <c:cat>
            <c:strRef>
              <c:f>'Dashboard Pivots'!$H$5:$H$9</c:f>
              <c:strCache>
                <c:ptCount val="4"/>
                <c:pt idx="0">
                  <c:v>Africa</c:v>
                </c:pt>
                <c:pt idx="1">
                  <c:v>Americas</c:v>
                </c:pt>
                <c:pt idx="2">
                  <c:v>Asia</c:v>
                </c:pt>
                <c:pt idx="3">
                  <c:v>Europe</c:v>
                </c:pt>
              </c:strCache>
            </c:strRef>
          </c:cat>
          <c:val>
            <c:numRef>
              <c:f>'Dashboard Pivots'!$L$5:$L$9</c:f>
              <c:numCache>
                <c:formatCode>_(* #,##0.00_);_(* \(#,##0.00\);_(* "-"??_);_(@_)</c:formatCode>
                <c:ptCount val="4"/>
                <c:pt idx="0">
                  <c:v>93027.888234769969</c:v>
                </c:pt>
                <c:pt idx="1">
                  <c:v>181844.58170268999</c:v>
                </c:pt>
                <c:pt idx="2">
                  <c:v>110282.29477534996</c:v>
                </c:pt>
                <c:pt idx="3">
                  <c:v>132913.82107929004</c:v>
                </c:pt>
              </c:numCache>
            </c:numRef>
          </c:val>
          <c:extLst>
            <c:ext xmlns:c16="http://schemas.microsoft.com/office/drawing/2014/chart" uri="{C3380CC4-5D6E-409C-BE32-E72D297353CC}">
              <c16:uniqueId val="{00000004-ECA2-42FD-A17E-B9CCD9A41623}"/>
            </c:ext>
          </c:extLst>
        </c:ser>
        <c:ser>
          <c:idx val="4"/>
          <c:order val="4"/>
          <c:tx>
            <c:strRef>
              <c:f>'Dashboard Pivots'!$M$3:$M$4</c:f>
              <c:strCache>
                <c:ptCount val="1"/>
                <c:pt idx="0">
                  <c:v>Retail</c:v>
                </c:pt>
              </c:strCache>
            </c:strRef>
          </c:tx>
          <c:spPr>
            <a:solidFill>
              <a:schemeClr val="accent5"/>
            </a:solidFill>
            <a:ln>
              <a:noFill/>
            </a:ln>
            <a:effectLst/>
          </c:spPr>
          <c:invertIfNegative val="0"/>
          <c:cat>
            <c:strRef>
              <c:f>'Dashboard Pivots'!$H$5:$H$9</c:f>
              <c:strCache>
                <c:ptCount val="4"/>
                <c:pt idx="0">
                  <c:v>Africa</c:v>
                </c:pt>
                <c:pt idx="1">
                  <c:v>Americas</c:v>
                </c:pt>
                <c:pt idx="2">
                  <c:v>Asia</c:v>
                </c:pt>
                <c:pt idx="3">
                  <c:v>Europe</c:v>
                </c:pt>
              </c:strCache>
            </c:strRef>
          </c:cat>
          <c:val>
            <c:numRef>
              <c:f>'Dashboard Pivots'!$M$5:$M$9</c:f>
              <c:numCache>
                <c:formatCode>_(* #,##0.00_);_(* \(#,##0.00\);_(* "-"??_);_(@_)</c:formatCode>
                <c:ptCount val="4"/>
                <c:pt idx="0">
                  <c:v>87748.836085789968</c:v>
                </c:pt>
                <c:pt idx="1">
                  <c:v>27320.005694799984</c:v>
                </c:pt>
                <c:pt idx="2">
                  <c:v>76616.391801780017</c:v>
                </c:pt>
                <c:pt idx="3">
                  <c:v>120954.58469904997</c:v>
                </c:pt>
              </c:numCache>
            </c:numRef>
          </c:val>
          <c:extLst>
            <c:ext xmlns:c16="http://schemas.microsoft.com/office/drawing/2014/chart" uri="{C3380CC4-5D6E-409C-BE32-E72D297353CC}">
              <c16:uniqueId val="{00000005-ECA2-42FD-A17E-B9CCD9A41623}"/>
            </c:ext>
          </c:extLst>
        </c:ser>
        <c:ser>
          <c:idx val="5"/>
          <c:order val="5"/>
          <c:tx>
            <c:strRef>
              <c:f>'Dashboard Pivots'!$N$3:$N$4</c:f>
              <c:strCache>
                <c:ptCount val="1"/>
                <c:pt idx="0">
                  <c:v>Unattributed</c:v>
                </c:pt>
              </c:strCache>
            </c:strRef>
          </c:tx>
          <c:spPr>
            <a:solidFill>
              <a:schemeClr val="accent6"/>
            </a:solidFill>
            <a:ln>
              <a:noFill/>
            </a:ln>
            <a:effectLst/>
          </c:spPr>
          <c:invertIfNegative val="0"/>
          <c:cat>
            <c:strRef>
              <c:f>'Dashboard Pivots'!$H$5:$H$9</c:f>
              <c:strCache>
                <c:ptCount val="4"/>
                <c:pt idx="0">
                  <c:v>Africa</c:v>
                </c:pt>
                <c:pt idx="1">
                  <c:v>Americas</c:v>
                </c:pt>
                <c:pt idx="2">
                  <c:v>Asia</c:v>
                </c:pt>
                <c:pt idx="3">
                  <c:v>Europe</c:v>
                </c:pt>
              </c:strCache>
            </c:strRef>
          </c:cat>
          <c:val>
            <c:numRef>
              <c:f>'Dashboard Pivots'!$N$5:$N$9</c:f>
              <c:numCache>
                <c:formatCode>_(* #,##0.00_);_(* \(#,##0.00\);_(* "-"??_);_(@_)</c:formatCode>
                <c:ptCount val="4"/>
                <c:pt idx="0">
                  <c:v>12862.25821589</c:v>
                </c:pt>
                <c:pt idx="1">
                  <c:v>777.95999999999913</c:v>
                </c:pt>
                <c:pt idx="2">
                  <c:v>13685.926910310001</c:v>
                </c:pt>
                <c:pt idx="3">
                  <c:v>7009.1657569400004</c:v>
                </c:pt>
              </c:numCache>
            </c:numRef>
          </c:val>
          <c:extLst>
            <c:ext xmlns:c16="http://schemas.microsoft.com/office/drawing/2014/chart" uri="{C3380CC4-5D6E-409C-BE32-E72D297353CC}">
              <c16:uniqueId val="{0000000A-1592-4227-86E7-78438118FA89}"/>
            </c:ext>
          </c:extLst>
        </c:ser>
        <c:dLbls>
          <c:showLegendKey val="0"/>
          <c:showVal val="0"/>
          <c:showCatName val="0"/>
          <c:showSerName val="0"/>
          <c:showPercent val="0"/>
          <c:showBubbleSize val="0"/>
        </c:dLbls>
        <c:gapWidth val="150"/>
        <c:overlap val="100"/>
        <c:axId val="1481136896"/>
        <c:axId val="1481140736"/>
      </c:barChart>
      <c:catAx>
        <c:axId val="14811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481140736"/>
        <c:crosses val="autoZero"/>
        <c:auto val="1"/>
        <c:lblAlgn val="ctr"/>
        <c:lblOffset val="50"/>
        <c:noMultiLvlLbl val="0"/>
      </c:catAx>
      <c:valAx>
        <c:axId val="1481140736"/>
        <c:scaling>
          <c:orientation val="minMax"/>
          <c:max val="1000000"/>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481136896"/>
        <c:crosses val="autoZero"/>
        <c:crossBetween val="between"/>
      </c:valAx>
      <c:spPr>
        <a:noFill/>
        <a:ln>
          <a:noFill/>
        </a:ln>
        <a:effectLst/>
      </c:spPr>
    </c:plotArea>
    <c:legend>
      <c:legendPos val="r"/>
      <c:layout>
        <c:manualLayout>
          <c:xMode val="edge"/>
          <c:yMode val="edge"/>
          <c:x val="0.15360929128913936"/>
          <c:y val="0.80332802247865909"/>
          <c:w val="0.14747874587823384"/>
          <c:h val="0.19667176322023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Brief.xlsx]Dashboard Pivots!Top 10 SKUs by Revenue (bar)</c:name>
    <c:fmtId val="20"/>
  </c:pivotSource>
  <c:chart>
    <c:title>
      <c:tx>
        <c:rich>
          <a:bodyPr rot="0" spcFirstLastPara="1" vertOverflow="ellipsis" vert="horz" wrap="square" anchor="ctr" anchorCtr="1"/>
          <a:lstStyle/>
          <a:p>
            <a:pPr>
              <a:defRPr sz="1200" b="1" i="0" u="none" strike="noStrike" kern="1200" spc="0" baseline="0">
                <a:solidFill>
                  <a:schemeClr val="tx1"/>
                </a:solidFill>
                <a:latin typeface="Candara" panose="020E0502030303020204" pitchFamily="34" charset="0"/>
                <a:ea typeface="+mn-ea"/>
                <a:cs typeface="+mn-cs"/>
              </a:defRPr>
            </a:pPr>
            <a:r>
              <a:rPr lang="en-US" sz="1200" b="1">
                <a:solidFill>
                  <a:schemeClr val="tx1"/>
                </a:solidFill>
              </a:rPr>
              <a:t>Top performing </a:t>
            </a:r>
            <a:r>
              <a:rPr lang="en-US" sz="1200" b="1" baseline="0">
                <a:solidFill>
                  <a:schemeClr val="tx1"/>
                </a:solidFill>
              </a:rPr>
              <a:t>SKUs</a:t>
            </a:r>
            <a:endParaRPr lang="en-US" sz="1200" b="1">
              <a:solidFill>
                <a:schemeClr val="tx1"/>
              </a:solidFill>
            </a:endParaRPr>
          </a:p>
        </c:rich>
      </c:tx>
      <c:layout>
        <c:manualLayout>
          <c:xMode val="edge"/>
          <c:yMode val="edge"/>
          <c:x val="0.61044445019280291"/>
          <c:y val="5.298739195331135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ndara" panose="020E0502030303020204" pitchFamily="34" charset="0"/>
              <a:ea typeface="+mn-ea"/>
              <a:cs typeface="+mn-cs"/>
            </a:defRPr>
          </a:pPr>
          <a:endParaRPr lang="en-US"/>
        </a:p>
      </c:txPr>
    </c:title>
    <c:autoTitleDeleted val="0"/>
    <c:pivotFmts>
      <c:pivotFmt>
        <c:idx val="0"/>
        <c:spPr>
          <a:gradFill flip="none" rotWithShape="1">
            <a:gsLst>
              <a:gs pos="0">
                <a:schemeClr val="accent5">
                  <a:lumMod val="60000"/>
                  <a:lumOff val="40000"/>
                </a:schemeClr>
              </a:gs>
              <a:gs pos="95000">
                <a:schemeClr val="accent5">
                  <a:lumMod val="20000"/>
                  <a:lumOff val="80000"/>
                  <a:alpha val="80000"/>
                </a:schemeClr>
              </a:gs>
            </a:gsLst>
            <a:lin ang="5400000" scaled="1"/>
            <a:tileRect/>
          </a:gradFill>
          <a:ln>
            <a:solidFill>
              <a:schemeClr val="accent5">
                <a:lumMod val="75000"/>
              </a:schemeClr>
            </a:solidFill>
          </a:ln>
          <a:effectLst/>
        </c:spPr>
        <c:marker>
          <c:symbol val="none"/>
        </c:marker>
        <c:dLbl>
          <c:idx val="0"/>
          <c:spPr>
            <a:noFill/>
            <a:ln>
              <a:no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andara" panose="020E0502030303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0000"/>
                  <a:lumOff val="40000"/>
                </a:schemeClr>
              </a:gs>
              <a:gs pos="95000">
                <a:schemeClr val="accent5">
                  <a:lumMod val="20000"/>
                  <a:lumOff val="80000"/>
                  <a:alpha val="80000"/>
                </a:schemeClr>
              </a:gs>
            </a:gsLst>
            <a:lin ang="5400000" scaled="1"/>
            <a:tileRect/>
          </a:gradFill>
          <a:ln>
            <a:solidFill>
              <a:schemeClr val="accent5">
                <a:lumMod val="75000"/>
              </a:schemeClr>
            </a:solidFill>
          </a:ln>
          <a:effectLst/>
        </c:spPr>
        <c:marker>
          <c:symbol val="none"/>
        </c:marker>
        <c:dLbl>
          <c:idx val="0"/>
          <c:spPr>
            <a:noFill/>
            <a:ln>
              <a:no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ln w="28575" cap="rnd">
            <a:solidFill>
              <a:schemeClr val="accent1"/>
            </a:solidFill>
            <a:round/>
          </a:ln>
          <a:effectLst/>
        </c:spPr>
        <c:marker>
          <c:symbol val="circle"/>
          <c:size val="5"/>
          <c:spPr>
            <a:solidFill>
              <a:schemeClr val="accent2">
                <a:lumMod val="5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9990013064821"/>
          <c:y val="0.10333082019930538"/>
          <c:w val="0.87324958767916672"/>
          <c:h val="0.6363732788120503"/>
        </c:manualLayout>
      </c:layout>
      <c:barChart>
        <c:barDir val="col"/>
        <c:grouping val="clustered"/>
        <c:varyColors val="0"/>
        <c:ser>
          <c:idx val="0"/>
          <c:order val="0"/>
          <c:tx>
            <c:strRef>
              <c:f>'Dashboard Pivots'!$S$3</c:f>
              <c:strCache>
                <c:ptCount val="1"/>
                <c:pt idx="0">
                  <c:v>Sum of Gross Profit</c:v>
                </c:pt>
              </c:strCache>
            </c:strRef>
          </c:tx>
          <c:spPr>
            <a:gradFill flip="none" rotWithShape="1">
              <a:gsLst>
                <a:gs pos="0">
                  <a:schemeClr val="accent5">
                    <a:lumMod val="60000"/>
                    <a:lumOff val="40000"/>
                  </a:schemeClr>
                </a:gs>
                <a:gs pos="95000">
                  <a:schemeClr val="accent5">
                    <a:lumMod val="20000"/>
                    <a:lumOff val="80000"/>
                    <a:alpha val="80000"/>
                  </a:schemeClr>
                </a:gs>
              </a:gsLst>
              <a:lin ang="5400000" scaled="1"/>
              <a:tileRect/>
            </a:gradFill>
            <a:ln>
              <a:solidFill>
                <a:schemeClr val="accent5">
                  <a:lumMod val="75000"/>
                </a:schemeClr>
              </a:solidFill>
            </a:ln>
            <a:effectLst/>
          </c:spPr>
          <c:invertIfNegative val="0"/>
          <c:dLbls>
            <c:spPr>
              <a:noFill/>
              <a:ln>
                <a:no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 Pivots'!$R$4:$R$14</c:f>
              <c:strCache>
                <c:ptCount val="10"/>
                <c:pt idx="0">
                  <c:v>NET-2365</c:v>
                </c:pt>
                <c:pt idx="1">
                  <c:v>NET-5987</c:v>
                </c:pt>
                <c:pt idx="2">
                  <c:v>LAP-3904</c:v>
                </c:pt>
                <c:pt idx="3">
                  <c:v>NET-1612</c:v>
                </c:pt>
                <c:pt idx="4">
                  <c:v>LAP-8825</c:v>
                </c:pt>
                <c:pt idx="5">
                  <c:v>CMP-8851</c:v>
                </c:pt>
                <c:pt idx="6">
                  <c:v>PHN-8368</c:v>
                </c:pt>
                <c:pt idx="7">
                  <c:v>LAP-8910</c:v>
                </c:pt>
                <c:pt idx="8">
                  <c:v>ACC-6626</c:v>
                </c:pt>
                <c:pt idx="9">
                  <c:v>LAP-6499</c:v>
                </c:pt>
              </c:strCache>
            </c:strRef>
          </c:cat>
          <c:val>
            <c:numRef>
              <c:f>'Dashboard Pivots'!$S$4:$S$14</c:f>
              <c:numCache>
                <c:formatCode>_(* #,##0.00_);_(* \(#,##0.00\);_(* "-"??_);_(@_)</c:formatCode>
                <c:ptCount val="10"/>
                <c:pt idx="0">
                  <c:v>65188.659999999996</c:v>
                </c:pt>
                <c:pt idx="1">
                  <c:v>45921.930324399997</c:v>
                </c:pt>
                <c:pt idx="2">
                  <c:v>42149.285558719988</c:v>
                </c:pt>
                <c:pt idx="3">
                  <c:v>34798.743868799982</c:v>
                </c:pt>
                <c:pt idx="4">
                  <c:v>32830.14</c:v>
                </c:pt>
                <c:pt idx="5">
                  <c:v>32063.753504959997</c:v>
                </c:pt>
                <c:pt idx="6">
                  <c:v>31475.329999999998</c:v>
                </c:pt>
                <c:pt idx="7">
                  <c:v>30931.040139719982</c:v>
                </c:pt>
                <c:pt idx="8">
                  <c:v>28504.178787970006</c:v>
                </c:pt>
                <c:pt idx="9">
                  <c:v>28191.999300000003</c:v>
                </c:pt>
              </c:numCache>
            </c:numRef>
          </c:val>
          <c:extLst>
            <c:ext xmlns:c16="http://schemas.microsoft.com/office/drawing/2014/chart" uri="{C3380CC4-5D6E-409C-BE32-E72D297353CC}">
              <c16:uniqueId val="{00000000-656F-4888-803A-0049281CAE3E}"/>
            </c:ext>
          </c:extLst>
        </c:ser>
        <c:dLbls>
          <c:dLblPos val="inBase"/>
          <c:showLegendKey val="0"/>
          <c:showVal val="1"/>
          <c:showCatName val="0"/>
          <c:showSerName val="0"/>
          <c:showPercent val="0"/>
          <c:showBubbleSize val="0"/>
        </c:dLbls>
        <c:gapWidth val="95"/>
        <c:overlap val="29"/>
        <c:axId val="1633155312"/>
        <c:axId val="1633153392"/>
      </c:barChart>
      <c:lineChart>
        <c:grouping val="stacked"/>
        <c:varyColors val="0"/>
        <c:ser>
          <c:idx val="1"/>
          <c:order val="1"/>
          <c:tx>
            <c:strRef>
              <c:f>'Dashboard Pivots'!$T$3</c:f>
              <c:strCache>
                <c:ptCount val="1"/>
                <c:pt idx="0">
                  <c:v>Average of Profit Margin %</c:v>
                </c:pt>
              </c:strCache>
            </c:strRef>
          </c:tx>
          <c:spPr>
            <a:ln w="28575" cap="rnd">
              <a:solidFill>
                <a:schemeClr val="accent2"/>
              </a:solidFill>
              <a:round/>
            </a:ln>
            <a:effectLst/>
          </c:spPr>
          <c:marker>
            <c:symbol val="circle"/>
            <c:size val="5"/>
            <c:spPr>
              <a:solidFill>
                <a:schemeClr val="accent2">
                  <a:lumMod val="50000"/>
                </a:schemeClr>
              </a:solidFill>
              <a:ln w="9525">
                <a:solidFill>
                  <a:schemeClr val="accent2">
                    <a:lumMod val="60000"/>
                    <a:lumOff val="40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Pivots'!$R$4:$R$14</c:f>
              <c:strCache>
                <c:ptCount val="10"/>
                <c:pt idx="0">
                  <c:v>NET-2365</c:v>
                </c:pt>
                <c:pt idx="1">
                  <c:v>NET-5987</c:v>
                </c:pt>
                <c:pt idx="2">
                  <c:v>LAP-3904</c:v>
                </c:pt>
                <c:pt idx="3">
                  <c:v>NET-1612</c:v>
                </c:pt>
                <c:pt idx="4">
                  <c:v>LAP-8825</c:v>
                </c:pt>
                <c:pt idx="5">
                  <c:v>CMP-8851</c:v>
                </c:pt>
                <c:pt idx="6">
                  <c:v>PHN-8368</c:v>
                </c:pt>
                <c:pt idx="7">
                  <c:v>LAP-8910</c:v>
                </c:pt>
                <c:pt idx="8">
                  <c:v>ACC-6626</c:v>
                </c:pt>
                <c:pt idx="9">
                  <c:v>LAP-6499</c:v>
                </c:pt>
              </c:strCache>
            </c:strRef>
          </c:cat>
          <c:val>
            <c:numRef>
              <c:f>'Dashboard Pivots'!$T$4:$T$14</c:f>
              <c:numCache>
                <c:formatCode>0%</c:formatCode>
                <c:ptCount val="10"/>
                <c:pt idx="0">
                  <c:v>0.59672531214528945</c:v>
                </c:pt>
                <c:pt idx="1">
                  <c:v>0.57163590338715287</c:v>
                </c:pt>
                <c:pt idx="2">
                  <c:v>0.51806221374218386</c:v>
                </c:pt>
                <c:pt idx="3">
                  <c:v>0.5473880897111062</c:v>
                </c:pt>
                <c:pt idx="4">
                  <c:v>0.56547483406579491</c:v>
                </c:pt>
                <c:pt idx="5">
                  <c:v>0.27803664009457946</c:v>
                </c:pt>
                <c:pt idx="6">
                  <c:v>0.59634877331538205</c:v>
                </c:pt>
                <c:pt idx="7">
                  <c:v>0.35928876098819978</c:v>
                </c:pt>
                <c:pt idx="8">
                  <c:v>0.40182380502071502</c:v>
                </c:pt>
                <c:pt idx="9">
                  <c:v>0.48797306388620471</c:v>
                </c:pt>
              </c:numCache>
            </c:numRef>
          </c:val>
          <c:smooth val="0"/>
          <c:extLst>
            <c:ext xmlns:c16="http://schemas.microsoft.com/office/drawing/2014/chart" uri="{C3380CC4-5D6E-409C-BE32-E72D297353CC}">
              <c16:uniqueId val="{00000001-656F-4888-803A-0049281CAE3E}"/>
            </c:ext>
          </c:extLst>
        </c:ser>
        <c:dLbls>
          <c:showLegendKey val="0"/>
          <c:showVal val="1"/>
          <c:showCatName val="0"/>
          <c:showSerName val="0"/>
          <c:showPercent val="0"/>
          <c:showBubbleSize val="0"/>
        </c:dLbls>
        <c:marker val="1"/>
        <c:smooth val="0"/>
        <c:axId val="1633158672"/>
        <c:axId val="1633158192"/>
      </c:lineChart>
      <c:catAx>
        <c:axId val="163315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633153392"/>
        <c:crosses val="autoZero"/>
        <c:auto val="1"/>
        <c:lblAlgn val="ctr"/>
        <c:lblOffset val="100"/>
        <c:noMultiLvlLbl val="0"/>
      </c:catAx>
      <c:valAx>
        <c:axId val="1633153392"/>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633155312"/>
        <c:crosses val="autoZero"/>
        <c:crossBetween val="between"/>
      </c:valAx>
      <c:valAx>
        <c:axId val="1633158192"/>
        <c:scaling>
          <c:orientation val="minMax"/>
          <c:min val="0.2"/>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633158672"/>
        <c:crosses val="max"/>
        <c:crossBetween val="between"/>
      </c:valAx>
      <c:catAx>
        <c:axId val="1633158672"/>
        <c:scaling>
          <c:orientation val="minMax"/>
        </c:scaling>
        <c:delete val="1"/>
        <c:axPos val="b"/>
        <c:numFmt formatCode="General" sourceLinked="1"/>
        <c:majorTickMark val="out"/>
        <c:minorTickMark val="none"/>
        <c:tickLblPos val="nextTo"/>
        <c:crossAx val="1633158192"/>
        <c:crosses val="autoZero"/>
        <c:auto val="1"/>
        <c:lblAlgn val="ctr"/>
        <c:lblOffset val="100"/>
        <c:noMultiLvlLbl val="0"/>
      </c:catAx>
      <c:spPr>
        <a:noFill/>
        <a:ln>
          <a:noFill/>
        </a:ln>
        <a:effectLst/>
      </c:spPr>
    </c:plotArea>
    <c:legend>
      <c:legendPos val="r"/>
      <c:layout>
        <c:manualLayout>
          <c:xMode val="edge"/>
          <c:yMode val="edge"/>
          <c:x val="0.23163748535783155"/>
          <c:y val="0.87345911363148621"/>
          <c:w val="0.6907953438968556"/>
          <c:h val="0.11515650158260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190503</xdr:rowOff>
    </xdr:from>
    <xdr:to>
      <xdr:col>2</xdr:col>
      <xdr:colOff>226217</xdr:colOff>
      <xdr:row>3</xdr:row>
      <xdr:rowOff>166687</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5C7224AD-736B-4DC9-9D12-D6D2E8A01CF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50" y="190503"/>
              <a:ext cx="1434305" cy="773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306125</xdr:colOff>
      <xdr:row>13</xdr:row>
      <xdr:rowOff>230193</xdr:rowOff>
    </xdr:from>
    <xdr:to>
      <xdr:col>4</xdr:col>
      <xdr:colOff>429948</xdr:colOff>
      <xdr:row>24</xdr:row>
      <xdr:rowOff>138909</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A1AADA42-34D2-4EC8-9EA7-2CDEBCC8E7E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20563" y="3075787"/>
              <a:ext cx="1338260" cy="1837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1061</xdr:colOff>
      <xdr:row>3</xdr:row>
      <xdr:rowOff>193682</xdr:rowOff>
    </xdr:from>
    <xdr:to>
      <xdr:col>2</xdr:col>
      <xdr:colOff>238124</xdr:colOff>
      <xdr:row>8</xdr:row>
      <xdr:rowOff>23813</xdr:rowOff>
    </xdr:to>
    <mc:AlternateContent xmlns:mc="http://schemas.openxmlformats.org/markup-compatibility/2006" xmlns:a14="http://schemas.microsoft.com/office/drawing/2010/main">
      <mc:Choice Requires="a14">
        <xdr:graphicFrame macro="">
          <xdr:nvGraphicFramePr>
            <xdr:cNvPr id="5" name="Channel 1">
              <a:extLst>
                <a:ext uri="{FF2B5EF4-FFF2-40B4-BE49-F238E27FC236}">
                  <a16:creationId xmlns:a16="http://schemas.microsoft.com/office/drawing/2014/main" id="{26740A05-8C84-4CD2-8C5B-22DA14D08EB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61" y="991401"/>
              <a:ext cx="1451501" cy="949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312470</xdr:colOff>
      <xdr:row>4</xdr:row>
      <xdr:rowOff>72232</xdr:rowOff>
    </xdr:from>
    <xdr:to>
      <xdr:col>4</xdr:col>
      <xdr:colOff>419363</xdr:colOff>
      <xdr:row>13</xdr:row>
      <xdr:rowOff>190499</xdr:rowOff>
    </xdr:to>
    <mc:AlternateContent xmlns:mc="http://schemas.openxmlformats.org/markup-compatibility/2006" xmlns:a14="http://schemas.microsoft.com/office/drawing/2010/main">
      <mc:Choice Requires="a14">
        <xdr:graphicFrame macro="">
          <xdr:nvGraphicFramePr>
            <xdr:cNvPr id="6" name="Salesperson 1">
              <a:extLst>
                <a:ext uri="{FF2B5EF4-FFF2-40B4-BE49-F238E27FC236}">
                  <a16:creationId xmlns:a16="http://schemas.microsoft.com/office/drawing/2014/main" id="{45EDD968-560C-4D76-86FD-705993D036FD}"/>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526908" y="1131888"/>
              <a:ext cx="1321330" cy="1904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19049</xdr:colOff>
      <xdr:row>8</xdr:row>
      <xdr:rowOff>65096</xdr:rowOff>
    </xdr:from>
    <xdr:to>
      <xdr:col>2</xdr:col>
      <xdr:colOff>226218</xdr:colOff>
      <xdr:row>14</xdr:row>
      <xdr:rowOff>71438</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B0480984-B5B7-4FE9-B667-132A3198039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9049" y="1982002"/>
              <a:ext cx="1421607" cy="1196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6353</xdr:colOff>
      <xdr:row>14</xdr:row>
      <xdr:rowOff>75679</xdr:rowOff>
    </xdr:from>
    <xdr:to>
      <xdr:col>2</xdr:col>
      <xdr:colOff>202407</xdr:colOff>
      <xdr:row>20</xdr:row>
      <xdr:rowOff>96845</xdr:rowOff>
    </xdr:to>
    <mc:AlternateContent xmlns:mc="http://schemas.openxmlformats.org/markup-compatibility/2006" xmlns:a14="http://schemas.microsoft.com/office/drawing/2010/main">
      <mc:Choice Requires="a14">
        <xdr:graphicFrame macro="">
          <xdr:nvGraphicFramePr>
            <xdr:cNvPr id="8" name="Order Month 1">
              <a:extLst>
                <a:ext uri="{FF2B5EF4-FFF2-40B4-BE49-F238E27FC236}">
                  <a16:creationId xmlns:a16="http://schemas.microsoft.com/office/drawing/2014/main" id="{4054E61C-1918-41ED-9DF4-589A2BED76A1}"/>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6353" y="3183210"/>
              <a:ext cx="1410492" cy="1021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10584</xdr:colOff>
      <xdr:row>20</xdr:row>
      <xdr:rowOff>125160</xdr:rowOff>
    </xdr:from>
    <xdr:to>
      <xdr:col>2</xdr:col>
      <xdr:colOff>226218</xdr:colOff>
      <xdr:row>24</xdr:row>
      <xdr:rowOff>154784</xdr:rowOff>
    </xdr:to>
    <mc:AlternateContent xmlns:mc="http://schemas.openxmlformats.org/markup-compatibility/2006" xmlns:a14="http://schemas.microsoft.com/office/drawing/2010/main">
      <mc:Choice Requires="a14">
        <xdr:graphicFrame macro="">
          <xdr:nvGraphicFramePr>
            <xdr:cNvPr id="9" name="Year order was placed 1">
              <a:extLst>
                <a:ext uri="{FF2B5EF4-FFF2-40B4-BE49-F238E27FC236}">
                  <a16:creationId xmlns:a16="http://schemas.microsoft.com/office/drawing/2014/main" id="{382D5F1C-6F4A-467B-8E43-8743BFB76075}"/>
                </a:ext>
              </a:extLst>
            </xdr:cNvPr>
            <xdr:cNvGraphicFramePr/>
          </xdr:nvGraphicFramePr>
          <xdr:xfrm>
            <a:off x="0" y="0"/>
            <a:ext cx="0" cy="0"/>
          </xdr:xfrm>
          <a:graphic>
            <a:graphicData uri="http://schemas.microsoft.com/office/drawing/2010/slicer">
              <sle:slicer xmlns:sle="http://schemas.microsoft.com/office/drawing/2010/slicer" name="Year order was placed 1"/>
            </a:graphicData>
          </a:graphic>
        </xdr:graphicFrame>
      </mc:Choice>
      <mc:Fallback xmlns="">
        <xdr:sp macro="" textlink="">
          <xdr:nvSpPr>
            <xdr:cNvPr id="0" name=""/>
            <xdr:cNvSpPr>
              <a:spLocks noTextEdit="1"/>
            </xdr:cNvSpPr>
          </xdr:nvSpPr>
          <xdr:spPr>
            <a:xfrm>
              <a:off x="10584" y="4232816"/>
              <a:ext cx="1430072" cy="69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178594</xdr:colOff>
      <xdr:row>13</xdr:row>
      <xdr:rowOff>47625</xdr:rowOff>
    </xdr:from>
    <xdr:to>
      <xdr:col>11</xdr:col>
      <xdr:colOff>821532</xdr:colOff>
      <xdr:row>24</xdr:row>
      <xdr:rowOff>95248</xdr:rowOff>
    </xdr:to>
    <xdr:graphicFrame macro="">
      <xdr:nvGraphicFramePr>
        <xdr:cNvPr id="16" name="Chart 1">
          <a:extLst>
            <a:ext uri="{FF2B5EF4-FFF2-40B4-BE49-F238E27FC236}">
              <a16:creationId xmlns:a16="http://schemas.microsoft.com/office/drawing/2014/main" id="{45CD6F65-ABEB-44F7-5669-D4ABC8E51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190503</xdr:colOff>
      <xdr:row>4</xdr:row>
      <xdr:rowOff>95252</xdr:rowOff>
    </xdr:from>
    <xdr:to>
      <xdr:col>11</xdr:col>
      <xdr:colOff>797718</xdr:colOff>
      <xdr:row>12</xdr:row>
      <xdr:rowOff>261937</xdr:rowOff>
    </xdr:to>
    <xdr:graphicFrame macro="">
      <xdr:nvGraphicFramePr>
        <xdr:cNvPr id="17" name="Chart 3">
          <a:extLst>
            <a:ext uri="{FF2B5EF4-FFF2-40B4-BE49-F238E27FC236}">
              <a16:creationId xmlns:a16="http://schemas.microsoft.com/office/drawing/2014/main" id="{D3B4D718-FA78-FF95-552B-C42A1CB73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2378</xdr:colOff>
      <xdr:row>4</xdr:row>
      <xdr:rowOff>95254</xdr:rowOff>
    </xdr:from>
    <xdr:to>
      <xdr:col>19</xdr:col>
      <xdr:colOff>1012031</xdr:colOff>
      <xdr:row>24</xdr:row>
      <xdr:rowOff>107155</xdr:rowOff>
    </xdr:to>
    <xdr:graphicFrame macro="">
      <xdr:nvGraphicFramePr>
        <xdr:cNvPr id="18" name="Chart 4">
          <a:extLst>
            <a:ext uri="{FF2B5EF4-FFF2-40B4-BE49-F238E27FC236}">
              <a16:creationId xmlns:a16="http://schemas.microsoft.com/office/drawing/2014/main" id="{FFF66CD2-E7DB-4FA2-6B95-7B9F5B394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95250</xdr:colOff>
      <xdr:row>0</xdr:row>
      <xdr:rowOff>0</xdr:rowOff>
    </xdr:from>
    <xdr:to>
      <xdr:col>3</xdr:col>
      <xdr:colOff>247650</xdr:colOff>
      <xdr:row>7</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C679D92-BE47-4A4E-DB16-2D489D3130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76550" y="0"/>
              <a:ext cx="182880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0</xdr:row>
      <xdr:rowOff>0</xdr:rowOff>
    </xdr:from>
    <xdr:to>
      <xdr:col>4</xdr:col>
      <xdr:colOff>123825</xdr:colOff>
      <xdr:row>13</xdr:row>
      <xdr:rowOff>47625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B8DFFA93-7240-BC65-18F7-B4E85389B24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36232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1143000</xdr:colOff>
      <xdr:row>0</xdr:row>
      <xdr:rowOff>180975</xdr:rowOff>
    </xdr:from>
    <xdr:to>
      <xdr:col>5</xdr:col>
      <xdr:colOff>76200</xdr:colOff>
      <xdr:row>14</xdr:row>
      <xdr:rowOff>38100</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D1626CB2-60C1-D531-5654-0FFC31D106D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924300"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1</xdr:row>
      <xdr:rowOff>57150</xdr:rowOff>
    </xdr:from>
    <xdr:to>
      <xdr:col>6</xdr:col>
      <xdr:colOff>266700</xdr:colOff>
      <xdr:row>14</xdr:row>
      <xdr:rowOff>104775</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01F5E7B9-43D7-FBBF-73A7-3260F776328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724400" y="247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1333500</xdr:colOff>
      <xdr:row>1</xdr:row>
      <xdr:rowOff>9525</xdr:rowOff>
    </xdr:from>
    <xdr:to>
      <xdr:col>5</xdr:col>
      <xdr:colOff>266700</xdr:colOff>
      <xdr:row>14</xdr:row>
      <xdr:rowOff>57150</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2270CEE3-B3EF-CBD8-5779-B8EC6C5BD0D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619500"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2</xdr:row>
      <xdr:rowOff>76200</xdr:rowOff>
    </xdr:from>
    <xdr:to>
      <xdr:col>6</xdr:col>
      <xdr:colOff>85725</xdr:colOff>
      <xdr:row>15</xdr:row>
      <xdr:rowOff>123825</xdr:rowOff>
    </xdr:to>
    <mc:AlternateContent xmlns:mc="http://schemas.openxmlformats.org/markup-compatibility/2006" xmlns:a14="http://schemas.microsoft.com/office/drawing/2010/main">
      <mc:Choice Requires="a14">
        <xdr:graphicFrame macro="">
          <xdr:nvGraphicFramePr>
            <xdr:cNvPr id="11" name="Order Month">
              <a:extLst>
                <a:ext uri="{FF2B5EF4-FFF2-40B4-BE49-F238E27FC236}">
                  <a16:creationId xmlns:a16="http://schemas.microsoft.com/office/drawing/2014/main" id="{0772D73A-F696-95B7-E2CA-A83AC2FA3D9E}"/>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4048125"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2</xdr:row>
      <xdr:rowOff>161925</xdr:rowOff>
    </xdr:from>
    <xdr:to>
      <xdr:col>6</xdr:col>
      <xdr:colOff>342900</xdr:colOff>
      <xdr:row>8</xdr:row>
      <xdr:rowOff>133350</xdr:rowOff>
    </xdr:to>
    <mc:AlternateContent xmlns:mc="http://schemas.openxmlformats.org/markup-compatibility/2006" xmlns:a14="http://schemas.microsoft.com/office/drawing/2010/main">
      <mc:Choice Requires="a14">
        <xdr:graphicFrame macro="">
          <xdr:nvGraphicFramePr>
            <xdr:cNvPr id="12" name="Year order was placed">
              <a:extLst>
                <a:ext uri="{FF2B5EF4-FFF2-40B4-BE49-F238E27FC236}">
                  <a16:creationId xmlns:a16="http://schemas.microsoft.com/office/drawing/2014/main" id="{1494B6BA-626F-C098-B0CE-6500F6E53BD4}"/>
                </a:ext>
              </a:extLst>
            </xdr:cNvPr>
            <xdr:cNvGraphicFramePr/>
          </xdr:nvGraphicFramePr>
          <xdr:xfrm>
            <a:off x="0" y="0"/>
            <a:ext cx="0" cy="0"/>
          </xdr:xfrm>
          <a:graphic>
            <a:graphicData uri="http://schemas.microsoft.com/office/drawing/2010/slicer">
              <sle:slicer xmlns:sle="http://schemas.microsoft.com/office/drawing/2010/slicer" name="Year order was placed"/>
            </a:graphicData>
          </a:graphic>
        </xdr:graphicFrame>
      </mc:Choice>
      <mc:Fallback xmlns="">
        <xdr:sp macro="" textlink="">
          <xdr:nvSpPr>
            <xdr:cNvPr id="0" name=""/>
            <xdr:cNvSpPr>
              <a:spLocks noTextEdit="1"/>
            </xdr:cNvSpPr>
          </xdr:nvSpPr>
          <xdr:spPr>
            <a:xfrm>
              <a:off x="4800600" y="542925"/>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6</xdr:col>
      <xdr:colOff>432330</xdr:colOff>
      <xdr:row>8</xdr:row>
      <xdr:rowOff>189705</xdr:rowOff>
    </xdr:to>
    <mc:AlternateContent xmlns:mc="http://schemas.openxmlformats.org/markup-compatibility/2006">
      <mc:Choice xmlns:a14="http://schemas.microsoft.com/office/drawing/2010/main" Requires="a14">
        <xdr:graphicFrame macro="">
          <xdr:nvGraphicFramePr>
            <xdr:cNvPr id="2" name="Salesperson 2">
              <a:extLst>
                <a:ext uri="{FF2B5EF4-FFF2-40B4-BE49-F238E27FC236}">
                  <a16:creationId xmlns:a16="http://schemas.microsoft.com/office/drawing/2014/main" id="{2A010E96-2175-4559-B3CA-392D2770B3FA}"/>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5810250" y="190500"/>
              <a:ext cx="1321330" cy="1904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38101</xdr:colOff>
      <xdr:row>0</xdr:row>
      <xdr:rowOff>19051</xdr:rowOff>
    </xdr:from>
    <xdr:to>
      <xdr:col>3</xdr:col>
      <xdr:colOff>559593</xdr:colOff>
      <xdr:row>4</xdr:row>
      <xdr:rowOff>166687</xdr:rowOff>
    </xdr:to>
    <mc:AlternateContent xmlns:mc="http://schemas.openxmlformats.org/markup-compatibility/2006" xmlns:a14="http://schemas.microsoft.com/office/drawing/2010/main">
      <mc:Choice Requires="a14">
        <xdr:graphicFrame macro="">
          <xdr:nvGraphicFramePr>
            <xdr:cNvPr id="2" name="Order Month 2">
              <a:extLst>
                <a:ext uri="{FF2B5EF4-FFF2-40B4-BE49-F238E27FC236}">
                  <a16:creationId xmlns:a16="http://schemas.microsoft.com/office/drawing/2014/main" id="{D5A74E9F-5272-ABB5-6F2D-A8F131A3FD70}"/>
                </a:ext>
              </a:extLst>
            </xdr:cNvPr>
            <xdr:cNvGraphicFramePr/>
          </xdr:nvGraphicFramePr>
          <xdr:xfrm>
            <a:off x="0" y="0"/>
            <a:ext cx="0" cy="0"/>
          </xdr:xfrm>
          <a:graphic>
            <a:graphicData uri="http://schemas.microsoft.com/office/drawing/2010/slicer">
              <sle:slicer xmlns:sle="http://schemas.microsoft.com/office/drawing/2010/slicer" name="Order Month 2"/>
            </a:graphicData>
          </a:graphic>
        </xdr:graphicFrame>
      </mc:Choice>
      <mc:Fallback xmlns="">
        <xdr:sp macro="" textlink="">
          <xdr:nvSpPr>
            <xdr:cNvPr id="0" name=""/>
            <xdr:cNvSpPr>
              <a:spLocks noTextEdit="1"/>
            </xdr:cNvSpPr>
          </xdr:nvSpPr>
          <xdr:spPr>
            <a:xfrm>
              <a:off x="38101" y="19051"/>
              <a:ext cx="3831430" cy="909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211930</xdr:colOff>
      <xdr:row>0</xdr:row>
      <xdr:rowOff>35719</xdr:rowOff>
    </xdr:from>
    <xdr:to>
      <xdr:col>6</xdr:col>
      <xdr:colOff>659605</xdr:colOff>
      <xdr:row>4</xdr:row>
      <xdr:rowOff>154781</xdr:rowOff>
    </xdr:to>
    <mc:AlternateContent xmlns:mc="http://schemas.openxmlformats.org/markup-compatibility/2006" xmlns:a14="http://schemas.microsoft.com/office/drawing/2010/main">
      <mc:Choice Requires="a14">
        <xdr:graphicFrame macro="">
          <xdr:nvGraphicFramePr>
            <xdr:cNvPr id="5" name="Year order was placed 2">
              <a:extLst>
                <a:ext uri="{FF2B5EF4-FFF2-40B4-BE49-F238E27FC236}">
                  <a16:creationId xmlns:a16="http://schemas.microsoft.com/office/drawing/2014/main" id="{FF00112D-4A7D-3073-4CA8-85A62E3239C4}"/>
                </a:ext>
              </a:extLst>
            </xdr:cNvPr>
            <xdr:cNvGraphicFramePr/>
          </xdr:nvGraphicFramePr>
          <xdr:xfrm>
            <a:off x="0" y="0"/>
            <a:ext cx="0" cy="0"/>
          </xdr:xfrm>
          <a:graphic>
            <a:graphicData uri="http://schemas.microsoft.com/office/drawing/2010/slicer">
              <sle:slicer xmlns:sle="http://schemas.microsoft.com/office/drawing/2010/slicer" name="Year order was placed 2"/>
            </a:graphicData>
          </a:graphic>
        </xdr:graphicFrame>
      </mc:Choice>
      <mc:Fallback xmlns="">
        <xdr:sp macro="" textlink="">
          <xdr:nvSpPr>
            <xdr:cNvPr id="0" name=""/>
            <xdr:cNvSpPr>
              <a:spLocks noTextEdit="1"/>
            </xdr:cNvSpPr>
          </xdr:nvSpPr>
          <xdr:spPr>
            <a:xfrm>
              <a:off x="4379118" y="35719"/>
              <a:ext cx="1828800" cy="881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4.931582060184" createdVersion="8" refreshedVersion="8" minRefreshableVersion="3" recordCount="632" xr:uid="{24488E71-B55B-48B0-AF23-C963E92A9215}">
  <cacheSource type="worksheet">
    <worksheetSource ref="A1:AC633" sheet="Working Data"/>
  </cacheSource>
  <cacheFields count="32">
    <cacheField name="Order ID" numFmtId="49">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 Date" numFmtId="165">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1"/>
    </cacheField>
    <cacheField name="Required Date" numFmtId="165">
      <sharedItems containsSemiMixedTypes="0" containsNonDate="0" containsDate="1" containsString="0" minDate="2023-01-05T00:00:00" maxDate="2025-10-06T00:00:00"/>
    </cacheField>
    <cacheField name="Lead Time in days" numFmtId="1">
      <sharedItems containsMixedTypes="1" containsNumber="1" containsInteger="1" minValue="0" maxValue="30" count="32">
        <n v="26"/>
        <s v=""/>
        <n v="25"/>
        <n v="4"/>
        <n v="3"/>
        <n v="18"/>
        <n v="19"/>
        <n v="12"/>
        <n v="20"/>
        <n v="24"/>
        <n v="29"/>
        <n v="8"/>
        <n v="16"/>
        <n v="17"/>
        <n v="15"/>
        <n v="5"/>
        <n v="14"/>
        <n v="30"/>
        <n v="0"/>
        <n v="13"/>
        <n v="7"/>
        <n v="23"/>
        <n v="22"/>
        <n v="11"/>
        <n v="10"/>
        <n v="2"/>
        <n v="1"/>
        <n v="9"/>
        <n v="28"/>
        <n v="21"/>
        <n v="27"/>
        <n v="6"/>
      </sharedItems>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ount="40">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Unattributed"/>
        <s v="Austin"/>
        <s v="Frankfurt"/>
        <s v="Beijing"/>
        <s v="New York"/>
      </sharedItems>
    </cacheField>
    <cacheField name="Customer Segment" numFmtId="49">
      <sharedItems/>
    </cacheField>
    <cacheField name="Channel" numFmtId="49">
      <sharedItems count="6">
        <s v="Retail"/>
        <s v="Online"/>
        <s v="Marketplace"/>
        <s v="Distributor"/>
        <s v="Direct"/>
        <s v="Unattributed"/>
      </sharedItems>
    </cacheField>
    <cacheField name="Salesperson" numFmtId="49">
      <sharedItems count="16">
        <s v="C. Otieno"/>
        <s v="J. Njeri"/>
        <s v="I. Johnson"/>
        <s v="G. Dubois"/>
        <s v="L. Okafor"/>
        <s v="B. Chen"/>
        <s v="E. Garcia"/>
        <s v="O. Wang"/>
        <s v="A. Patel"/>
        <s v="F. Müller"/>
        <s v="H. Kim"/>
        <s v="K. Singh"/>
        <s v="M. Rossi"/>
        <s v="N. Brown"/>
        <s v="D. Smith"/>
        <s v="Unattributed"/>
      </sharedItems>
    </cacheField>
    <cacheField name="Product Category" numFmtId="49">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Quantity" numFmtId="1">
      <sharedItems containsSemiMixedTypes="0" containsString="0" containsNumber="1" containsInteger="1" minValue="2" maxValue="61"/>
    </cacheField>
    <cacheField name="Increased Quantities simulation" numFmtId="1">
      <sharedItems containsSemiMixedTypes="0" containsString="0" containsNumber="1" containsInteger="1" minValue="2" maxValue="61"/>
    </cacheField>
    <cacheField name="Unit Cost" numFmtId="43">
      <sharedItems containsSemiMixedTypes="0" containsString="0" containsNumber="1" minValue="5.34" maxValue="1495.79" count="632">
        <n v="279.24"/>
        <n v="1084.3900000000001"/>
        <n v="1460.76"/>
        <n v="259.93"/>
        <n v="663.03"/>
        <n v="315.87"/>
        <n v="586.07000000000005"/>
        <n v="28.38"/>
        <n v="1295.3399999999999"/>
        <n v="1331.38"/>
        <n v="644.16999999999996"/>
        <n v="908.6"/>
        <n v="331.57"/>
        <n v="643.53"/>
        <n v="780.59"/>
        <n v="756.51"/>
        <n v="891.08"/>
        <n v="1225.57"/>
        <n v="1068.17"/>
        <n v="1015.16"/>
        <n v="1494.4"/>
        <n v="1331.19"/>
        <n v="730.99"/>
        <n v="1274.5899999999999"/>
        <n v="948.55"/>
        <n v="1491.85"/>
        <n v="117.64"/>
        <n v="857.24"/>
        <n v="209.25"/>
        <n v="754.77"/>
        <n v="495.59"/>
        <n v="1242.6600000000001"/>
        <n v="1463.9"/>
        <n v="645.33000000000004"/>
        <n v="1432.52"/>
        <n v="178.53"/>
        <n v="712.84"/>
        <n v="757.19"/>
        <n v="865.33"/>
        <n v="313.99"/>
        <n v="1024.01"/>
        <n v="1206.2"/>
        <n v="1396.48"/>
        <n v="483.47"/>
        <n v="675.43"/>
        <n v="826.55"/>
        <n v="337.75"/>
        <n v="1421.14"/>
        <n v="859.35"/>
        <n v="1303.56"/>
        <n v="1454.11"/>
        <n v="72.94"/>
        <n v="533.26"/>
        <n v="204.11"/>
        <n v="44.42"/>
        <n v="855.78"/>
        <n v="1154.6400000000001"/>
        <n v="346.82"/>
        <n v="1225.5"/>
        <n v="1057.5999999999999"/>
        <n v="1176.56"/>
        <n v="1470.15"/>
        <n v="603.45000000000005"/>
        <n v="1233.58"/>
        <n v="498.5"/>
        <n v="1303.1099999999999"/>
        <n v="1082.17"/>
        <n v="673.88"/>
        <n v="494.61"/>
        <n v="882.33"/>
        <n v="910.63"/>
        <n v="264.19"/>
        <n v="1376.51"/>
        <n v="717.55"/>
        <n v="917.88"/>
        <n v="825.64"/>
        <n v="1394.65"/>
        <n v="1112.98"/>
        <n v="357.36"/>
        <n v="1122.68"/>
        <n v="1410.05"/>
        <n v="1183.95"/>
        <n v="170.39"/>
        <n v="23.24"/>
        <n v="1421.19"/>
        <n v="1186.18"/>
        <n v="1366.48"/>
        <n v="601.51"/>
        <n v="523.70000000000005"/>
        <n v="55.65"/>
        <n v="691.19"/>
        <n v="527.33000000000004"/>
        <n v="804.01"/>
        <n v="412.09"/>
        <n v="1009.48"/>
        <n v="1084.79"/>
        <n v="24.44"/>
        <n v="1227.08"/>
        <n v="547.32000000000005"/>
        <n v="1200.78"/>
        <n v="1253.22"/>
        <n v="313.60000000000002"/>
        <n v="862.08"/>
        <n v="107.03"/>
        <n v="1405.56"/>
        <n v="1157.51"/>
        <n v="12.85"/>
        <n v="1138.8"/>
        <n v="82.14"/>
        <n v="292.94"/>
        <n v="550.22"/>
        <n v="1187.1300000000001"/>
        <n v="5.36"/>
        <n v="142.09"/>
        <n v="354.24"/>
        <n v="1473.58"/>
        <n v="75.180000000000007"/>
        <n v="1391.99"/>
        <n v="339.61"/>
        <n v="57.96"/>
        <n v="801.24"/>
        <n v="1297.42"/>
        <n v="1395.49"/>
        <n v="1363.51"/>
        <n v="178.19"/>
        <n v="950.77"/>
        <n v="1064.32"/>
        <n v="41.76"/>
        <n v="157.78"/>
        <n v="413.52"/>
        <n v="414.95"/>
        <n v="555.95000000000005"/>
        <n v="941.2"/>
        <n v="304.77999999999997"/>
        <n v="699.57"/>
        <n v="1087.81"/>
        <n v="1412.15"/>
        <n v="304.22000000000003"/>
        <n v="1203.58"/>
        <n v="65.930000000000007"/>
        <n v="1463.92"/>
        <n v="501.81"/>
        <n v="1261.48"/>
        <n v="817.23"/>
        <n v="578.85"/>
        <n v="275.56"/>
        <n v="891.46"/>
        <n v="683.42"/>
        <n v="376.83"/>
        <n v="1297"/>
        <n v="763.32"/>
        <n v="1001.96"/>
        <n v="1097.5899999999999"/>
        <n v="928.68"/>
        <n v="867.89"/>
        <n v="436.58"/>
        <n v="656.2"/>
        <n v="896.75"/>
        <n v="815.83"/>
        <n v="1220.4100000000001"/>
        <n v="299.75"/>
        <n v="811.05"/>
        <n v="1023.27"/>
        <n v="135.12"/>
        <n v="918.42"/>
        <n v="1234.81"/>
        <n v="329.03"/>
        <n v="1481.74"/>
        <n v="906.81"/>
        <n v="343.85"/>
        <n v="801.77"/>
        <n v="845.63"/>
        <n v="6.85"/>
        <n v="1263.8399999999999"/>
        <n v="180.89"/>
        <n v="1413.87"/>
        <n v="943.79"/>
        <n v="39.229999999999997"/>
        <n v="213.1"/>
        <n v="352.66"/>
        <n v="5.5"/>
        <n v="1132.6099999999999"/>
        <n v="766.59"/>
        <n v="790.63"/>
        <n v="1023.06"/>
        <n v="734.34"/>
        <n v="594.74"/>
        <n v="1262.0999999999999"/>
        <n v="1334.64"/>
        <n v="1075.9000000000001"/>
        <n v="993.75"/>
        <n v="446.69"/>
        <n v="797.8"/>
        <n v="986.44"/>
        <n v="249.71"/>
        <n v="1378.8"/>
        <n v="1406.4"/>
        <n v="516.86"/>
        <n v="1142.8800000000001"/>
        <n v="1320.33"/>
        <n v="833.57"/>
        <n v="493.76"/>
        <n v="590.33000000000004"/>
        <n v="884.36"/>
        <n v="1016.32"/>
        <n v="1178.42"/>
        <n v="137.46"/>
        <n v="1030.44"/>
        <n v="1248.3900000000001"/>
        <n v="1204.95"/>
        <n v="1095.6099999999999"/>
        <n v="90.3"/>
        <n v="1166.18"/>
        <n v="1445.27"/>
        <n v="388.51"/>
        <n v="231.11"/>
        <n v="1085.6099999999999"/>
        <n v="150.86000000000001"/>
        <n v="391.64"/>
        <n v="386.96"/>
        <n v="589.14"/>
        <n v="145.58000000000001"/>
        <n v="241.14"/>
        <n v="1198.9000000000001"/>
        <n v="1089.1500000000001"/>
        <n v="1080.43"/>
        <n v="1352.44"/>
        <n v="1239.8399999999999"/>
        <n v="933.29"/>
        <n v="1024.0999999999999"/>
        <n v="54.62"/>
        <n v="394.13"/>
        <n v="197.63"/>
        <n v="195.54"/>
        <n v="1309.77"/>
        <n v="1237.68"/>
        <n v="1338.99"/>
        <n v="1364.89"/>
        <n v="699.33"/>
        <n v="160.82"/>
        <n v="385.32"/>
        <n v="918.12"/>
        <n v="1225.94"/>
        <n v="72.06"/>
        <n v="1013.54"/>
        <n v="65.64"/>
        <n v="1350.98"/>
        <n v="20.149999999999999"/>
        <n v="803.28"/>
        <n v="1212.99"/>
        <n v="462.94"/>
        <n v="481.71"/>
        <n v="648.64"/>
        <n v="798.97"/>
        <n v="317.25"/>
        <n v="668.97"/>
        <n v="1470.26"/>
        <n v="516.96"/>
        <n v="314.93"/>
        <n v="715.94"/>
        <n v="1120.06"/>
        <n v="1471.58"/>
        <n v="582.88"/>
        <n v="93.91"/>
        <n v="1457.44"/>
        <n v="1207.6300000000001"/>
        <n v="1108.1099999999999"/>
        <n v="1269.6500000000001"/>
        <n v="526.49"/>
        <n v="720"/>
        <n v="232.73"/>
        <n v="325.87"/>
        <n v="1025.51"/>
        <n v="1082.3800000000001"/>
        <n v="287.61"/>
        <n v="1410.97"/>
        <n v="1338.35"/>
        <n v="385.08"/>
        <n v="1173.83"/>
        <n v="953.46"/>
        <n v="1097.0899999999999"/>
        <n v="1106.96"/>
        <n v="91.85"/>
        <n v="623.4"/>
        <n v="1017.93"/>
        <n v="554.76"/>
        <n v="7.02"/>
        <n v="1066.6500000000001"/>
        <n v="798.45"/>
        <n v="1271.56"/>
        <n v="521.05999999999995"/>
        <n v="71.62"/>
        <n v="1142.48"/>
        <n v="209.81"/>
        <n v="786.2"/>
        <n v="1362.31"/>
        <n v="248.24"/>
        <n v="337"/>
        <n v="5.66"/>
        <n v="591.72"/>
        <n v="862.89"/>
        <n v="649.91"/>
        <n v="1269.55"/>
        <n v="892.73"/>
        <n v="231.63"/>
        <n v="86.68"/>
        <n v="1450.43"/>
        <n v="382.96"/>
        <n v="122.29"/>
        <n v="401.66"/>
        <n v="1399.72"/>
        <n v="51.13"/>
        <n v="471.42"/>
        <n v="840.68"/>
        <n v="597.85"/>
        <n v="379.45"/>
        <n v="291.18"/>
        <n v="1017.92"/>
        <n v="156.55000000000001"/>
        <n v="875.36"/>
        <n v="986.85"/>
        <n v="404.77"/>
        <n v="1299.81"/>
        <n v="80.48"/>
        <n v="1010.33"/>
        <n v="653.86"/>
        <n v="310.02"/>
        <n v="894.23"/>
        <n v="383.77"/>
        <n v="1373.31"/>
        <n v="100.69"/>
        <n v="425.15"/>
        <n v="1082.25"/>
        <n v="1184.99"/>
        <n v="481.32"/>
        <n v="1288.8499999999999"/>
        <n v="647.26"/>
        <n v="624.23"/>
        <n v="506.83"/>
        <n v="620.74"/>
        <n v="661.45"/>
        <n v="32.1"/>
        <n v="805.81"/>
        <n v="1231.8"/>
        <n v="105.13"/>
        <n v="1495.79"/>
        <n v="986.81"/>
        <n v="77.739999999999995"/>
        <n v="932.61"/>
        <n v="982.93"/>
        <n v="307.37"/>
        <n v="879.08"/>
        <n v="956.38"/>
        <n v="1233.3599999999999"/>
        <n v="55.35"/>
        <n v="657.45"/>
        <n v="1203.02"/>
        <n v="1176.69"/>
        <n v="769.9"/>
        <n v="666.23"/>
        <n v="951.44"/>
        <n v="546.83000000000004"/>
        <n v="834.26"/>
        <n v="1029.67"/>
        <n v="605.82000000000005"/>
        <n v="1055.45"/>
        <n v="1295.18"/>
        <n v="935.83"/>
        <n v="1279.56"/>
        <n v="255.4"/>
        <n v="492.75"/>
        <n v="1214.49"/>
        <n v="720.35"/>
        <n v="290.14"/>
        <n v="1484.23"/>
        <n v="988.83"/>
        <n v="1227.7"/>
        <n v="1113.7"/>
        <n v="432.13"/>
        <n v="837.39"/>
        <n v="378.26"/>
        <n v="833.73"/>
        <n v="1142.06"/>
        <n v="1145.53"/>
        <n v="941.35"/>
        <n v="1161.2"/>
        <n v="320.12"/>
        <n v="1163.99"/>
        <n v="1019.36"/>
        <n v="20.38"/>
        <n v="1487.59"/>
        <n v="229.96"/>
        <n v="1132.03"/>
        <n v="1137.4100000000001"/>
        <n v="1295.3900000000001"/>
        <n v="653.6"/>
        <n v="1397.67"/>
        <n v="1202.47"/>
        <n v="1310.3"/>
        <n v="1174.17"/>
        <n v="1119.04"/>
        <n v="850.7"/>
        <n v="1020.4"/>
        <n v="501.5"/>
        <n v="974.11"/>
        <n v="1126.29"/>
        <n v="1361.34"/>
        <n v="1437.39"/>
        <n v="475.66"/>
        <n v="1415.05"/>
        <n v="466.16"/>
        <n v="663.66"/>
        <n v="692.18"/>
        <n v="1196.83"/>
        <n v="1253.25"/>
        <n v="1287.6400000000001"/>
        <n v="851.49"/>
        <n v="618.69000000000005"/>
        <n v="80.59"/>
        <n v="504.93"/>
        <n v="1102.19"/>
        <n v="1205.26"/>
        <n v="1313.3"/>
        <n v="1488.91"/>
        <n v="1477.84"/>
        <n v="1035.19"/>
        <n v="1271.0999999999999"/>
        <n v="1154.03"/>
        <n v="322.44"/>
        <n v="935.98"/>
        <n v="599.84"/>
        <n v="1201.31"/>
        <n v="384.19"/>
        <n v="488.68"/>
        <n v="181.74"/>
        <n v="774.12"/>
        <n v="126.15"/>
        <n v="607.04"/>
        <n v="861.1"/>
        <n v="352.65"/>
        <n v="979.59"/>
        <n v="382.21"/>
        <n v="1362.06"/>
        <n v="90.04"/>
        <n v="558.19000000000005"/>
        <n v="247.07"/>
        <n v="625.37"/>
        <n v="194.6"/>
        <n v="1205.5"/>
        <n v="895.54"/>
        <n v="946.99"/>
        <n v="873.06"/>
        <n v="901.19"/>
        <n v="400.39"/>
        <n v="813.97"/>
        <n v="1146.72"/>
        <n v="307.43"/>
        <n v="714.28"/>
        <n v="174.74"/>
        <n v="1264.04"/>
        <n v="141.26"/>
        <n v="40.89"/>
        <n v="738.16"/>
        <n v="113.74"/>
        <n v="275.43"/>
        <n v="1335.76"/>
        <n v="242.31"/>
        <n v="1408.3"/>
        <n v="1171.42"/>
        <n v="663.61"/>
        <n v="432.01"/>
        <n v="784.46"/>
        <n v="647.36"/>
        <n v="834.93"/>
        <n v="603.47"/>
        <n v="690.49"/>
        <n v="210.76"/>
        <n v="472.33"/>
        <n v="1039.03"/>
        <n v="553.61"/>
        <n v="1219.06"/>
        <n v="43.23"/>
        <n v="1286.56"/>
        <n v="350.76"/>
        <n v="1307.52"/>
        <n v="257.44"/>
        <n v="287.85000000000002"/>
        <n v="1008.16"/>
        <n v="111.02"/>
        <n v="1466.5"/>
        <n v="187.22"/>
        <n v="297.58999999999997"/>
        <n v="896.09"/>
        <n v="5.34"/>
        <n v="465.02"/>
        <n v="352.79"/>
        <n v="1292.8599999999999"/>
        <n v="1133.08"/>
        <n v="509.31"/>
        <n v="660.78"/>
        <n v="475.37"/>
        <n v="1232.77"/>
        <n v="770.11"/>
        <n v="1133.03"/>
        <n v="996.73"/>
        <n v="395.07"/>
        <n v="932.26"/>
        <n v="1331.77"/>
        <n v="227.02"/>
        <n v="903.41"/>
        <n v="622.6"/>
        <n v="225.01"/>
        <n v="1389.46"/>
        <n v="804.17"/>
        <n v="1428.33"/>
        <n v="638.54"/>
        <n v="649.13"/>
        <n v="66.400000000000006"/>
        <n v="930.71"/>
        <n v="327.97"/>
        <n v="1062.3800000000001"/>
        <n v="1286.1600000000001"/>
        <n v="748.39"/>
        <n v="513.30999999999995"/>
        <n v="1061.3699999999999"/>
        <n v="401.3"/>
        <n v="90.68"/>
        <n v="1083.0899999999999"/>
        <n v="1208.74"/>
        <n v="1399.64"/>
        <n v="937.16"/>
        <n v="116.97"/>
        <n v="59.51"/>
        <n v="676.37"/>
        <n v="1151.06"/>
        <n v="725.62"/>
        <n v="479.5"/>
        <n v="1291.7"/>
        <n v="612.59"/>
        <n v="1141.8"/>
        <n v="492.62"/>
        <n v="1258.72"/>
        <n v="1370.28"/>
        <n v="944.61"/>
        <n v="460.21"/>
        <n v="1304.95"/>
        <n v="441.08"/>
        <n v="1299.03"/>
        <n v="880.02"/>
        <n v="702.98"/>
        <n v="1035.24"/>
        <n v="86.64"/>
        <n v="1171.17"/>
        <n v="730.42"/>
        <n v="1162.8599999999999"/>
        <n v="1189.03"/>
        <n v="1443.28"/>
        <n v="883.5"/>
        <n v="710.98"/>
        <n v="857.42"/>
        <n v="802.32"/>
        <n v="446.66"/>
        <n v="1195.98"/>
        <n v="671.05"/>
        <n v="586.21"/>
        <n v="525.34"/>
        <n v="1233.52"/>
        <n v="1170.1500000000001"/>
        <n v="740.68"/>
        <n v="1407.05"/>
        <n v="138.9"/>
        <n v="669.37"/>
        <n v="23.83"/>
        <n v="444.41"/>
        <n v="856.1"/>
        <n v="81.489999999999995"/>
        <n v="698.66"/>
        <n v="175.38"/>
        <n v="751.28"/>
        <n v="164.53"/>
        <n v="389.93"/>
        <n v="860.4"/>
        <n v="41.84"/>
        <n v="1368.17"/>
        <n v="643.21"/>
        <n v="719.41"/>
        <n v="64.5"/>
        <n v="1232.78"/>
        <n v="1367.13"/>
        <n v="1027.26"/>
        <n v="790.54"/>
        <n v="663.9"/>
        <n v="1015.91"/>
        <n v="1252.52"/>
        <n v="318.83"/>
        <n v="753.43"/>
        <n v="1133.47"/>
        <n v="299.02"/>
        <n v="783.72"/>
        <n v="165.3"/>
        <n v="985.45"/>
        <n v="1337.01"/>
        <n v="416.16"/>
        <n v="1144.3800000000001"/>
        <n v="405.66"/>
        <n v="689.33"/>
        <n v="1209.22"/>
        <n v="1466.27"/>
        <n v="143.33000000000001"/>
        <n v="109.75"/>
        <n v="1099.1500000000001"/>
        <n v="714.43"/>
        <n v="942.02"/>
        <n v="1323.55"/>
        <n v="1418.51"/>
        <n v="1317.58"/>
        <n v="391.16"/>
        <n v="722.87"/>
        <n v="930.03"/>
        <n v="816.7"/>
        <n v="251.03"/>
        <n v="168.68"/>
        <n v="1339.24"/>
        <n v="619.64"/>
        <n v="1021.97"/>
        <n v="1349.04"/>
        <n v="1346.81"/>
        <n v="226.04"/>
        <n v="807.02"/>
        <n v="1071.99"/>
        <n v="807.11"/>
        <n v="51.86"/>
      </sharedItems>
    </cacheField>
    <cacheField name="Cost of Goods" numFmtId="43">
      <sharedItems containsSemiMixedTypes="0" containsString="0" containsNumber="1" minValue="22" maxValue="83258.290000000008" count="632">
        <n v="2513.16"/>
        <n v="33616.090000000004"/>
        <n v="17529.12"/>
        <n v="5718.46"/>
        <n v="9945.4499999999989"/>
        <n v="2211.09"/>
        <n v="2344.2800000000002"/>
        <n v="510.84"/>
        <n v="7772.0399999999991"/>
        <n v="41272.780000000006"/>
        <n v="14815.91"/>
        <n v="18172"/>
        <n v="3315.7"/>
        <n v="9652.9499999999989"/>
        <n v="9367.08"/>
        <n v="6808.59"/>
        <n v="24950.240000000002"/>
        <n v="19609.12"/>
        <n v="19227.060000000001"/>
        <n v="19288.04"/>
        <n v="10460.800000000001"/>
        <n v="10649.52"/>
        <n v="7309.9"/>
        <n v="10196.719999999999"/>
        <n v="11382.599999999999"/>
        <n v="5967.4"/>
        <n v="1176.4000000000001"/>
        <n v="5143.4400000000005"/>
        <n v="1883.25"/>
        <n v="10566.779999999999"/>
        <n v="8425.0299999999988"/>
        <n v="19882.560000000001"/>
        <n v="5855.6"/>
        <n v="6453.3"/>
        <n v="12892.68"/>
        <n v="6605.61"/>
        <n v="19246.68"/>
        <n v="6057.52"/>
        <n v="11249.29"/>
        <n v="2825.91"/>
        <n v="27648.27"/>
        <n v="7237.2000000000007"/>
        <n v="19550.72"/>
        <n v="5318.17"/>
        <n v="14859.46"/>
        <n v="23143.399999999998"/>
        <n v="4390.75"/>
        <n v="44055.340000000004"/>
        <n v="20624.400000000001"/>
        <n v="28678.32"/>
        <n v="11632.88"/>
        <n v="583.52"/>
        <n v="7998.9"/>
        <n v="2653.4300000000003"/>
        <n v="266.52"/>
        <n v="32519.64"/>
        <n v="12701.04"/>
        <n v="2774.56"/>
        <n v="68628"/>
        <n v="4230.3999999999996"/>
        <n v="23531.199999999997"/>
        <n v="17641.800000000003"/>
        <n v="6637.9500000000007"/>
        <n v="62912.579999999994"/>
        <n v="19940"/>
        <n v="16940.43"/>
        <n v="17314.72"/>
        <n v="8760.44"/>
        <n v="8902.98"/>
        <n v="4411.6500000000005"/>
        <n v="8195.67"/>
        <n v="3170.2799999999997"/>
        <n v="23400.67"/>
        <n v="12915.9"/>
        <n v="4589.3999999999996"/>
        <n v="5779.48"/>
        <n v="18130.45"/>
        <n v="18920.66"/>
        <n v="7147.2000000000007"/>
        <n v="3368.04"/>
        <n v="36661.299999999996"/>
        <n v="18943.2"/>
        <n v="2555.85"/>
        <n v="348.59999999999997"/>
        <n v="18475.47"/>
        <n v="13047.980000000001"/>
        <n v="13664.8"/>
        <n v="1804.53"/>
        <n v="5760.7000000000007"/>
        <n v="445.2"/>
        <n v="4838.33"/>
        <n v="13183.250000000002"/>
        <n v="6432.08"/>
        <n v="9478.07"/>
        <n v="6056.88"/>
        <n v="19526.22"/>
        <n v="146.64000000000001"/>
        <n v="22087.439999999999"/>
        <n v="7662.4800000000005"/>
        <n v="21614.04"/>
        <n v="21304.74"/>
        <n v="6899.2000000000007"/>
        <n v="6034.56"/>
        <n v="3210.9"/>
        <n v="7027.7999999999993"/>
        <n v="13890.119999999999"/>
        <n v="501.15"/>
        <n v="13665.599999999999"/>
        <n v="821.4"/>
        <n v="585.88"/>
        <n v="14855.94"/>
        <n v="20181.210000000003"/>
        <n v="48.24"/>
        <n v="1562.99"/>
        <n v="2125.44"/>
        <n v="11788.64"/>
        <n v="1278.0600000000002"/>
        <n v="32015.77"/>
        <n v="3396.1000000000004"/>
        <n v="405.72"/>
        <n v="18428.52"/>
        <n v="11676.78"/>
        <n v="16745.88"/>
        <n v="10908.08"/>
        <n v="1425.52"/>
        <n v="13310.779999999999"/>
        <n v="40444.159999999996"/>
        <n v="960.4799999999999"/>
        <n v="1420.02"/>
        <n v="7443.36"/>
        <n v="3319.6"/>
        <n v="6115.4500000000007"/>
        <n v="15059.2"/>
        <n v="2438.2399999999998"/>
        <n v="18188.82"/>
        <n v="14141.529999999999"/>
        <n v="8472.9000000000015"/>
        <n v="4563.3"/>
        <n v="26478.76"/>
        <n v="1516.39"/>
        <n v="64412.480000000003"/>
        <n v="4516.29"/>
        <n v="29014.04"/>
        <n v="7355.07"/>
        <n v="16207.800000000001"/>
        <n v="6337.88"/>
        <n v="5348.76"/>
        <n v="9567.8799999999992"/>
        <n v="9420.75"/>
        <n v="23346"/>
        <n v="12213.12"/>
        <n v="18035.28"/>
        <n v="6585.5399999999991"/>
        <n v="14858.88"/>
        <n v="8678.9"/>
        <n v="8295.02"/>
        <n v="3281"/>
        <n v="13451.25"/>
        <n v="4894.9800000000005"/>
        <n v="17085.740000000002"/>
        <n v="14987.5"/>
        <n v="4055.25"/>
        <n v="7162.8899999999994"/>
        <n v="6350.64"/>
        <n v="7347.36"/>
        <n v="54331.64"/>
        <n v="15135.38"/>
        <n v="13335.66"/>
        <n v="5440.86"/>
        <n v="1719.25"/>
        <n v="12828.32"/>
        <n v="4228.1499999999996"/>
        <n v="68.5"/>
        <n v="18957.599999999999"/>
        <n v="1447.12"/>
        <n v="53727.06"/>
        <n v="8494.11"/>
        <n v="509.98999999999995"/>
        <n v="3196.5"/>
        <n v="4584.58"/>
        <n v="22"/>
        <n v="22652.199999999997"/>
        <n v="3832.9500000000003"/>
        <n v="5534.41"/>
        <n v="23530.379999999997"/>
        <n v="8812.08"/>
        <n v="3568.44"/>
        <n v="31552.499999999996"/>
        <n v="18684.960000000003"/>
        <n v="7531.3000000000011"/>
        <n v="18881.25"/>
        <n v="4466.8999999999996"/>
        <n v="28720.799999999999"/>
        <n v="5918.64"/>
        <n v="2996.52"/>
        <n v="26197.200000000001"/>
        <n v="23908.800000000003"/>
        <n v="7236.04"/>
        <n v="8000.1600000000008"/>
        <n v="33008.25"/>
        <n v="15004.26"/>
        <n v="4937.6000000000004"/>
        <n v="15348.580000000002"/>
        <n v="36258.76"/>
        <n v="12195.84"/>
        <n v="12962.62"/>
        <n v="5086.0200000000004"/>
        <n v="13395.720000000001"/>
        <n v="13732.29"/>
        <n v="12049.5"/>
        <n v="9860.49"/>
        <n v="1354.5"/>
        <n v="6997.08"/>
        <n v="13007.43"/>
        <n v="4662.12"/>
        <n v="13866.6"/>
        <n v="7599.2699999999995"/>
        <n v="1206.8800000000001"/>
        <n v="5091.32"/>
        <n v="15865.359999999999"/>
        <n v="6480.54"/>
        <n v="727.90000000000009"/>
        <n v="2411.3999999999996"/>
        <n v="28773.600000000002"/>
        <n v="16337.250000000002"/>
        <n v="10804.300000000001"/>
        <n v="17581.72"/>
        <n v="4959.3599999999997"/>
        <n v="12132.77"/>
        <n v="10241"/>
        <n v="873.92"/>
        <n v="2758.91"/>
        <n v="1976.3"/>
        <n v="3128.64"/>
        <n v="13097.7"/>
        <n v="16089.84"/>
        <n v="32135.760000000002"/>
        <n v="83258.290000000008"/>
        <n v="6993.3"/>
        <n v="2733.94"/>
        <n v="3082.56"/>
        <n v="7344.96"/>
        <n v="26970.68"/>
        <n v="576.48"/>
        <n v="16216.64"/>
        <n v="1509.72"/>
        <n v="8105.88"/>
        <n v="362.7"/>
        <n v="3213.12"/>
        <n v="9703.92"/>
        <n v="6481.16"/>
        <n v="11561.039999999999"/>
        <n v="18161.919999999998"/>
        <n v="12783.52"/>
        <n v="2855.25"/>
        <n v="10034.550000000001"/>
        <n v="13232.34"/>
        <n v="2067.84"/>
        <n v="2519.44"/>
        <n v="11455.04"/>
        <n v="13440.72"/>
        <n v="10301.06"/>
        <n v="5828.8"/>
        <n v="563.46"/>
        <n v="33521.120000000003"/>
        <n v="20529.710000000003"/>
        <n v="21054.089999999997"/>
        <n v="10157.200000000001"/>
        <n v="7370.8600000000006"/>
        <n v="7200"/>
        <n v="5818.25"/>
        <n v="5213.92"/>
        <n v="28714.28"/>
        <n v="21647.600000000002"/>
        <n v="6039.81"/>
        <n v="8465.82"/>
        <n v="53534"/>
        <n v="3080.64"/>
        <n v="19955.11"/>
        <n v="4767.3"/>
        <n v="9873.81"/>
        <n v="7748.72"/>
        <n v="551.09999999999991"/>
        <n v="7480.7999999999993"/>
        <n v="12215.16"/>
        <n v="3883.3199999999997"/>
        <n v="98.28"/>
        <n v="9599.85"/>
        <n v="14372.1"/>
        <n v="16530.28"/>
        <n v="9379.0799999999981"/>
        <n v="787.82"/>
        <n v="15994.720000000001"/>
        <n v="3147.15"/>
        <n v="7075.8"/>
        <n v="9536.17"/>
        <n v="2730.6400000000003"/>
        <n v="2359"/>
        <n v="101.88"/>
        <n v="13017.84"/>
        <n v="16394.91"/>
        <n v="5849.19"/>
        <n v="27930.1"/>
        <n v="8927.2999999999993"/>
        <n v="2779.56"/>
        <n v="693.44"/>
        <n v="34810.32"/>
        <n v="3063.68"/>
        <n v="3424.1200000000003"/>
        <n v="5623.2400000000007"/>
        <n v="16796.64"/>
        <n v="818.08"/>
        <n v="7071.3"/>
        <n v="22698.359999999997"/>
        <n v="4184.95"/>
        <n v="4932.8499999999995"/>
        <n v="6405.96"/>
        <n v="15268.8"/>
        <n v="2035.15"/>
        <n v="46394.080000000002"/>
        <n v="9868.5"/>
        <n v="8904.9399999999987"/>
        <n v="18197.34"/>
        <n v="1046.24"/>
        <n v="11113.630000000001"/>
        <n v="7846.32"/>
        <n v="1240.08"/>
        <n v="2682.69"/>
        <n v="3837.7"/>
        <n v="15106.41"/>
        <n v="1208.28"/>
        <n v="5526.95"/>
        <n v="4329"/>
        <n v="5924.95"/>
        <n v="2406.6"/>
        <n v="9021.9499999999989"/>
        <n v="14239.72"/>
        <n v="23096.510000000002"/>
        <n v="4561.47"/>
        <n v="17380.72"/>
        <n v="15874.800000000001"/>
        <n v="706.2"/>
        <n v="8863.91"/>
        <n v="7390.7999999999993"/>
        <n v="1471.82"/>
        <n v="7478.95"/>
        <n v="42432.829999999994"/>
        <n v="1166.0999999999999"/>
        <n v="14921.76"/>
        <n v="5897.58"/>
        <n v="3381.07"/>
        <n v="14944.36"/>
        <n v="18171.22"/>
        <n v="24667.199999999997"/>
        <n v="553.5"/>
        <n v="13806.45"/>
        <n v="21654.36"/>
        <n v="31770.63"/>
        <n v="3849.5"/>
        <n v="8660.99"/>
        <n v="22834.560000000001"/>
        <n v="7108.7900000000009"/>
        <n v="39210.22"/>
        <n v="9267.0300000000007"/>
        <n v="11510.580000000002"/>
        <n v="18998.100000000002"/>
        <n v="10361.44"/>
        <n v="8422.4700000000012"/>
        <n v="6397.7999999999993"/>
        <n v="4086.4"/>
        <n v="2956.5"/>
        <n v="13359.39"/>
        <n v="16568.05"/>
        <n v="4932.38"/>
        <n v="17810.760000000002"/>
        <n v="33620.22"/>
        <n v="27009.4"/>
        <n v="12250.7"/>
        <n v="3024.91"/>
        <n v="15073.02"/>
        <n v="9456.5"/>
        <n v="11672.220000000001"/>
        <n v="31977.68"/>
        <n v="46966.729999999996"/>
        <n v="16944.3"/>
        <n v="35997.200000000004"/>
        <n v="5762.16"/>
        <n v="16295.86"/>
        <n v="17329.12"/>
        <n v="224.17999999999998"/>
        <n v="16363.49"/>
        <n v="1149.8"/>
        <n v="39621.049999999996"/>
        <n v="10236.69"/>
        <n v="10363.120000000001"/>
        <n v="12418.4"/>
        <n v="27953.4"/>
        <n v="20441.990000000002"/>
        <n v="6551.5"/>
        <n v="10567.53"/>
        <n v="15666.56"/>
        <n v="16163.300000000001"/>
        <n v="16326.4"/>
        <n v="2507.5"/>
        <n v="9741.1"/>
        <n v="7884.03"/>
        <n v="19058.759999999998"/>
        <n v="25873.02"/>
        <n v="5232.26"/>
        <n v="16980.599999999999"/>
        <n v="3729.28"/>
        <n v="7300.2599999999993"/>
        <n v="1384.36"/>
        <n v="8377.81"/>
        <n v="13785.75"/>
        <n v="9013.4800000000014"/>
        <n v="13623.84"/>
        <n v="6805.59"/>
        <n v="483.54"/>
        <n v="7573.95"/>
        <n v="11021.900000000001"/>
        <n v="7231.5599999999995"/>
        <n v="55158.6"/>
        <n v="35733.840000000004"/>
        <n v="35468.159999999996"/>
        <n v="8281.52"/>
        <n v="26693.1"/>
        <n v="20772.54"/>
        <n v="10962.96"/>
        <n v="22463.52"/>
        <n v="6598.2400000000007"/>
        <n v="25227.51"/>
        <n v="3841.9"/>
        <n v="6841.52"/>
        <n v="2362.62"/>
        <n v="23223.599999999999"/>
        <n v="2775.3"/>
        <n v="4249.28"/>
        <n v="20666.400000000001"/>
        <n v="2115.8999999999996"/>
        <n v="10775.49"/>
        <n v="9937.4599999999991"/>
        <n v="14982.66"/>
        <n v="2881.28"/>
        <n v="11721.990000000002"/>
        <n v="988.28"/>
        <n v="5002.96"/>
        <n v="4865"/>
        <n v="27726.5"/>
        <n v="13433.099999999999"/>
        <n v="6628.93"/>
        <n v="8730.5999999999985"/>
        <n v="10814.28"/>
        <n v="7607.41"/>
        <n v="12209.550000000001"/>
        <n v="9173.76"/>
        <n v="12912.06"/>
        <n v="8571.36"/>
        <n v="3669.54"/>
        <n v="16432.52"/>
        <n v="1271.3399999999999"/>
        <n v="695.13"/>
        <n v="3690.7999999999997"/>
        <n v="1478.62"/>
        <n v="1101.72"/>
        <n v="53430.400000000001"/>
        <n v="1453.8600000000001"/>
        <n v="9858.1"/>
        <n v="17571.300000000003"/>
        <n v="11281.37"/>
        <n v="5184.12"/>
        <n v="18042.580000000002"/>
        <n v="7768.32"/>
        <n v="5009.58"/>
        <n v="10862.460000000001"/>
        <n v="15190.78"/>
        <n v="1053.8"/>
        <n v="6612.62"/>
        <n v="21819.63"/>
        <n v="18269.13"/>
        <n v="19504.96"/>
        <n v="2377.6499999999996"/>
        <n v="19298.399999999998"/>
        <n v="3858.3599999999997"/>
        <n v="16997.759999999998"/>
        <n v="5921.12"/>
        <n v="3166.3500000000004"/>
        <n v="15122.4"/>
        <n v="3219.58"/>
        <n v="5866"/>
        <n v="936.1"/>
        <n v="2975.8999999999996"/>
        <n v="9856.99"/>
        <n v="53.4"/>
        <n v="8835.3799999999992"/>
        <n v="2469.5300000000002"/>
        <n v="15514.32"/>
        <n v="30593.159999999996"/>
        <n v="4074.48"/>
        <n v="8590.14"/>
        <n v="10458.14"/>
        <n v="12327.7"/>
        <n v="5390.77"/>
        <n v="5665.15"/>
        <n v="8970.57"/>
        <n v="15012.66"/>
        <n v="26103.279999999999"/>
        <n v="7990.62"/>
        <n v="2270.2000000000003"/>
        <n v="4517.05"/>
        <n v="8716.4"/>
        <n v="2700.12"/>
        <n v="45852.18"/>
        <n v="4020.85"/>
        <n v="15711.63"/>
        <n v="7023.94"/>
        <n v="17526.509999999998"/>
        <n v="531.20000000000005"/>
        <n v="6514.97"/>
        <n v="983.91000000000008"/>
        <n v="6374.2800000000007"/>
        <n v="29581.68"/>
        <n v="17212.97"/>
        <n v="7699.65"/>
        <n v="4245.4799999999996"/>
        <n v="5216.9000000000005"/>
        <n v="1904.2800000000002"/>
        <n v="8664.7199999999993"/>
        <n v="47140.86"/>
        <n v="13996.400000000001"/>
        <n v="8434.44"/>
        <n v="584.85"/>
        <n v="535.59"/>
        <n v="6763.7"/>
        <n v="23021.199999999997"/>
        <n v="8707.44"/>
        <n v="6713"/>
        <n v="27125.7"/>
        <n v="9188.85"/>
        <n v="36537.599999999999"/>
        <n v="4926.2"/>
        <n v="8811.0400000000009"/>
        <n v="21924.48"/>
        <n v="5667.66"/>
        <n v="6442.94"/>
        <n v="10439.6"/>
        <n v="2646.48"/>
        <n v="10392.24"/>
        <n v="25520.579999999998"/>
        <n v="8435.76"/>
        <n v="15528.6"/>
        <n v="953.04"/>
        <n v="12882.87"/>
        <n v="16069.24"/>
        <n v="13954.32"/>
        <n v="15457.39"/>
        <n v="25979.040000000001"/>
        <n v="23854.5"/>
        <n v="6398.82"/>
        <n v="7716.78"/>
        <n v="20058"/>
        <n v="6699.9000000000005"/>
        <n v="22723.62"/>
        <n v="4026.2999999999997"/>
        <n v="8793.1500000000015"/>
        <n v="2101.36"/>
        <n v="16035.76"/>
        <n v="26913.45"/>
        <n v="12591.56"/>
        <n v="16884.599999999999"/>
        <n v="1666.8000000000002"/>
        <n v="3346.85"/>
        <n v="452.77"/>
        <n v="14221.12"/>
        <n v="14553.7"/>
        <n v="407.45"/>
        <n v="10479.9"/>
        <n v="7541.34"/>
        <n v="5258.96"/>
        <n v="2303.42"/>
        <n v="6628.81"/>
        <n v="2581.1999999999998"/>
        <n v="1129.68"/>
        <n v="28731.57"/>
        <n v="2572.84"/>
        <n v="15107.609999999999"/>
        <n v="193.5"/>
        <n v="19724.48"/>
        <n v="34178.25"/>
        <n v="6163.5599999999995"/>
        <n v="11858.099999999999"/>
        <n v="9958.5"/>
        <n v="26413.66"/>
        <n v="6262.6"/>
        <n v="4144.79"/>
        <n v="6780.87"/>
        <n v="5667.35"/>
        <n v="1495.1"/>
        <n v="3134.88"/>
        <n v="4132.5"/>
        <n v="18723.55"/>
        <n v="9359.07"/>
        <n v="832.32"/>
        <n v="19454.460000000003"/>
        <n v="2839.6200000000003"/>
        <n v="8961.2900000000009"/>
        <n v="13301.42"/>
        <n v="13196.43"/>
        <n v="2006.6200000000001"/>
        <n v="2085.25"/>
        <n v="8793.2000000000007"/>
        <n v="10002.019999999999"/>
        <n v="8478.18"/>
        <n v="34412.299999999996"/>
        <n v="11348.08"/>
        <n v="7905.48"/>
        <n v="4693.92"/>
        <n v="20240.36"/>
        <n v="24180.78"/>
        <n v="35118.1"/>
        <n v="753.09"/>
        <n v="1180.76"/>
        <n v="32141.760000000002"/>
        <n v="8674.9599999999991"/>
        <n v="26571.22"/>
        <n v="18886.559999999998"/>
        <n v="22895.77"/>
        <n v="2486.44"/>
        <n v="18561.46"/>
        <n v="19295.82"/>
        <n v="6456.88"/>
        <n v="363.02"/>
      </sharedItems>
      <fieldGroup base="15">
        <rangePr autoStart="0" autoEnd="0" startNum="0" endNum="90000" groupInterval="10000"/>
        <groupItems count="11">
          <s v="&lt;0"/>
          <s v="0-10000"/>
          <s v="10000-20000"/>
          <s v="20000-30000"/>
          <s v="30000-40000"/>
          <s v="40000-50000"/>
          <s v="50000-60000"/>
          <s v="60000-70000"/>
          <s v="70000-80000"/>
          <s v="80000-90000"/>
          <s v="&gt;90000"/>
        </groupItems>
      </fieldGroup>
    </cacheField>
    <cacheField name="Unit Price" numFmtId="43">
      <sharedItems containsSemiMixedTypes="0" containsString="0" containsNumber="1" minValue="-33.659999999999997" maxValue="3661.07"/>
    </cacheField>
    <cacheField name="Adjusted Unit Price" numFmtId="43">
      <sharedItems containsSemiMixedTypes="0" containsString="0" containsNumber="1" minValue="-30.226679999999998" maxValue="3524"/>
    </cacheField>
    <cacheField name="Discount %" numFmtId="9">
      <sharedItems containsSemiMixedTypes="0" containsString="0" containsNumber="1" minValue="0" maxValue="0.56499999999999995" count="228">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18"/>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34300000000000003"/>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317"/>
        <n v="0.156"/>
        <n v="0.20699999999999999"/>
        <n v="5.8999999999999997E-2"/>
        <n v="0.08"/>
        <n v="0.1"/>
        <n v="0.17599999999999999"/>
        <n v="8.7999999999999995E-2"/>
        <n v="0.09"/>
        <n v="0.14099999999999999"/>
        <n v="1.4E-2"/>
        <n v="7.5999999999999998E-2"/>
        <n v="0.10299999999999999"/>
        <n v="0.121"/>
        <n v="4.2000000000000003E-2"/>
        <n v="0.34599999999999997"/>
        <n v="6.5000000000000002E-2"/>
        <n v="0.23899999999999999"/>
        <n v="0.27"/>
        <n v="2.8000000000000001E-2"/>
        <n v="0.14499999999999999"/>
        <n v="0.158"/>
        <n v="0.21"/>
        <n v="0.24"/>
        <n v="0.29899999999999999"/>
        <n v="0.56499999999999995"/>
        <n v="0.28199999999999997"/>
        <n v="0.26100000000000001"/>
        <n v="3.9E-2"/>
        <n v="0.17"/>
        <n v="0.27200000000000002"/>
        <n v="0.13200000000000001"/>
        <n v="0.106"/>
        <n v="5.8000000000000003E-2"/>
        <n v="0.25600000000000001"/>
        <n v="3.2000000000000001E-2"/>
        <n v="0.16300000000000001"/>
        <n v="0.19"/>
        <n v="0.35699999999999998"/>
        <n v="9.8000000000000004E-2"/>
        <n v="8.3000000000000004E-2"/>
        <n v="6.4000000000000001E-2"/>
        <n v="7.6999999999999999E-2"/>
        <n v="0.217"/>
        <n v="0.22600000000000001"/>
        <n v="1.9E-2"/>
        <n v="0.314"/>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sharedItems>
      <fieldGroup base="18">
        <rangePr startNum="0" endNum="0.56499999999999995" groupInterval="0.1"/>
        <groupItems count="8">
          <s v="&lt;0"/>
          <s v="0-0.1"/>
          <s v="0.1-0.2"/>
          <s v="0.2-0.3"/>
          <s v="0.3-0.4"/>
          <s v="0.4-0.5"/>
          <s v="0.5-0.6"/>
          <s v="&gt;0.6"/>
        </groupItems>
      </fieldGroup>
    </cacheField>
    <cacheField name="Discount % limits" numFmtId="9">
      <sharedItems containsSemiMixedTypes="0" containsString="0" containsNumber="1" minValue="0" maxValue="0.56499999999999995" count="228">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18"/>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34300000000000003"/>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317"/>
        <n v="0.156"/>
        <n v="0.20699999999999999"/>
        <n v="5.8999999999999997E-2"/>
        <n v="0.08"/>
        <n v="0.1"/>
        <n v="0.17599999999999999"/>
        <n v="8.7999999999999995E-2"/>
        <n v="0.09"/>
        <n v="0.14099999999999999"/>
        <n v="1.4E-2"/>
        <n v="7.5999999999999998E-2"/>
        <n v="0.10299999999999999"/>
        <n v="0.121"/>
        <n v="4.2000000000000003E-2"/>
        <n v="0.34599999999999997"/>
        <n v="6.5000000000000002E-2"/>
        <n v="0.23899999999999999"/>
        <n v="0.27"/>
        <n v="2.8000000000000001E-2"/>
        <n v="0.14499999999999999"/>
        <n v="0.158"/>
        <n v="0.21"/>
        <n v="0.24"/>
        <n v="0.29899999999999999"/>
        <n v="0.56499999999999995"/>
        <n v="0.28199999999999997"/>
        <n v="0.26100000000000001"/>
        <n v="3.9E-2"/>
        <n v="0.17"/>
        <n v="0.27200000000000002"/>
        <n v="0.13200000000000001"/>
        <n v="0.106"/>
        <n v="5.8000000000000003E-2"/>
        <n v="0.25600000000000001"/>
        <n v="3.2000000000000001E-2"/>
        <n v="0.16300000000000001"/>
        <n v="0.19"/>
        <n v="0.35699999999999998"/>
        <n v="9.8000000000000004E-2"/>
        <n v="8.3000000000000004E-2"/>
        <n v="6.4000000000000001E-2"/>
        <n v="7.6999999999999999E-2"/>
        <n v="0.217"/>
        <n v="0.22600000000000001"/>
        <n v="1.9E-2"/>
        <n v="0.314"/>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sharedItems>
      <fieldGroup base="19">
        <rangePr startNum="0" endNum="0.56499999999999995" groupInterval="0.1"/>
        <groupItems count="8">
          <s v="&lt;0"/>
          <s v="0-0.1"/>
          <s v="0.1-0.2"/>
          <s v="0.2-0.3"/>
          <s v="0.3-0.4"/>
          <s v="0.4-0.5"/>
          <s v="0.5-0.6"/>
          <s v="&gt;0.6"/>
        </groupItems>
      </fieldGroup>
    </cacheField>
    <cacheField name="Gross Revenue" numFmtId="43">
      <sharedItems containsSemiMixedTypes="0" containsString="0" containsNumber="1" minValue="-760.01964191999991" maxValue="115322.04350496001"/>
    </cacheField>
    <cacheField name="Gross Profit" numFmtId="43">
      <sharedItems containsSemiMixedTypes="0" containsString="0" containsNumber="1" minValue="-68880.512050000005" maxValue="65188.659999999996"/>
    </cacheField>
    <cacheField name="Profit Margin %" numFmtId="9">
      <sharedItems containsSemiMixedTypes="0" containsString="0" containsNumber="1" minValue="0" maxValue="0.59672531214528945"/>
    </cacheField>
    <cacheField name="Order Month &amp; Year" numFmtId="14">
      <sharedItems/>
    </cacheField>
    <cacheField name="Quarter" numFmtId="0">
      <sharedItems/>
    </cacheField>
    <cacheField name="Price bands by quartile" numFmtId="0">
      <sharedItems/>
    </cacheField>
    <cacheField name="Quarter2" numFmtId="0">
      <sharedItems count="4">
        <s v="Q1"/>
        <s v="Q4"/>
        <s v="Q2"/>
        <s v="Q3"/>
      </sharedItems>
    </cacheField>
    <cacheField name="Order Month" numFmtId="14">
      <sharedItems count="12">
        <s v="Mar"/>
        <s v="Oct"/>
        <s v="Feb"/>
        <s v="Dec"/>
        <s v="Jan"/>
        <s v="May"/>
        <s v="Sep"/>
        <s v="Apr"/>
        <s v="Jul"/>
        <s v="Jun"/>
        <s v="Nov"/>
        <s v="Aug"/>
      </sharedItems>
    </cacheField>
    <cacheField name="Year order was placed" numFmtId="14">
      <sharedItems count="3">
        <s v="2024"/>
        <s v="2023"/>
        <s v="2025"/>
      </sharedItems>
    </cacheField>
    <cacheField name="Months (Order 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 Date)" numFmtId="0" databaseField="0">
      <fieldGroup base="1">
        <rangePr groupBy="quarters" startDate="2023-01-02T00:00:00" endDate="2025-09-16T00:00:00"/>
        <groupItems count="6">
          <s v="&lt;1/2/2023"/>
          <s v="Qtr1"/>
          <s v="Qtr2"/>
          <s v="Qtr3"/>
          <s v="Qtr4"/>
          <s v="&gt;9/16/2025"/>
        </groupItems>
      </fieldGroup>
    </cacheField>
    <cacheField name="Years (Order 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916605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d v="2024-04-06T00:00:00"/>
    <x v="0"/>
    <x v="0"/>
    <x v="0"/>
    <x v="0"/>
    <s v="Corporate"/>
    <x v="0"/>
    <x v="0"/>
    <x v="0"/>
    <x v="0"/>
    <n v="9"/>
    <n v="9"/>
    <x v="0"/>
    <x v="0"/>
    <n v="608.9"/>
    <n v="540.70320000000004"/>
    <x v="0"/>
    <x v="0"/>
    <n v="4321.2999744000008"/>
    <n v="1808.1399744000009"/>
    <n v="0.41842500754672918"/>
    <s v="Mar-2024"/>
    <s v="Q1-2024"/>
    <s v="High Price"/>
    <x v="0"/>
    <x v="0"/>
    <x v="0"/>
  </r>
  <r>
    <x v="1"/>
    <x v="1"/>
    <d v="2024-10-22T00:00:00"/>
    <x v="1"/>
    <x v="0"/>
    <x v="1"/>
    <x v="1"/>
    <s v="Education"/>
    <x v="1"/>
    <x v="1"/>
    <x v="1"/>
    <x v="1"/>
    <n v="31"/>
    <n v="31"/>
    <x v="1"/>
    <x v="1"/>
    <n v="759.33"/>
    <n v="579.36878999999999"/>
    <x v="1"/>
    <x v="1"/>
    <n v="13703.80998987"/>
    <n v="-19912.280010130002"/>
    <n v="0"/>
    <s v="Oct-2024"/>
    <s v="Q4-2024"/>
    <s v="High Price"/>
    <x v="1"/>
    <x v="1"/>
    <x v="0"/>
  </r>
  <r>
    <x v="2"/>
    <x v="2"/>
    <d v="2023-03-25T00:00:00"/>
    <x v="2"/>
    <x v="0"/>
    <x v="0"/>
    <x v="2"/>
    <s v="Corporate"/>
    <x v="0"/>
    <x v="2"/>
    <x v="2"/>
    <x v="2"/>
    <n v="12"/>
    <n v="12"/>
    <x v="2"/>
    <x v="2"/>
    <n v="-30.66"/>
    <n v="-26.643540000000002"/>
    <x v="2"/>
    <x v="2"/>
    <n v="-277.83883512"/>
    <n v="-17806.95883512"/>
    <n v="0"/>
    <s v="Feb-2023"/>
    <s v="Q1-2023"/>
    <s v="Low Price"/>
    <x v="0"/>
    <x v="2"/>
    <x v="1"/>
  </r>
  <r>
    <x v="3"/>
    <x v="3"/>
    <d v="2025-04-02T00:00:00"/>
    <x v="3"/>
    <x v="0"/>
    <x v="1"/>
    <x v="3"/>
    <s v="Non-Profit"/>
    <x v="2"/>
    <x v="3"/>
    <x v="3"/>
    <x v="3"/>
    <n v="22"/>
    <n v="22"/>
    <x v="3"/>
    <x v="3"/>
    <n v="255.94"/>
    <n v="237.51232000000002"/>
    <x v="3"/>
    <x v="3"/>
    <n v="4849.0515251200004"/>
    <n v="-869.40847487999963"/>
    <n v="0"/>
    <s v="Mar-2025"/>
    <s v="Q1-2025"/>
    <s v="Low Price"/>
    <x v="0"/>
    <x v="0"/>
    <x v="2"/>
  </r>
  <r>
    <x v="4"/>
    <x v="4"/>
    <d v="2023-12-31T00:00:00"/>
    <x v="2"/>
    <x v="1"/>
    <x v="2"/>
    <x v="4"/>
    <s v="Consumer"/>
    <x v="0"/>
    <x v="4"/>
    <x v="1"/>
    <x v="4"/>
    <n v="15"/>
    <n v="15"/>
    <x v="4"/>
    <x v="4"/>
    <n v="813.51"/>
    <n v="730.53197999999998"/>
    <x v="4"/>
    <x v="4"/>
    <n v="9840.2657705999991"/>
    <n v="-105.18422939999982"/>
    <n v="0"/>
    <s v="Dec-2023"/>
    <s v="Q4-2023"/>
    <s v="High Price"/>
    <x v="1"/>
    <x v="3"/>
    <x v="1"/>
  </r>
  <r>
    <x v="5"/>
    <x v="5"/>
    <d v="2023-01-05T00:00:00"/>
    <x v="4"/>
    <x v="2"/>
    <x v="3"/>
    <x v="5"/>
    <s v="Corporate"/>
    <x v="3"/>
    <x v="5"/>
    <x v="4"/>
    <x v="5"/>
    <n v="7"/>
    <n v="7"/>
    <x v="5"/>
    <x v="5"/>
    <n v="591.67999999999995"/>
    <n v="591.67999999999995"/>
    <x v="5"/>
    <x v="5"/>
    <n v="4141.7599999999993"/>
    <n v="1930.6699999999992"/>
    <n v="0.46614724175229844"/>
    <s v="Jan-2023"/>
    <s v="Q1-2023"/>
    <s v="High Price"/>
    <x v="0"/>
    <x v="4"/>
    <x v="1"/>
  </r>
  <r>
    <x v="6"/>
    <x v="6"/>
    <d v="2025-01-14T00:00:00"/>
    <x v="5"/>
    <x v="1"/>
    <x v="4"/>
    <x v="6"/>
    <s v="Small Business"/>
    <x v="2"/>
    <x v="6"/>
    <x v="5"/>
    <x v="6"/>
    <n v="4"/>
    <n v="4"/>
    <x v="6"/>
    <x v="6"/>
    <n v="845.97"/>
    <n v="721.61240999999995"/>
    <x v="6"/>
    <x v="6"/>
    <n v="2462.1415429199997"/>
    <n v="117.86154291999947"/>
    <n v="4.7869523691241762E-2"/>
    <s v="Dec-2024"/>
    <s v="Q4-2024"/>
    <s v="High Price"/>
    <x v="1"/>
    <x v="3"/>
    <x v="0"/>
  </r>
  <r>
    <x v="7"/>
    <x v="7"/>
    <d v="2023-01-13T00:00:00"/>
    <x v="1"/>
    <x v="0"/>
    <x v="1"/>
    <x v="7"/>
    <s v="Education"/>
    <x v="1"/>
    <x v="7"/>
    <x v="1"/>
    <x v="7"/>
    <n v="18"/>
    <n v="18"/>
    <x v="7"/>
    <x v="7"/>
    <n v="47.22"/>
    <n v="38.05932"/>
    <x v="7"/>
    <x v="7"/>
    <n v="552.16461456000002"/>
    <n v="41.324614560000043"/>
    <n v="7.4841113447536176E-2"/>
    <s v="Jan-2023"/>
    <s v="Q1-2023"/>
    <s v="Low Price"/>
    <x v="0"/>
    <x v="4"/>
    <x v="1"/>
  </r>
  <r>
    <x v="8"/>
    <x v="8"/>
    <d v="2024-05-29T00:00:00"/>
    <x v="2"/>
    <x v="0"/>
    <x v="1"/>
    <x v="7"/>
    <s v="Non-Profit"/>
    <x v="2"/>
    <x v="7"/>
    <x v="5"/>
    <x v="8"/>
    <n v="6"/>
    <n v="6"/>
    <x v="8"/>
    <x v="8"/>
    <n v="2530.81"/>
    <n v="2452.3548900000001"/>
    <x v="8"/>
    <x v="8"/>
    <n v="14257.99133046"/>
    <n v="6485.9513304600005"/>
    <n v="0.45489937398150648"/>
    <s v="May-2024"/>
    <s v="Q2-2024"/>
    <s v="Medium Price"/>
    <x v="2"/>
    <x v="5"/>
    <x v="0"/>
  </r>
  <r>
    <x v="9"/>
    <x v="9"/>
    <d v="2025-06-09T00:00:00"/>
    <x v="6"/>
    <x v="2"/>
    <x v="5"/>
    <x v="8"/>
    <s v="Non-Profit"/>
    <x v="1"/>
    <x v="8"/>
    <x v="0"/>
    <x v="9"/>
    <n v="31"/>
    <n v="31"/>
    <x v="9"/>
    <x v="9"/>
    <n v="2309.56"/>
    <n v="1965.4355599999999"/>
    <x v="9"/>
    <x v="9"/>
    <n v="51850.155508359996"/>
    <n v="10577.37550835999"/>
    <n v="0.20399891581143975"/>
    <s v="May-2025"/>
    <s v="Q2-2025"/>
    <s v="Medium Price"/>
    <x v="2"/>
    <x v="5"/>
    <x v="2"/>
  </r>
  <r>
    <x v="10"/>
    <x v="10"/>
    <d v="2024-02-09T00:00:00"/>
    <x v="7"/>
    <x v="3"/>
    <x v="6"/>
    <x v="9"/>
    <s v="Corporate"/>
    <x v="1"/>
    <x v="3"/>
    <x v="6"/>
    <x v="10"/>
    <n v="23"/>
    <n v="23"/>
    <x v="10"/>
    <x v="10"/>
    <n v="700.12"/>
    <n v="695.91927999999996"/>
    <x v="10"/>
    <x v="10"/>
    <n v="15910.106579359999"/>
    <n v="1094.1965793599993"/>
    <n v="6.8773680044324034E-2"/>
    <s v="Jan-2024"/>
    <s v="Q1-2024"/>
    <s v="High Price"/>
    <x v="0"/>
    <x v="4"/>
    <x v="0"/>
  </r>
  <r>
    <x v="11"/>
    <x v="11"/>
    <d v="2025-01-23T00:00:00"/>
    <x v="8"/>
    <x v="1"/>
    <x v="2"/>
    <x v="4"/>
    <s v="Corporate"/>
    <x v="3"/>
    <x v="9"/>
    <x v="3"/>
    <x v="11"/>
    <n v="20"/>
    <n v="20"/>
    <x v="11"/>
    <x v="11"/>
    <n v="691.37"/>
    <n v="518.52750000000003"/>
    <x v="11"/>
    <x v="11"/>
    <n v="7777.9125000000004"/>
    <n v="-10394.0875"/>
    <n v="0"/>
    <s v="Jan-2025"/>
    <s v="Q1-2025"/>
    <s v="Low Price"/>
    <x v="0"/>
    <x v="4"/>
    <x v="2"/>
  </r>
  <r>
    <x v="12"/>
    <x v="12"/>
    <d v="2025-03-31T00:00:00"/>
    <x v="2"/>
    <x v="2"/>
    <x v="5"/>
    <x v="10"/>
    <s v="Non-Profit"/>
    <x v="1"/>
    <x v="1"/>
    <x v="0"/>
    <x v="12"/>
    <n v="10"/>
    <n v="10"/>
    <x v="12"/>
    <x v="12"/>
    <n v="548.4"/>
    <n v="496.85039999999998"/>
    <x v="12"/>
    <x v="12"/>
    <n v="4501.4646240000002"/>
    <n v="1185.7646240000004"/>
    <n v="0.26341751475241637"/>
    <s v="Mar-2025"/>
    <s v="Q1-2025"/>
    <s v="Low Price"/>
    <x v="0"/>
    <x v="0"/>
    <x v="2"/>
  </r>
  <r>
    <x v="13"/>
    <x v="13"/>
    <d v="2024-02-13T00:00:00"/>
    <x v="9"/>
    <x v="3"/>
    <x v="7"/>
    <x v="11"/>
    <s v="Corporate"/>
    <x v="0"/>
    <x v="10"/>
    <x v="1"/>
    <x v="13"/>
    <n v="15"/>
    <n v="15"/>
    <x v="13"/>
    <x v="13"/>
    <n v="1439.01"/>
    <n v="1439.01"/>
    <x v="5"/>
    <x v="5"/>
    <n v="21585.15"/>
    <n v="11932.200000000003"/>
    <n v="0.55279671440782208"/>
    <s v="Jan-2024"/>
    <s v="Q1-2024"/>
    <s v="High Price"/>
    <x v="0"/>
    <x v="4"/>
    <x v="0"/>
  </r>
  <r>
    <x v="14"/>
    <x v="14"/>
    <d v="2025-09-30T00:00:00"/>
    <x v="10"/>
    <x v="2"/>
    <x v="5"/>
    <x v="10"/>
    <s v="Education"/>
    <x v="0"/>
    <x v="11"/>
    <x v="6"/>
    <x v="14"/>
    <n v="12"/>
    <n v="12"/>
    <x v="14"/>
    <x v="14"/>
    <n v="631.57000000000005"/>
    <n v="631.57000000000005"/>
    <x v="5"/>
    <x v="5"/>
    <n v="7578.84"/>
    <n v="-1788.2399999999998"/>
    <n v="0"/>
    <s v="Sep-2025"/>
    <s v="Q3-2025"/>
    <s v="High Price"/>
    <x v="3"/>
    <x v="6"/>
    <x v="2"/>
  </r>
  <r>
    <x v="15"/>
    <x v="15"/>
    <d v="2023-04-22T00:00:00"/>
    <x v="1"/>
    <x v="0"/>
    <x v="0"/>
    <x v="2"/>
    <s v="Small Business"/>
    <x v="4"/>
    <x v="6"/>
    <x v="4"/>
    <x v="15"/>
    <n v="9"/>
    <n v="9"/>
    <x v="15"/>
    <x v="15"/>
    <n v="850.8"/>
    <n v="787.84079999999994"/>
    <x v="13"/>
    <x v="13"/>
    <n v="6565.865227199999"/>
    <n v="-242.72477280000112"/>
    <n v="0"/>
    <s v="Apr-2023"/>
    <s v="Q2-2023"/>
    <s v="High Price"/>
    <x v="2"/>
    <x v="7"/>
    <x v="1"/>
  </r>
  <r>
    <x v="16"/>
    <x v="16"/>
    <d v="2025-01-08T00:00:00"/>
    <x v="10"/>
    <x v="3"/>
    <x v="7"/>
    <x v="11"/>
    <s v="Small Business"/>
    <x v="0"/>
    <x v="11"/>
    <x v="1"/>
    <x v="16"/>
    <n v="28"/>
    <n v="28"/>
    <x v="16"/>
    <x v="16"/>
    <n v="1040.0999999999999"/>
    <n v="926.7290999999999"/>
    <x v="14"/>
    <x v="14"/>
    <n v="23120.037586799997"/>
    <n v="-1830.2024132000042"/>
    <n v="0"/>
    <s v="Dec-2024"/>
    <s v="Q4-2024"/>
    <s v="High Price"/>
    <x v="1"/>
    <x v="3"/>
    <x v="0"/>
  </r>
  <r>
    <x v="17"/>
    <x v="17"/>
    <d v="2025-09-16T00:00:00"/>
    <x v="11"/>
    <x v="1"/>
    <x v="2"/>
    <x v="4"/>
    <s v="Corporate"/>
    <x v="3"/>
    <x v="0"/>
    <x v="3"/>
    <x v="17"/>
    <n v="16"/>
    <n v="16"/>
    <x v="17"/>
    <x v="17"/>
    <n v="2705.57"/>
    <n v="2210.4506900000001"/>
    <x v="15"/>
    <x v="15"/>
    <n v="28895.011419679999"/>
    <n v="9285.8914196799997"/>
    <n v="0.32136659455879313"/>
    <s v="Sep-2025"/>
    <s v="Q3-2025"/>
    <s v="Medium Price"/>
    <x v="3"/>
    <x v="6"/>
    <x v="2"/>
  </r>
  <r>
    <x v="18"/>
    <x v="18"/>
    <d v="2025-08-05T00:00:00"/>
    <x v="12"/>
    <x v="2"/>
    <x v="5"/>
    <x v="10"/>
    <s v="Enterprise"/>
    <x v="2"/>
    <x v="3"/>
    <x v="6"/>
    <x v="18"/>
    <n v="18"/>
    <n v="18"/>
    <x v="18"/>
    <x v="18"/>
    <n v="2375.37"/>
    <n v="2116.4546700000001"/>
    <x v="14"/>
    <x v="14"/>
    <n v="33943.699997460004"/>
    <n v="14716.639997460003"/>
    <n v="0.43356027771165911"/>
    <s v="Jul-2025"/>
    <s v="Q3-2025"/>
    <s v="Medium Price"/>
    <x v="3"/>
    <x v="8"/>
    <x v="2"/>
  </r>
  <r>
    <x v="19"/>
    <x v="9"/>
    <d v="2025-05-19T00:00:00"/>
    <x v="1"/>
    <x v="3"/>
    <x v="8"/>
    <x v="12"/>
    <s v="Enterprise"/>
    <x v="1"/>
    <x v="12"/>
    <x v="4"/>
    <x v="19"/>
    <n v="19"/>
    <n v="19"/>
    <x v="19"/>
    <x v="19"/>
    <n v="2148.14"/>
    <n v="2066.5106799999999"/>
    <x v="16"/>
    <x v="16"/>
    <n v="37771.682209039995"/>
    <n v="18483.642209039994"/>
    <n v="0.48935184053349512"/>
    <s v="May-2025"/>
    <s v="Q2-2025"/>
    <s v="Medium Price"/>
    <x v="2"/>
    <x v="5"/>
    <x v="2"/>
  </r>
  <r>
    <x v="20"/>
    <x v="19"/>
    <d v="2024-07-24T00:00:00"/>
    <x v="1"/>
    <x v="0"/>
    <x v="0"/>
    <x v="13"/>
    <s v="Non-Profit"/>
    <x v="4"/>
    <x v="1"/>
    <x v="4"/>
    <x v="20"/>
    <n v="7"/>
    <n v="7"/>
    <x v="20"/>
    <x v="20"/>
    <n v="3661.07"/>
    <n v="3397.4729600000005"/>
    <x v="3"/>
    <x v="3"/>
    <n v="22069.984348160004"/>
    <n v="11609.184348160003"/>
    <n v="0.52601688179846273"/>
    <s v="Jul-2024"/>
    <s v="Q3-2024"/>
    <s v="Medium Price"/>
    <x v="3"/>
    <x v="8"/>
    <x v="0"/>
  </r>
  <r>
    <x v="21"/>
    <x v="20"/>
    <d v="2023-05-28T00:00:00"/>
    <x v="13"/>
    <x v="1"/>
    <x v="9"/>
    <x v="14"/>
    <s v="Enterprise"/>
    <x v="2"/>
    <x v="6"/>
    <x v="2"/>
    <x v="21"/>
    <n v="8"/>
    <n v="8"/>
    <x v="21"/>
    <x v="21"/>
    <n v="2903.09"/>
    <n v="2487.9481300000002"/>
    <x v="17"/>
    <x v="17"/>
    <n v="17057.372379280001"/>
    <n v="6407.8523792800006"/>
    <n v="0.37566468250782709"/>
    <s v="May-2023"/>
    <s v="Q2-2023"/>
    <s v="Medium Price"/>
    <x v="2"/>
    <x v="5"/>
    <x v="1"/>
  </r>
  <r>
    <x v="22"/>
    <x v="21"/>
    <d v="2025-06-29T00:00:00"/>
    <x v="14"/>
    <x v="0"/>
    <x v="1"/>
    <x v="1"/>
    <s v="Consumer"/>
    <x v="2"/>
    <x v="12"/>
    <x v="6"/>
    <x v="22"/>
    <n v="10"/>
    <n v="10"/>
    <x v="22"/>
    <x v="22"/>
    <n v="1242.8399999999999"/>
    <n v="1093.6992"/>
    <x v="18"/>
    <x v="18"/>
    <n v="9624.5529599999991"/>
    <n v="2314.6529599999994"/>
    <n v="0.24049459435880122"/>
    <s v="Jun-2025"/>
    <s v="Q2-2025"/>
    <s v="High Price"/>
    <x v="2"/>
    <x v="9"/>
    <x v="2"/>
  </r>
  <r>
    <x v="23"/>
    <x v="22"/>
    <d v="2024-05-23T00:00:00"/>
    <x v="15"/>
    <x v="2"/>
    <x v="10"/>
    <x v="15"/>
    <s v="Enterprise"/>
    <x v="0"/>
    <x v="10"/>
    <x v="4"/>
    <x v="23"/>
    <n v="8"/>
    <n v="8"/>
    <x v="23"/>
    <x v="23"/>
    <n v="2553.69"/>
    <n v="2528.1531"/>
    <x v="19"/>
    <x v="19"/>
    <n v="20022.972551999999"/>
    <n v="9826.2525519999999"/>
    <n v="0.49074893982304851"/>
    <s v="May-2024"/>
    <s v="Q2-2024"/>
    <s v="Medium Price"/>
    <x v="2"/>
    <x v="5"/>
    <x v="0"/>
  </r>
  <r>
    <x v="24"/>
    <x v="23"/>
    <d v="2023-02-12T00:00:00"/>
    <x v="15"/>
    <x v="2"/>
    <x v="5"/>
    <x v="8"/>
    <s v="Education"/>
    <x v="1"/>
    <x v="13"/>
    <x v="0"/>
    <x v="24"/>
    <n v="12"/>
    <n v="12"/>
    <x v="24"/>
    <x v="24"/>
    <n v="2089.16"/>
    <n v="2074.5358799999999"/>
    <x v="20"/>
    <x v="20"/>
    <n v="24720.16954608"/>
    <n v="13337.569546080002"/>
    <n v="0.53954199307645956"/>
    <s v="Feb-2023"/>
    <s v="Q1-2023"/>
    <s v="Medium Price"/>
    <x v="0"/>
    <x v="2"/>
    <x v="1"/>
  </r>
  <r>
    <x v="25"/>
    <x v="24"/>
    <d v="2024-07-14T00:00:00"/>
    <x v="16"/>
    <x v="2"/>
    <x v="5"/>
    <x v="10"/>
    <s v="Education"/>
    <x v="0"/>
    <x v="0"/>
    <x v="6"/>
    <x v="25"/>
    <n v="4"/>
    <n v="4"/>
    <x v="25"/>
    <x v="25"/>
    <n v="2583.02"/>
    <n v="2149.0726399999999"/>
    <x v="21"/>
    <x v="21"/>
    <n v="7152.113745919999"/>
    <n v="1184.7137459199994"/>
    <n v="0.16564526068895818"/>
    <s v="Jun-2024"/>
    <s v="Q2-2024"/>
    <s v="Medium Price"/>
    <x v="2"/>
    <x v="9"/>
    <x v="0"/>
  </r>
  <r>
    <x v="26"/>
    <x v="25"/>
    <d v="2024-12-30T00:00:00"/>
    <x v="17"/>
    <x v="3"/>
    <x v="7"/>
    <x v="11"/>
    <s v="Consumer"/>
    <x v="2"/>
    <x v="9"/>
    <x v="1"/>
    <x v="26"/>
    <n v="10"/>
    <n v="10"/>
    <x v="26"/>
    <x v="26"/>
    <n v="175.67"/>
    <n v="175.67"/>
    <x v="5"/>
    <x v="5"/>
    <n v="1756.6999999999998"/>
    <n v="580.29999999999973"/>
    <n v="0.33033528775545046"/>
    <s v="Nov-2024"/>
    <s v="Q4-2024"/>
    <s v="Low Price"/>
    <x v="1"/>
    <x v="10"/>
    <x v="0"/>
  </r>
  <r>
    <x v="27"/>
    <x v="26"/>
    <d v="2024-07-19T00:00:00"/>
    <x v="18"/>
    <x v="0"/>
    <x v="0"/>
    <x v="0"/>
    <s v="Small Business"/>
    <x v="0"/>
    <x v="8"/>
    <x v="3"/>
    <x v="27"/>
    <n v="6"/>
    <n v="6"/>
    <x v="27"/>
    <x v="27"/>
    <n v="758.23"/>
    <n v="663.45125000000007"/>
    <x v="22"/>
    <x v="22"/>
    <n v="3483.1190625000004"/>
    <n v="-1660.3209375000001"/>
    <n v="0"/>
    <s v="Jul-2024"/>
    <s v="Q3-2024"/>
    <s v="High Price"/>
    <x v="3"/>
    <x v="8"/>
    <x v="0"/>
  </r>
  <r>
    <x v="28"/>
    <x v="27"/>
    <d v="2023-05-14T00:00:00"/>
    <x v="17"/>
    <x v="0"/>
    <x v="0"/>
    <x v="16"/>
    <s v="Consumer"/>
    <x v="2"/>
    <x v="12"/>
    <x v="3"/>
    <x v="28"/>
    <n v="9"/>
    <n v="9"/>
    <x v="28"/>
    <x v="28"/>
    <n v="434.8"/>
    <n v="434.8"/>
    <x v="5"/>
    <x v="5"/>
    <n v="3913.2000000000003"/>
    <n v="2029.9500000000003"/>
    <n v="0.51874425022999082"/>
    <s v="Apr-2023"/>
    <s v="Q2-2023"/>
    <s v="Low Price"/>
    <x v="2"/>
    <x v="7"/>
    <x v="1"/>
  </r>
  <r>
    <x v="29"/>
    <x v="28"/>
    <d v="2025-04-11T00:00:00"/>
    <x v="3"/>
    <x v="3"/>
    <x v="7"/>
    <x v="17"/>
    <s v="Education"/>
    <x v="0"/>
    <x v="6"/>
    <x v="2"/>
    <x v="29"/>
    <n v="14"/>
    <n v="14"/>
    <x v="29"/>
    <x v="29"/>
    <n v="1666.18"/>
    <n v="1434.58098"/>
    <x v="23"/>
    <x v="23"/>
    <n v="17292.439132920001"/>
    <n v="6725.6591329200019"/>
    <n v="0.38893640632316673"/>
    <s v="Apr-2025"/>
    <s v="Q2-2025"/>
    <s v="High Price"/>
    <x v="2"/>
    <x v="7"/>
    <x v="2"/>
  </r>
  <r>
    <x v="30"/>
    <x v="6"/>
    <d v="2025-01-15T00:00:00"/>
    <x v="6"/>
    <x v="1"/>
    <x v="4"/>
    <x v="18"/>
    <s v="Non-Profit"/>
    <x v="3"/>
    <x v="3"/>
    <x v="0"/>
    <x v="30"/>
    <n v="17"/>
    <n v="17"/>
    <x v="30"/>
    <x v="30"/>
    <n v="631.78"/>
    <n v="576.81514000000004"/>
    <x v="24"/>
    <x v="24"/>
    <n v="8952.7477879400012"/>
    <n v="527.71778794000238"/>
    <n v="5.8944784376800653E-2"/>
    <s v="Dec-2024"/>
    <s v="Q4-2024"/>
    <s v="High Price"/>
    <x v="1"/>
    <x v="3"/>
    <x v="0"/>
  </r>
  <r>
    <x v="31"/>
    <x v="29"/>
    <d v="2023-03-25T00:00:00"/>
    <x v="17"/>
    <x v="2"/>
    <x v="3"/>
    <x v="19"/>
    <s v="Enterprise"/>
    <x v="1"/>
    <x v="14"/>
    <x v="3"/>
    <x v="31"/>
    <n v="16"/>
    <n v="16"/>
    <x v="31"/>
    <x v="31"/>
    <n v="1794.07"/>
    <n v="1634.39777"/>
    <x v="25"/>
    <x v="25"/>
    <n v="23822.981895520003"/>
    <n v="3940.4218955200013"/>
    <n v="0.16540422659100504"/>
    <s v="Feb-2023"/>
    <s v="Q1-2023"/>
    <s v="High Price"/>
    <x v="0"/>
    <x v="2"/>
    <x v="1"/>
  </r>
  <r>
    <x v="32"/>
    <x v="30"/>
    <d v="2025-08-06T00:00:00"/>
    <x v="19"/>
    <x v="0"/>
    <x v="11"/>
    <x v="20"/>
    <s v="Education"/>
    <x v="2"/>
    <x v="14"/>
    <x v="2"/>
    <x v="32"/>
    <n v="4"/>
    <n v="4"/>
    <x v="32"/>
    <x v="32"/>
    <n v="2633.02"/>
    <n v="2411.8463200000001"/>
    <x v="26"/>
    <x v="26"/>
    <n v="8837.0049164800002"/>
    <n v="2981.4049164799999"/>
    <n v="0.33737730652610837"/>
    <s v="Jul-2025"/>
    <s v="Q3-2025"/>
    <s v="Medium Price"/>
    <x v="3"/>
    <x v="8"/>
    <x v="2"/>
  </r>
  <r>
    <x v="33"/>
    <x v="31"/>
    <d v="2024-05-08T00:00:00"/>
    <x v="8"/>
    <x v="3"/>
    <x v="8"/>
    <x v="21"/>
    <s v="Non-Profit"/>
    <x v="5"/>
    <x v="14"/>
    <x v="4"/>
    <x v="33"/>
    <n v="10"/>
    <n v="10"/>
    <x v="33"/>
    <x v="33"/>
    <n v="1321.85"/>
    <n v="1321.85"/>
    <x v="5"/>
    <x v="5"/>
    <n v="13218.5"/>
    <n v="6765.2"/>
    <n v="0.51179785906116426"/>
    <s v="Apr-2024"/>
    <s v="Q2-2024"/>
    <s v="High Price"/>
    <x v="2"/>
    <x v="7"/>
    <x v="0"/>
  </r>
  <r>
    <x v="34"/>
    <x v="32"/>
    <d v="2024-08-21T00:00:00"/>
    <x v="1"/>
    <x v="0"/>
    <x v="11"/>
    <x v="20"/>
    <s v="Education"/>
    <x v="0"/>
    <x v="6"/>
    <x v="0"/>
    <x v="34"/>
    <n v="9"/>
    <n v="9"/>
    <x v="34"/>
    <x v="34"/>
    <n v="3036.87"/>
    <n v="3036.87"/>
    <x v="5"/>
    <x v="5"/>
    <n v="27331.829999999998"/>
    <n v="14439.149999999998"/>
    <n v="0.52829064135112791"/>
    <s v="Aug-2024"/>
    <s v="Q3-2024"/>
    <s v="Medium Price"/>
    <x v="3"/>
    <x v="11"/>
    <x v="0"/>
  </r>
  <r>
    <x v="35"/>
    <x v="33"/>
    <d v="2023-04-22T00:00:00"/>
    <x v="0"/>
    <x v="1"/>
    <x v="4"/>
    <x v="18"/>
    <s v="Non-Profit"/>
    <x v="2"/>
    <x v="1"/>
    <x v="1"/>
    <x v="35"/>
    <n v="37"/>
    <n v="37"/>
    <x v="35"/>
    <x v="35"/>
    <n v="199.37"/>
    <n v="179.23363000000001"/>
    <x v="27"/>
    <x v="27"/>
    <n v="5961.84823469"/>
    <n v="-643.76176530999965"/>
    <n v="0"/>
    <s v="Mar-2023"/>
    <s v="Q1-2023"/>
    <s v="Low Price"/>
    <x v="0"/>
    <x v="0"/>
    <x v="1"/>
  </r>
  <r>
    <x v="36"/>
    <x v="34"/>
    <d v="2024-03-25T00:00:00"/>
    <x v="5"/>
    <x v="3"/>
    <x v="6"/>
    <x v="22"/>
    <s v="Corporate"/>
    <x v="1"/>
    <x v="5"/>
    <x v="0"/>
    <x v="36"/>
    <n v="27"/>
    <n v="27"/>
    <x v="36"/>
    <x v="36"/>
    <n v="927.51"/>
    <n v="702.12507000000005"/>
    <x v="28"/>
    <x v="28"/>
    <n v="14350.73430573"/>
    <n v="-4895.9456942699999"/>
    <n v="0"/>
    <s v="Mar-2024"/>
    <s v="Q1-2024"/>
    <s v="High Price"/>
    <x v="0"/>
    <x v="0"/>
    <x v="0"/>
  </r>
  <r>
    <x v="37"/>
    <x v="35"/>
    <d v="2025-07-10T00:00:00"/>
    <x v="12"/>
    <x v="1"/>
    <x v="9"/>
    <x v="23"/>
    <s v="Enterprise"/>
    <x v="4"/>
    <x v="13"/>
    <x v="0"/>
    <x v="37"/>
    <n v="8"/>
    <n v="8"/>
    <x v="37"/>
    <x v="37"/>
    <n v="1735.41"/>
    <n v="1499.3942400000001"/>
    <x v="29"/>
    <x v="29"/>
    <n v="10363.812986880001"/>
    <n v="4306.2929868800002"/>
    <n v="0.41551241732473587"/>
    <s v="Jun-2025"/>
    <s v="Q2-2025"/>
    <s v="High Price"/>
    <x v="2"/>
    <x v="9"/>
    <x v="2"/>
  </r>
  <r>
    <x v="38"/>
    <x v="36"/>
    <d v="2024-05-06T00:00:00"/>
    <x v="13"/>
    <x v="0"/>
    <x v="1"/>
    <x v="1"/>
    <s v="Non-Profit"/>
    <x v="1"/>
    <x v="8"/>
    <x v="1"/>
    <x v="38"/>
    <n v="13"/>
    <n v="13"/>
    <x v="38"/>
    <x v="38"/>
    <n v="1395.64"/>
    <n v="1151.403"/>
    <x v="30"/>
    <x v="30"/>
    <n v="12348.797175"/>
    <n v="1099.5071749999988"/>
    <n v="8.9037592845555735E-2"/>
    <s v="Apr-2024"/>
    <s v="Q2-2024"/>
    <s v="High Price"/>
    <x v="2"/>
    <x v="7"/>
    <x v="0"/>
  </r>
  <r>
    <x v="39"/>
    <x v="37"/>
    <d v="2023-06-24T00:00:00"/>
    <x v="20"/>
    <x v="2"/>
    <x v="10"/>
    <x v="24"/>
    <s v="Corporate"/>
    <x v="0"/>
    <x v="2"/>
    <x v="1"/>
    <x v="39"/>
    <n v="9"/>
    <n v="9"/>
    <x v="39"/>
    <x v="39"/>
    <n v="454.42"/>
    <n v="395.79982000000001"/>
    <x v="31"/>
    <x v="31"/>
    <n v="3102.6747889799999"/>
    <n v="276.76478898000005"/>
    <n v="8.9201997567713534E-2"/>
    <s v="Jun-2023"/>
    <s v="Q2-2023"/>
    <s v="Low Price"/>
    <x v="2"/>
    <x v="9"/>
    <x v="1"/>
  </r>
  <r>
    <x v="40"/>
    <x v="38"/>
    <d v="2024-09-19T00:00:00"/>
    <x v="21"/>
    <x v="3"/>
    <x v="6"/>
    <x v="9"/>
    <s v="Small Business"/>
    <x v="4"/>
    <x v="14"/>
    <x v="5"/>
    <x v="40"/>
    <n v="27"/>
    <n v="27"/>
    <x v="40"/>
    <x v="40"/>
    <n v="1580.97"/>
    <n v="1522.4741099999999"/>
    <x v="32"/>
    <x v="32"/>
    <n v="39585.849334109997"/>
    <n v="11937.579334109996"/>
    <n v="0.3015617836908131"/>
    <s v="Aug-2024"/>
    <s v="Q3-2024"/>
    <s v="High Price"/>
    <x v="3"/>
    <x v="11"/>
    <x v="0"/>
  </r>
  <r>
    <x v="41"/>
    <x v="39"/>
    <d v="2024-02-02T00:00:00"/>
    <x v="22"/>
    <x v="0"/>
    <x v="11"/>
    <x v="25"/>
    <s v="Consumer"/>
    <x v="1"/>
    <x v="11"/>
    <x v="2"/>
    <x v="41"/>
    <n v="6"/>
    <n v="6"/>
    <x v="41"/>
    <x v="41"/>
    <n v="1759.79"/>
    <n v="1759.79"/>
    <x v="5"/>
    <x v="5"/>
    <n v="10558.74"/>
    <n v="3321.5399999999991"/>
    <n v="0.31457730751964713"/>
    <s v="Jan-2024"/>
    <s v="Q1-2024"/>
    <s v="Medium Price"/>
    <x v="0"/>
    <x v="4"/>
    <x v="0"/>
  </r>
  <r>
    <x v="42"/>
    <x v="40"/>
    <d v="2024-11-14T00:00:00"/>
    <x v="8"/>
    <x v="0"/>
    <x v="0"/>
    <x v="13"/>
    <s v="Corporate"/>
    <x v="4"/>
    <x v="10"/>
    <x v="1"/>
    <x v="42"/>
    <n v="14"/>
    <n v="14"/>
    <x v="42"/>
    <x v="42"/>
    <n v="3204.5"/>
    <n v="2185.4689999999996"/>
    <x v="33"/>
    <x v="33"/>
    <n v="20866.858011999997"/>
    <n v="1316.1380119999958"/>
    <n v="6.3073128270826326E-2"/>
    <s v="Oct-2024"/>
    <s v="Q4-2024"/>
    <s v="Medium Price"/>
    <x v="1"/>
    <x v="1"/>
    <x v="0"/>
  </r>
  <r>
    <x v="43"/>
    <x v="41"/>
    <d v="2025-06-20T00:00:00"/>
    <x v="22"/>
    <x v="3"/>
    <x v="6"/>
    <x v="9"/>
    <s v="Corporate"/>
    <x v="4"/>
    <x v="8"/>
    <x v="1"/>
    <x v="43"/>
    <n v="11"/>
    <n v="11"/>
    <x v="43"/>
    <x v="43"/>
    <n v="1135.43"/>
    <n v="969.65722000000005"/>
    <x v="34"/>
    <x v="34"/>
    <n v="9108.9599246800008"/>
    <n v="3790.7899246800007"/>
    <n v="0.41616056674145174"/>
    <s v="May-2025"/>
    <s v="Q2-2025"/>
    <s v="High Price"/>
    <x v="2"/>
    <x v="5"/>
    <x v="2"/>
  </r>
  <r>
    <x v="44"/>
    <x v="42"/>
    <d v="2024-06-02T00:00:00"/>
    <x v="19"/>
    <x v="2"/>
    <x v="3"/>
    <x v="26"/>
    <s v="Enterprise"/>
    <x v="2"/>
    <x v="11"/>
    <x v="0"/>
    <x v="44"/>
    <n v="22"/>
    <n v="22"/>
    <x v="44"/>
    <x v="44"/>
    <n v="996.36"/>
    <n v="815.02248000000009"/>
    <x v="35"/>
    <x v="35"/>
    <n v="14667.144550080002"/>
    <n v="-192.31544991999726"/>
    <n v="0"/>
    <s v="May-2024"/>
    <s v="Q2-2024"/>
    <s v="High Price"/>
    <x v="2"/>
    <x v="5"/>
    <x v="0"/>
  </r>
  <r>
    <x v="45"/>
    <x v="43"/>
    <d v="2023-04-30T00:00:00"/>
    <x v="23"/>
    <x v="1"/>
    <x v="4"/>
    <x v="18"/>
    <s v="Small Business"/>
    <x v="0"/>
    <x v="8"/>
    <x v="2"/>
    <x v="45"/>
    <n v="28"/>
    <n v="28"/>
    <x v="45"/>
    <x v="45"/>
    <n v="1397.05"/>
    <n v="1160.9485499999998"/>
    <x v="36"/>
    <x v="36"/>
    <n v="27012.950861399993"/>
    <n v="3869.5508613999955"/>
    <n v="0.14324798802078928"/>
    <s v="Apr-2023"/>
    <s v="Q2-2023"/>
    <s v="High Price"/>
    <x v="2"/>
    <x v="7"/>
    <x v="1"/>
  </r>
  <r>
    <x v="46"/>
    <x v="44"/>
    <d v="2023-07-03T00:00:00"/>
    <x v="24"/>
    <x v="0"/>
    <x v="1"/>
    <x v="7"/>
    <s v="Consumer"/>
    <x v="1"/>
    <x v="1"/>
    <x v="1"/>
    <x v="46"/>
    <n v="13"/>
    <n v="13"/>
    <x v="46"/>
    <x v="46"/>
    <n v="548.89"/>
    <n v="548.89"/>
    <x v="5"/>
    <x v="5"/>
    <n v="7135.57"/>
    <n v="2744.8199999999997"/>
    <n v="0.38466723751571352"/>
    <s v="Jun-2023"/>
    <s v="Q2-2023"/>
    <s v="High Price"/>
    <x v="2"/>
    <x v="9"/>
    <x v="1"/>
  </r>
  <r>
    <x v="47"/>
    <x v="45"/>
    <d v="2024-05-28T00:00:00"/>
    <x v="16"/>
    <x v="3"/>
    <x v="8"/>
    <x v="12"/>
    <s v="Consumer"/>
    <x v="0"/>
    <x v="5"/>
    <x v="2"/>
    <x v="47"/>
    <n v="31"/>
    <n v="31"/>
    <x v="47"/>
    <x v="47"/>
    <n v="3524"/>
    <n v="3524"/>
    <x v="5"/>
    <x v="5"/>
    <n v="109244"/>
    <n v="65188.659999999996"/>
    <n v="0.59672531214528945"/>
    <s v="May-2024"/>
    <s v="Q2-2024"/>
    <s v="Medium Price"/>
    <x v="2"/>
    <x v="5"/>
    <x v="0"/>
  </r>
  <r>
    <x v="48"/>
    <x v="46"/>
    <d v="2024-11-08T00:00:00"/>
    <x v="2"/>
    <x v="0"/>
    <x v="1"/>
    <x v="3"/>
    <s v="Enterprise"/>
    <x v="1"/>
    <x v="7"/>
    <x v="2"/>
    <x v="48"/>
    <n v="24"/>
    <n v="24"/>
    <x v="48"/>
    <x v="48"/>
    <n v="1825.61"/>
    <n v="1484.2209299999997"/>
    <x v="37"/>
    <x v="37"/>
    <n v="28960.11878615999"/>
    <n v="8335.7187861599887"/>
    <n v="0.28783441282511657"/>
    <s v="Oct-2024"/>
    <s v="Q4-2024"/>
    <s v="High Price"/>
    <x v="1"/>
    <x v="1"/>
    <x v="0"/>
  </r>
  <r>
    <x v="49"/>
    <x v="47"/>
    <d v="2023-08-01T00:00:00"/>
    <x v="22"/>
    <x v="3"/>
    <x v="7"/>
    <x v="11"/>
    <s v="Consumer"/>
    <x v="2"/>
    <x v="5"/>
    <x v="1"/>
    <x v="49"/>
    <n v="22"/>
    <n v="22"/>
    <x v="49"/>
    <x v="49"/>
    <n v="1791.37"/>
    <n v="1565.6573799999999"/>
    <x v="38"/>
    <x v="38"/>
    <n v="30104.460102639998"/>
    <n v="1426.1401026399981"/>
    <n v="4.7373050298116233E-2"/>
    <s v="Jul-2023"/>
    <s v="Q3-2023"/>
    <s v="High Price"/>
    <x v="3"/>
    <x v="8"/>
    <x v="1"/>
  </r>
  <r>
    <x v="50"/>
    <x v="48"/>
    <d v="2024-11-22T00:00:00"/>
    <x v="12"/>
    <x v="2"/>
    <x v="3"/>
    <x v="5"/>
    <s v="Non-Profit"/>
    <x v="3"/>
    <x v="14"/>
    <x v="6"/>
    <x v="50"/>
    <n v="8"/>
    <n v="8"/>
    <x v="50"/>
    <x v="50"/>
    <n v="2629.75"/>
    <n v="1861.8629999999998"/>
    <x v="39"/>
    <x v="39"/>
    <n v="10545.592031999999"/>
    <n v="-1087.2879680000005"/>
    <n v="0"/>
    <s v="Nov-2024"/>
    <s v="Q4-2024"/>
    <s v="Medium Price"/>
    <x v="1"/>
    <x v="10"/>
    <x v="0"/>
  </r>
  <r>
    <x v="51"/>
    <x v="49"/>
    <d v="2024-11-06T00:00:00"/>
    <x v="8"/>
    <x v="1"/>
    <x v="4"/>
    <x v="6"/>
    <s v="Enterprise"/>
    <x v="3"/>
    <x v="7"/>
    <x v="5"/>
    <x v="51"/>
    <n v="8"/>
    <n v="8"/>
    <x v="51"/>
    <x v="51"/>
    <n v="106.3"/>
    <n v="74.941500000000005"/>
    <x v="40"/>
    <x v="40"/>
    <n v="422.67006000000009"/>
    <n v="-160.84993999999989"/>
    <n v="0"/>
    <s v="Oct-2024"/>
    <s v="Q4-2024"/>
    <s v="Low Price"/>
    <x v="1"/>
    <x v="1"/>
    <x v="0"/>
  </r>
  <r>
    <x v="52"/>
    <x v="50"/>
    <d v="2023-04-05T00:00:00"/>
    <x v="15"/>
    <x v="0"/>
    <x v="0"/>
    <x v="16"/>
    <s v="Education"/>
    <x v="2"/>
    <x v="5"/>
    <x v="4"/>
    <x v="52"/>
    <n v="15"/>
    <n v="15"/>
    <x v="52"/>
    <x v="52"/>
    <n v="385.72"/>
    <n v="385.72"/>
    <x v="5"/>
    <x v="5"/>
    <n v="5785.8"/>
    <n v="-2213.0999999999995"/>
    <n v="0"/>
    <s v="Mar-2023"/>
    <s v="Q1-2023"/>
    <s v="Low Price"/>
    <x v="0"/>
    <x v="0"/>
    <x v="1"/>
  </r>
  <r>
    <x v="53"/>
    <x v="51"/>
    <d v="2025-02-16T00:00:00"/>
    <x v="0"/>
    <x v="3"/>
    <x v="7"/>
    <x v="17"/>
    <s v="Corporate"/>
    <x v="3"/>
    <x v="7"/>
    <x v="4"/>
    <x v="53"/>
    <n v="13"/>
    <n v="13"/>
    <x v="53"/>
    <x v="53"/>
    <n v="236.87"/>
    <n v="193.75966000000003"/>
    <x v="35"/>
    <x v="35"/>
    <n v="2060.4402244400003"/>
    <n v="-592.98977556"/>
    <n v="0"/>
    <s v="Jan-2025"/>
    <s v="Q1-2025"/>
    <s v="Low Price"/>
    <x v="0"/>
    <x v="4"/>
    <x v="2"/>
  </r>
  <r>
    <x v="54"/>
    <x v="52"/>
    <d v="2023-09-01T00:00:00"/>
    <x v="25"/>
    <x v="3"/>
    <x v="6"/>
    <x v="22"/>
    <s v="Corporate"/>
    <x v="4"/>
    <x v="13"/>
    <x v="2"/>
    <x v="54"/>
    <n v="6"/>
    <n v="6"/>
    <x v="54"/>
    <x v="54"/>
    <n v="41.9"/>
    <n v="35.866399999999999"/>
    <x v="41"/>
    <x v="41"/>
    <n v="184.20983039999999"/>
    <n v="-82.310169599999995"/>
    <n v="0"/>
    <s v="Aug-2023"/>
    <s v="Q3-2023"/>
    <s v="Low Price"/>
    <x v="3"/>
    <x v="11"/>
    <x v="1"/>
  </r>
  <r>
    <x v="55"/>
    <x v="53"/>
    <d v="2025-04-30T00:00:00"/>
    <x v="9"/>
    <x v="2"/>
    <x v="5"/>
    <x v="10"/>
    <s v="Education"/>
    <x v="1"/>
    <x v="11"/>
    <x v="5"/>
    <x v="55"/>
    <n v="38"/>
    <n v="38"/>
    <x v="55"/>
    <x v="55"/>
    <n v="977.38"/>
    <n v="833.70514000000003"/>
    <x v="6"/>
    <x v="6"/>
    <n v="27023.718407960001"/>
    <n v="-5495.9215920399984"/>
    <n v="0"/>
    <s v="Apr-2025"/>
    <s v="Q2-2025"/>
    <s v="High Price"/>
    <x v="2"/>
    <x v="7"/>
    <x v="2"/>
  </r>
  <r>
    <x v="56"/>
    <x v="54"/>
    <d v="2025-03-01T00:00:00"/>
    <x v="8"/>
    <x v="2"/>
    <x v="5"/>
    <x v="8"/>
    <s v="Corporate"/>
    <x v="3"/>
    <x v="5"/>
    <x v="4"/>
    <x v="56"/>
    <n v="11"/>
    <n v="11"/>
    <x v="56"/>
    <x v="56"/>
    <n v="2794.13"/>
    <n v="2696.33545"/>
    <x v="42"/>
    <x v="42"/>
    <n v="28621.600801749999"/>
    <n v="15920.560801749998"/>
    <n v="0.55624285000776663"/>
    <s v="Feb-2025"/>
    <s v="Q1-2025"/>
    <s v="Medium Price"/>
    <x v="0"/>
    <x v="2"/>
    <x v="2"/>
  </r>
  <r>
    <x v="57"/>
    <x v="55"/>
    <d v="2024-12-18T00:00:00"/>
    <x v="26"/>
    <x v="3"/>
    <x v="6"/>
    <x v="22"/>
    <s v="Education"/>
    <x v="0"/>
    <x v="4"/>
    <x v="6"/>
    <x v="57"/>
    <n v="8"/>
    <n v="8"/>
    <x v="57"/>
    <x v="57"/>
    <n v="701.95"/>
    <n v="598.76335000000006"/>
    <x v="6"/>
    <x v="6"/>
    <n v="4085.9611004000003"/>
    <n v="1311.4011004000004"/>
    <n v="0.32095290879583244"/>
    <s v="Dec-2024"/>
    <s v="Q4-2024"/>
    <s v="High Price"/>
    <x v="1"/>
    <x v="3"/>
    <x v="0"/>
  </r>
  <r>
    <x v="58"/>
    <x v="56"/>
    <d v="2025-06-18T00:00:00"/>
    <x v="27"/>
    <x v="3"/>
    <x v="7"/>
    <x v="11"/>
    <s v="Small Business"/>
    <x v="2"/>
    <x v="10"/>
    <x v="6"/>
    <x v="58"/>
    <n v="56"/>
    <n v="56"/>
    <x v="58"/>
    <x v="58"/>
    <n v="-5.27"/>
    <n v="-4.8747499999999997"/>
    <x v="43"/>
    <x v="43"/>
    <n v="-252.51204999999999"/>
    <n v="-68880.512050000005"/>
    <n v="0"/>
    <s v="Jun-2025"/>
    <s v="Q2-2025"/>
    <s v="Low Price"/>
    <x v="2"/>
    <x v="9"/>
    <x v="2"/>
  </r>
  <r>
    <x v="59"/>
    <x v="57"/>
    <d v="2025-05-13T00:00:00"/>
    <x v="23"/>
    <x v="0"/>
    <x v="0"/>
    <x v="16"/>
    <s v="Small Business"/>
    <x v="1"/>
    <x v="8"/>
    <x v="6"/>
    <x v="59"/>
    <n v="4"/>
    <n v="4"/>
    <x v="59"/>
    <x v="59"/>
    <n v="1437.06"/>
    <n v="1142.4627"/>
    <x v="44"/>
    <x v="44"/>
    <n v="3633.0313860000001"/>
    <n v="-597.36861399999952"/>
    <n v="0"/>
    <s v="May-2025"/>
    <s v="Q2-2025"/>
    <s v="High Price"/>
    <x v="2"/>
    <x v="5"/>
    <x v="2"/>
  </r>
  <r>
    <x v="60"/>
    <x v="58"/>
    <d v="2024-04-09T00:00:00"/>
    <x v="17"/>
    <x v="3"/>
    <x v="7"/>
    <x v="17"/>
    <s v="Corporate"/>
    <x v="4"/>
    <x v="2"/>
    <x v="0"/>
    <x v="60"/>
    <n v="20"/>
    <n v="20"/>
    <x v="60"/>
    <x v="60"/>
    <n v="1911.89"/>
    <n v="1684.37509"/>
    <x v="45"/>
    <x v="45"/>
    <n v="29678.689085800001"/>
    <n v="6147.4890858000035"/>
    <n v="0.20713479183759897"/>
    <s v="Mar-2024"/>
    <s v="Q1-2024"/>
    <s v="High Price"/>
    <x v="0"/>
    <x v="0"/>
    <x v="0"/>
  </r>
  <r>
    <x v="61"/>
    <x v="59"/>
    <d v="2025-09-12T00:00:00"/>
    <x v="25"/>
    <x v="1"/>
    <x v="2"/>
    <x v="27"/>
    <s v="Consumer"/>
    <x v="1"/>
    <x v="7"/>
    <x v="0"/>
    <x v="61"/>
    <n v="12"/>
    <n v="12"/>
    <x v="61"/>
    <x v="61"/>
    <n v="2593.7800000000002"/>
    <n v="2308.4642000000003"/>
    <x v="46"/>
    <x v="46"/>
    <n v="24654.397656000001"/>
    <n v="7012.5976559999981"/>
    <n v="0.28443597583871133"/>
    <s v="Sep-2025"/>
    <s v="Q3-2025"/>
    <s v="Medium Price"/>
    <x v="3"/>
    <x v="6"/>
    <x v="2"/>
  </r>
  <r>
    <x v="62"/>
    <x v="60"/>
    <d v="2025-05-25T00:00:00"/>
    <x v="28"/>
    <x v="3"/>
    <x v="7"/>
    <x v="28"/>
    <s v="Small Business"/>
    <x v="2"/>
    <x v="2"/>
    <x v="3"/>
    <x v="62"/>
    <n v="11"/>
    <n v="11"/>
    <x v="62"/>
    <x v="62"/>
    <n v="1244.08"/>
    <n v="995.26400000000001"/>
    <x v="47"/>
    <x v="47"/>
    <n v="8758.3232000000007"/>
    <n v="2120.3732"/>
    <n v="0.24209807649025783"/>
    <s v="Apr-2025"/>
    <s v="Q2-2025"/>
    <s v="High Price"/>
    <x v="2"/>
    <x v="7"/>
    <x v="2"/>
  </r>
  <r>
    <x v="63"/>
    <x v="61"/>
    <d v="2024-11-18T00:00:00"/>
    <x v="12"/>
    <x v="1"/>
    <x v="4"/>
    <x v="29"/>
    <s v="Small Business"/>
    <x v="3"/>
    <x v="7"/>
    <x v="5"/>
    <x v="63"/>
    <n v="51"/>
    <n v="51"/>
    <x v="63"/>
    <x v="63"/>
    <n v="1912.51"/>
    <n v="1424.8199500000001"/>
    <x v="48"/>
    <x v="48"/>
    <n v="54136.034000250009"/>
    <n v="-8776.5459997499856"/>
    <n v="0"/>
    <s v="Nov-2024"/>
    <s v="Q4-2024"/>
    <s v="High Price"/>
    <x v="1"/>
    <x v="10"/>
    <x v="0"/>
  </r>
  <r>
    <x v="64"/>
    <x v="62"/>
    <d v="2023-02-26T00:00:00"/>
    <x v="23"/>
    <x v="0"/>
    <x v="11"/>
    <x v="20"/>
    <s v="Non-Profit"/>
    <x v="0"/>
    <x v="11"/>
    <x v="4"/>
    <x v="64"/>
    <n v="40"/>
    <n v="40"/>
    <x v="64"/>
    <x v="64"/>
    <n v="755.87"/>
    <n v="657.6069"/>
    <x v="49"/>
    <x v="49"/>
    <n v="22884.720120000002"/>
    <n v="2944.7201200000018"/>
    <n v="0.12867625667077642"/>
    <s v="Feb-2023"/>
    <s v="Q1-2023"/>
    <s v="High Price"/>
    <x v="0"/>
    <x v="2"/>
    <x v="1"/>
  </r>
  <r>
    <x v="65"/>
    <x v="63"/>
    <d v="2023-12-26T00:00:00"/>
    <x v="21"/>
    <x v="2"/>
    <x v="5"/>
    <x v="30"/>
    <s v="Education"/>
    <x v="0"/>
    <x v="7"/>
    <x v="3"/>
    <x v="65"/>
    <n v="13"/>
    <n v="13"/>
    <x v="65"/>
    <x v="65"/>
    <n v="1145.67"/>
    <n v="934.8667200000001"/>
    <x v="50"/>
    <x v="50"/>
    <n v="9917.0661657600012"/>
    <n v="-7023.3638342399991"/>
    <n v="0"/>
    <s v="Dec-2023"/>
    <s v="Q4-2023"/>
    <s v="High Price"/>
    <x v="1"/>
    <x v="3"/>
    <x v="1"/>
  </r>
  <r>
    <x v="66"/>
    <x v="64"/>
    <d v="2023-04-09T00:00:00"/>
    <x v="29"/>
    <x v="3"/>
    <x v="8"/>
    <x v="31"/>
    <s v="Consumer"/>
    <x v="0"/>
    <x v="4"/>
    <x v="6"/>
    <x v="66"/>
    <n v="16"/>
    <n v="16"/>
    <x v="66"/>
    <x v="66"/>
    <n v="1234.0999999999999"/>
    <n v="1000.8550999999999"/>
    <x v="51"/>
    <x v="51"/>
    <n v="12987.095777599998"/>
    <n v="-4327.6242224000034"/>
    <n v="0"/>
    <s v="Mar-2023"/>
    <s v="Q1-2023"/>
    <s v="High Price"/>
    <x v="0"/>
    <x v="0"/>
    <x v="1"/>
  </r>
  <r>
    <x v="67"/>
    <x v="65"/>
    <d v="2024-06-06T00:00:00"/>
    <x v="14"/>
    <x v="1"/>
    <x v="2"/>
    <x v="32"/>
    <s v="Corporate"/>
    <x v="3"/>
    <x v="0"/>
    <x v="5"/>
    <x v="67"/>
    <n v="13"/>
    <n v="13"/>
    <x v="67"/>
    <x v="67"/>
    <n v="1228.01"/>
    <n v="1099.0689500000001"/>
    <x v="52"/>
    <x v="52"/>
    <n v="12787.66723325"/>
    <n v="4027.2272332499997"/>
    <n v="0.31493056237642458"/>
    <s v="May-2024"/>
    <s v="Q2-2024"/>
    <s v="High Price"/>
    <x v="2"/>
    <x v="5"/>
    <x v="0"/>
  </r>
  <r>
    <x v="68"/>
    <x v="66"/>
    <d v="2023-09-07T00:00:00"/>
    <x v="6"/>
    <x v="0"/>
    <x v="11"/>
    <x v="20"/>
    <s v="Enterprise"/>
    <x v="0"/>
    <x v="14"/>
    <x v="5"/>
    <x v="68"/>
    <n v="18"/>
    <n v="18"/>
    <x v="68"/>
    <x v="68"/>
    <n v="605.23"/>
    <n v="481.76308000000006"/>
    <x v="53"/>
    <x v="53"/>
    <n v="6902.7014102400017"/>
    <n v="-2000.2785897599979"/>
    <n v="0"/>
    <s v="Aug-2023"/>
    <s v="Q3-2023"/>
    <s v="Low Price"/>
    <x v="3"/>
    <x v="11"/>
    <x v="1"/>
  </r>
  <r>
    <x v="69"/>
    <x v="67"/>
    <d v="2023-05-10T00:00:00"/>
    <x v="6"/>
    <x v="1"/>
    <x v="9"/>
    <x v="23"/>
    <s v="Corporate"/>
    <x v="0"/>
    <x v="8"/>
    <x v="0"/>
    <x v="69"/>
    <n v="5"/>
    <n v="5"/>
    <x v="69"/>
    <x v="69"/>
    <n v="1880.15"/>
    <n v="1786.1424999999999"/>
    <x v="54"/>
    <x v="54"/>
    <n v="8484.1768749999992"/>
    <n v="4072.5268749999987"/>
    <n v="0.48001437676297842"/>
    <s v="Apr-2023"/>
    <s v="Q2-2023"/>
    <s v="Medium Price"/>
    <x v="2"/>
    <x v="7"/>
    <x v="1"/>
  </r>
  <r>
    <x v="70"/>
    <x v="68"/>
    <d v="2024-03-21T00:00:00"/>
    <x v="4"/>
    <x v="3"/>
    <x v="6"/>
    <x v="22"/>
    <s v="Small Business"/>
    <x v="1"/>
    <x v="12"/>
    <x v="6"/>
    <x v="70"/>
    <n v="9"/>
    <n v="9"/>
    <x v="70"/>
    <x v="70"/>
    <n v="1269.4000000000001"/>
    <n v="1183.0808"/>
    <x v="55"/>
    <x v="55"/>
    <n v="9923.6817503999991"/>
    <n v="1728.0117503999991"/>
    <n v="0.17413010552563793"/>
    <s v="Mar-2024"/>
    <s v="Q1-2024"/>
    <s v="High Price"/>
    <x v="0"/>
    <x v="0"/>
    <x v="0"/>
  </r>
  <r>
    <x v="71"/>
    <x v="69"/>
    <d v="2025-05-06T00:00:00"/>
    <x v="30"/>
    <x v="2"/>
    <x v="5"/>
    <x v="10"/>
    <s v="Enterprise"/>
    <x v="2"/>
    <x v="9"/>
    <x v="4"/>
    <x v="71"/>
    <n v="12"/>
    <n v="12"/>
    <x v="71"/>
    <x v="71"/>
    <n v="620.92999999999995"/>
    <n v="532.75793999999996"/>
    <x v="56"/>
    <x v="56"/>
    <n v="5485.27575024"/>
    <n v="2314.9957502400002"/>
    <n v="0.42203817194399224"/>
    <s v="Apr-2025"/>
    <s v="Q2-2025"/>
    <s v="High Price"/>
    <x v="2"/>
    <x v="7"/>
    <x v="2"/>
  </r>
  <r>
    <x v="72"/>
    <x v="70"/>
    <d v="2024-05-07T00:00:00"/>
    <x v="2"/>
    <x v="0"/>
    <x v="11"/>
    <x v="20"/>
    <s v="Education"/>
    <x v="3"/>
    <x v="8"/>
    <x v="4"/>
    <x v="72"/>
    <n v="17"/>
    <n v="17"/>
    <x v="72"/>
    <x v="72"/>
    <n v="1455.91"/>
    <n v="1186.56665"/>
    <x v="57"/>
    <x v="57"/>
    <n v="16439.880935749999"/>
    <n v="-6960.7890642499988"/>
    <n v="0"/>
    <s v="Apr-2024"/>
    <s v="Q2-2024"/>
    <s v="High Price"/>
    <x v="2"/>
    <x v="7"/>
    <x v="0"/>
  </r>
  <r>
    <x v="73"/>
    <x v="71"/>
    <d v="2024-12-20T00:00:00"/>
    <x v="15"/>
    <x v="1"/>
    <x v="9"/>
    <x v="14"/>
    <s v="Small Business"/>
    <x v="4"/>
    <x v="1"/>
    <x v="2"/>
    <x v="73"/>
    <n v="18"/>
    <n v="18"/>
    <x v="73"/>
    <x v="73"/>
    <n v="546.42999999999995"/>
    <n v="520.7477899999999"/>
    <x v="58"/>
    <x v="58"/>
    <n v="8932.907589659997"/>
    <n v="-3982.9924103400026"/>
    <n v="0"/>
    <s v="Dec-2024"/>
    <s v="Q4-2024"/>
    <s v="Low Price"/>
    <x v="1"/>
    <x v="3"/>
    <x v="0"/>
  </r>
  <r>
    <x v="74"/>
    <x v="72"/>
    <d v="2023-05-18T00:00:00"/>
    <x v="1"/>
    <x v="0"/>
    <x v="11"/>
    <x v="25"/>
    <s v="Corporate"/>
    <x v="3"/>
    <x v="8"/>
    <x v="0"/>
    <x v="74"/>
    <n v="5"/>
    <n v="5"/>
    <x v="74"/>
    <x v="74"/>
    <n v="1347.92"/>
    <n v="885.58344000000011"/>
    <x v="59"/>
    <x v="59"/>
    <n v="2909.1416004000007"/>
    <n v="-1680.2583995999989"/>
    <n v="0"/>
    <s v="May-2023"/>
    <s v="Q2-2023"/>
    <s v="High Price"/>
    <x v="2"/>
    <x v="5"/>
    <x v="1"/>
  </r>
  <r>
    <x v="75"/>
    <x v="73"/>
    <d v="2023-10-08T00:00:00"/>
    <x v="8"/>
    <x v="1"/>
    <x v="4"/>
    <x v="18"/>
    <s v="Small Business"/>
    <x v="4"/>
    <x v="5"/>
    <x v="0"/>
    <x v="75"/>
    <n v="7"/>
    <n v="7"/>
    <x v="75"/>
    <x v="75"/>
    <n v="1108.43"/>
    <n v="982.06898000000001"/>
    <x v="60"/>
    <x v="60"/>
    <n v="6090.7918139599997"/>
    <n v="311.31181396000011"/>
    <n v="5.1111878959067075E-2"/>
    <s v="Sep-2023"/>
    <s v="Q3-2023"/>
    <s v="High Price"/>
    <x v="3"/>
    <x v="6"/>
    <x v="1"/>
  </r>
  <r>
    <x v="76"/>
    <x v="74"/>
    <d v="2024-09-25T00:00:00"/>
    <x v="28"/>
    <x v="2"/>
    <x v="5"/>
    <x v="30"/>
    <s v="Non-Profit"/>
    <x v="1"/>
    <x v="15"/>
    <x v="6"/>
    <x v="76"/>
    <n v="13"/>
    <n v="13"/>
    <x v="76"/>
    <x v="76"/>
    <n v="3144.1"/>
    <n v="2722.7905999999998"/>
    <x v="61"/>
    <x v="61"/>
    <n v="30653.1765748"/>
    <n v="12522.726574799999"/>
    <n v="0.40852948940681544"/>
    <s v="Aug-2024"/>
    <s v="Q3-2024"/>
    <s v="Medium Price"/>
    <x v="3"/>
    <x v="11"/>
    <x v="0"/>
  </r>
  <r>
    <x v="77"/>
    <x v="24"/>
    <d v="2024-06-28T00:00:00"/>
    <x v="1"/>
    <x v="2"/>
    <x v="5"/>
    <x v="30"/>
    <s v="Small Business"/>
    <x v="4"/>
    <x v="4"/>
    <x v="6"/>
    <x v="77"/>
    <n v="17"/>
    <n v="17"/>
    <x v="77"/>
    <x v="77"/>
    <n v="2095.73"/>
    <n v="1944.83744"/>
    <x v="3"/>
    <x v="3"/>
    <n v="30681.755453440001"/>
    <n v="11761.095453440001"/>
    <n v="0.38332537625780994"/>
    <s v="Jun-2024"/>
    <s v="Q2-2024"/>
    <s v="Medium Price"/>
    <x v="2"/>
    <x v="9"/>
    <x v="0"/>
  </r>
  <r>
    <x v="78"/>
    <x v="75"/>
    <d v="2023-06-16T00:00:00"/>
    <x v="25"/>
    <x v="3"/>
    <x v="8"/>
    <x v="31"/>
    <s v="Non-Profit"/>
    <x v="4"/>
    <x v="11"/>
    <x v="0"/>
    <x v="78"/>
    <n v="20"/>
    <n v="20"/>
    <x v="78"/>
    <x v="78"/>
    <n v="703.62"/>
    <n v="522.78966000000003"/>
    <x v="62"/>
    <x v="62"/>
    <n v="7768.6543476000006"/>
    <n v="621.45434759999989"/>
    <n v="7.9995108521205879E-2"/>
    <s v="Jun-2023"/>
    <s v="Q2-2023"/>
    <s v="Low Price"/>
    <x v="2"/>
    <x v="9"/>
    <x v="1"/>
  </r>
  <r>
    <x v="79"/>
    <x v="76"/>
    <d v="2024-12-21T00:00:00"/>
    <x v="17"/>
    <x v="3"/>
    <x v="7"/>
    <x v="11"/>
    <s v="Small Business"/>
    <x v="4"/>
    <x v="2"/>
    <x v="5"/>
    <x v="79"/>
    <n v="3"/>
    <n v="3"/>
    <x v="79"/>
    <x v="79"/>
    <n v="1997.19"/>
    <n v="1625.7126600000001"/>
    <x v="63"/>
    <x v="63"/>
    <n v="3969.9903157200006"/>
    <n v="601.95031572000062"/>
    <n v="0.15162513453407012"/>
    <s v="Nov-2024"/>
    <s v="Q4-2024"/>
    <s v="High Price"/>
    <x v="1"/>
    <x v="10"/>
    <x v="0"/>
  </r>
  <r>
    <x v="80"/>
    <x v="77"/>
    <d v="2023-02-11T00:00:00"/>
    <x v="4"/>
    <x v="0"/>
    <x v="11"/>
    <x v="33"/>
    <s v="Corporate"/>
    <x v="4"/>
    <x v="12"/>
    <x v="2"/>
    <x v="80"/>
    <n v="26"/>
    <n v="26"/>
    <x v="80"/>
    <x v="80"/>
    <n v="2763.95"/>
    <n v="2318.9540499999998"/>
    <x v="64"/>
    <x v="64"/>
    <n v="50585.663646699992"/>
    <n v="13924.363646699996"/>
    <n v="0.27526304179679112"/>
    <s v="Feb-2023"/>
    <s v="Q1-2023"/>
    <s v="Medium Price"/>
    <x v="0"/>
    <x v="2"/>
    <x v="1"/>
  </r>
  <r>
    <x v="81"/>
    <x v="66"/>
    <d v="2023-09-12T00:00:00"/>
    <x v="9"/>
    <x v="2"/>
    <x v="3"/>
    <x v="26"/>
    <s v="Enterprise"/>
    <x v="0"/>
    <x v="2"/>
    <x v="1"/>
    <x v="81"/>
    <n v="16"/>
    <n v="16"/>
    <x v="81"/>
    <x v="81"/>
    <n v="1503.53"/>
    <n v="1141.1792700000001"/>
    <x v="65"/>
    <x v="65"/>
    <n v="13858.481054880001"/>
    <n v="-5084.7189451199993"/>
    <n v="0"/>
    <s v="Aug-2023"/>
    <s v="Q3-2023"/>
    <s v="High Price"/>
    <x v="3"/>
    <x v="11"/>
    <x v="1"/>
  </r>
  <r>
    <x v="82"/>
    <x v="78"/>
    <d v="2025-05-24T00:00:00"/>
    <x v="24"/>
    <x v="3"/>
    <x v="7"/>
    <x v="28"/>
    <s v="Small Business"/>
    <x v="2"/>
    <x v="11"/>
    <x v="0"/>
    <x v="82"/>
    <n v="15"/>
    <n v="15"/>
    <x v="82"/>
    <x v="82"/>
    <n v="388.04"/>
    <n v="355.44464000000005"/>
    <x v="26"/>
    <x v="26"/>
    <n v="4883.8093536000015"/>
    <n v="2327.9593536000016"/>
    <n v="0.47666876101213768"/>
    <s v="May-2025"/>
    <s v="Q2-2025"/>
    <s v="Low Price"/>
    <x v="2"/>
    <x v="5"/>
    <x v="2"/>
  </r>
  <r>
    <x v="83"/>
    <x v="79"/>
    <d v="2025-04-22T00:00:00"/>
    <x v="1"/>
    <x v="2"/>
    <x v="10"/>
    <x v="24"/>
    <s v="Non-Profit"/>
    <x v="3"/>
    <x v="14"/>
    <x v="5"/>
    <x v="83"/>
    <n v="15"/>
    <n v="15"/>
    <x v="83"/>
    <x v="83"/>
    <n v="44.57"/>
    <n v="34.987450000000003"/>
    <x v="66"/>
    <x v="66"/>
    <n v="411.97722375000001"/>
    <n v="63.377223750000041"/>
    <n v="0.15383671741149268"/>
    <s v="Apr-2025"/>
    <s v="Q2-2025"/>
    <s v="Low Price"/>
    <x v="2"/>
    <x v="7"/>
    <x v="2"/>
  </r>
  <r>
    <x v="84"/>
    <x v="80"/>
    <d v="2025-04-17T00:00:00"/>
    <x v="21"/>
    <x v="3"/>
    <x v="8"/>
    <x v="21"/>
    <s v="Consumer"/>
    <x v="0"/>
    <x v="10"/>
    <x v="2"/>
    <x v="84"/>
    <n v="13"/>
    <n v="13"/>
    <x v="84"/>
    <x v="84"/>
    <n v="1808.26"/>
    <n v="1620.2009600000001"/>
    <x v="67"/>
    <x v="67"/>
    <n v="18872.100782080004"/>
    <n v="396.63078208000297"/>
    <n v="2.1016779565771689E-2"/>
    <s v="Mar-2025"/>
    <s v="Q1-2025"/>
    <s v="High Price"/>
    <x v="0"/>
    <x v="0"/>
    <x v="2"/>
  </r>
  <r>
    <x v="85"/>
    <x v="81"/>
    <d v="2023-12-23T00:00:00"/>
    <x v="26"/>
    <x v="0"/>
    <x v="11"/>
    <x v="33"/>
    <s v="Non-Profit"/>
    <x v="2"/>
    <x v="14"/>
    <x v="0"/>
    <x v="85"/>
    <n v="11"/>
    <n v="11"/>
    <x v="85"/>
    <x v="85"/>
    <n v="1285.0899999999999"/>
    <n v="1195.1336999999999"/>
    <x v="68"/>
    <x v="68"/>
    <n v="12226.217750999998"/>
    <n v="-821.76224900000307"/>
    <n v="0"/>
    <s v="Dec-2023"/>
    <s v="Q4-2023"/>
    <s v="High Price"/>
    <x v="1"/>
    <x v="3"/>
    <x v="1"/>
  </r>
  <r>
    <x v="86"/>
    <x v="82"/>
    <d v="2024-04-25T00:00:00"/>
    <x v="6"/>
    <x v="1"/>
    <x v="9"/>
    <x v="23"/>
    <s v="Corporate"/>
    <x v="0"/>
    <x v="11"/>
    <x v="0"/>
    <x v="86"/>
    <n v="10"/>
    <n v="10"/>
    <x v="86"/>
    <x v="86"/>
    <n v="1678.14"/>
    <n v="1419.7064399999999"/>
    <x v="69"/>
    <x v="69"/>
    <n v="12010.716482399999"/>
    <n v="-1654.0835176000001"/>
    <n v="0"/>
    <s v="Apr-2024"/>
    <s v="Q2-2024"/>
    <s v="High Price"/>
    <x v="2"/>
    <x v="7"/>
    <x v="0"/>
  </r>
  <r>
    <x v="87"/>
    <x v="83"/>
    <d v="2025-08-19T00:00:00"/>
    <x v="7"/>
    <x v="0"/>
    <x v="0"/>
    <x v="16"/>
    <s v="Corporate"/>
    <x v="5"/>
    <x v="12"/>
    <x v="0"/>
    <x v="87"/>
    <n v="3"/>
    <n v="3"/>
    <x v="87"/>
    <x v="87"/>
    <n v="679.35"/>
    <n v="551.63220000000001"/>
    <x v="70"/>
    <x v="70"/>
    <n v="1343.7760392"/>
    <n v="-460.75396079999996"/>
    <n v="0"/>
    <s v="Aug-2025"/>
    <s v="Q3-2025"/>
    <s v="High Price"/>
    <x v="3"/>
    <x v="11"/>
    <x v="2"/>
  </r>
  <r>
    <x v="88"/>
    <x v="84"/>
    <d v="2024-01-25T00:00:00"/>
    <x v="3"/>
    <x v="1"/>
    <x v="4"/>
    <x v="18"/>
    <s v="Consumer"/>
    <x v="4"/>
    <x v="0"/>
    <x v="5"/>
    <x v="88"/>
    <n v="11"/>
    <n v="11"/>
    <x v="88"/>
    <x v="88"/>
    <n v="1109.92"/>
    <n v="1076.6224"/>
    <x v="71"/>
    <x v="71"/>
    <n v="11487.561007999999"/>
    <n v="5726.861007999998"/>
    <n v="0.49852714636394807"/>
    <s v="Jan-2024"/>
    <s v="Q1-2024"/>
    <s v="High Price"/>
    <x v="0"/>
    <x v="4"/>
    <x v="0"/>
  </r>
  <r>
    <x v="89"/>
    <x v="85"/>
    <d v="2023-07-02T00:00:00"/>
    <x v="4"/>
    <x v="1"/>
    <x v="2"/>
    <x v="32"/>
    <s v="Education"/>
    <x v="2"/>
    <x v="9"/>
    <x v="5"/>
    <x v="89"/>
    <n v="8"/>
    <n v="8"/>
    <x v="89"/>
    <x v="89"/>
    <n v="83.57"/>
    <n v="78.054379999999995"/>
    <x v="72"/>
    <x v="72"/>
    <n v="583.22232735999989"/>
    <n v="138.02232735999991"/>
    <n v="0.2366547384850104"/>
    <s v="Jun-2023"/>
    <s v="Q2-2023"/>
    <s v="Low Price"/>
    <x v="2"/>
    <x v="9"/>
    <x v="1"/>
  </r>
  <r>
    <x v="90"/>
    <x v="86"/>
    <d v="2025-05-15T00:00:00"/>
    <x v="13"/>
    <x v="1"/>
    <x v="2"/>
    <x v="32"/>
    <s v="Education"/>
    <x v="4"/>
    <x v="13"/>
    <x v="2"/>
    <x v="90"/>
    <n v="7"/>
    <n v="7"/>
    <x v="90"/>
    <x v="90"/>
    <n v="1284.3"/>
    <n v="1189.2618"/>
    <x v="13"/>
    <x v="13"/>
    <n v="7708.7949876000002"/>
    <n v="2870.4649876000003"/>
    <n v="0.37236234615361979"/>
    <s v="Apr-2025"/>
    <s v="Q2-2025"/>
    <s v="High Price"/>
    <x v="2"/>
    <x v="7"/>
    <x v="2"/>
  </r>
  <r>
    <x v="91"/>
    <x v="56"/>
    <d v="2025-06-25T00:00:00"/>
    <x v="12"/>
    <x v="1"/>
    <x v="4"/>
    <x v="34"/>
    <s v="Enterprise"/>
    <x v="3"/>
    <x v="12"/>
    <x v="3"/>
    <x v="91"/>
    <n v="25"/>
    <n v="25"/>
    <x v="91"/>
    <x v="91"/>
    <n v="911.72"/>
    <n v="780.43232"/>
    <x v="41"/>
    <x v="41"/>
    <n v="16701.251647999998"/>
    <n v="3518.0016479999958"/>
    <n v="0.2106429938394038"/>
    <s v="Jun-2025"/>
    <s v="Q2-2025"/>
    <s v="High Price"/>
    <x v="2"/>
    <x v="9"/>
    <x v="2"/>
  </r>
  <r>
    <x v="92"/>
    <x v="87"/>
    <d v="2023-06-23T00:00:00"/>
    <x v="1"/>
    <x v="2"/>
    <x v="5"/>
    <x v="30"/>
    <s v="Non-Profit"/>
    <x v="0"/>
    <x v="6"/>
    <x v="1"/>
    <x v="92"/>
    <n v="8"/>
    <n v="8"/>
    <x v="92"/>
    <x v="92"/>
    <n v="1405.07"/>
    <n v="1270.18328"/>
    <x v="73"/>
    <x v="73"/>
    <n v="9185.9654809599997"/>
    <n v="2753.8854809599998"/>
    <n v="0.299792709505392"/>
    <s v="Jun-2023"/>
    <s v="Q2-2023"/>
    <s v="High Price"/>
    <x v="2"/>
    <x v="9"/>
    <x v="1"/>
  </r>
  <r>
    <x v="93"/>
    <x v="88"/>
    <d v="2024-11-02T00:00:00"/>
    <x v="10"/>
    <x v="0"/>
    <x v="1"/>
    <x v="7"/>
    <s v="Corporate"/>
    <x v="3"/>
    <x v="9"/>
    <x v="6"/>
    <x v="93"/>
    <n v="23"/>
    <n v="23"/>
    <x v="93"/>
    <x v="93"/>
    <n v="968.94"/>
    <n v="873.01494000000002"/>
    <x v="74"/>
    <x v="74"/>
    <n v="18091.48860162"/>
    <n v="8613.4186016200001"/>
    <n v="0.47610336502927197"/>
    <s v="Oct-2024"/>
    <s v="Q4-2024"/>
    <s v="High Price"/>
    <x v="1"/>
    <x v="1"/>
    <x v="0"/>
  </r>
  <r>
    <x v="94"/>
    <x v="59"/>
    <d v="2025-09-30T00:00:00"/>
    <x v="8"/>
    <x v="0"/>
    <x v="0"/>
    <x v="13"/>
    <s v="Corporate"/>
    <x v="4"/>
    <x v="4"/>
    <x v="3"/>
    <x v="94"/>
    <n v="6"/>
    <n v="6"/>
    <x v="94"/>
    <x v="94"/>
    <n v="1088.81"/>
    <n v="914.60039999999992"/>
    <x v="75"/>
    <x v="75"/>
    <n v="4609.5860159999993"/>
    <n v="-1447.2939840000008"/>
    <n v="0"/>
    <s v="Sep-2025"/>
    <s v="Q3-2025"/>
    <s v="High Price"/>
    <x v="3"/>
    <x v="6"/>
    <x v="2"/>
  </r>
  <r>
    <x v="95"/>
    <x v="89"/>
    <d v="2023-04-27T00:00:00"/>
    <x v="29"/>
    <x v="3"/>
    <x v="8"/>
    <x v="31"/>
    <s v="Enterprise"/>
    <x v="3"/>
    <x v="2"/>
    <x v="1"/>
    <x v="95"/>
    <n v="18"/>
    <n v="18"/>
    <x v="95"/>
    <x v="95"/>
    <n v="2484.9899999999998"/>
    <n v="2400.5003399999996"/>
    <x v="76"/>
    <x v="76"/>
    <n v="41739.899911919987"/>
    <n v="22213.679911919986"/>
    <n v="0.53219293670553947"/>
    <s v="Apr-2023"/>
    <s v="Q2-2023"/>
    <s v="Medium Price"/>
    <x v="2"/>
    <x v="7"/>
    <x v="1"/>
  </r>
  <r>
    <x v="96"/>
    <x v="90"/>
    <d v="2025-08-16T00:00:00"/>
    <x v="14"/>
    <x v="1"/>
    <x v="4"/>
    <x v="35"/>
    <s v="Enterprise"/>
    <x v="4"/>
    <x v="7"/>
    <x v="5"/>
    <x v="96"/>
    <n v="6"/>
    <n v="6"/>
    <x v="96"/>
    <x v="96"/>
    <n v="28.69"/>
    <n v="24.501260000000002"/>
    <x v="34"/>
    <x v="34"/>
    <n v="125.54445624000002"/>
    <n v="-21.095543759999998"/>
    <n v="0"/>
    <s v="Aug-2025"/>
    <s v="Q3-2025"/>
    <s v="Low Price"/>
    <x v="3"/>
    <x v="11"/>
    <x v="2"/>
  </r>
  <r>
    <x v="97"/>
    <x v="91"/>
    <d v="2024-05-26T00:00:00"/>
    <x v="1"/>
    <x v="0"/>
    <x v="1"/>
    <x v="7"/>
    <s v="Enterprise"/>
    <x v="1"/>
    <x v="9"/>
    <x v="6"/>
    <x v="97"/>
    <n v="18"/>
    <n v="18"/>
    <x v="97"/>
    <x v="97"/>
    <n v="1896.62"/>
    <n v="1896.62"/>
    <x v="5"/>
    <x v="5"/>
    <n v="34139.159999999996"/>
    <n v="12051.719999999998"/>
    <n v="0.353017473189147"/>
    <s v="May-2024"/>
    <s v="Q2-2024"/>
    <s v="Medium Price"/>
    <x v="2"/>
    <x v="5"/>
    <x v="0"/>
  </r>
  <r>
    <x v="98"/>
    <x v="92"/>
    <d v="2025-08-18T00:00:00"/>
    <x v="30"/>
    <x v="1"/>
    <x v="9"/>
    <x v="14"/>
    <s v="Non-Profit"/>
    <x v="2"/>
    <x v="12"/>
    <x v="2"/>
    <x v="98"/>
    <n v="14"/>
    <n v="14"/>
    <x v="98"/>
    <x v="98"/>
    <n v="419.17"/>
    <n v="380.60636000000005"/>
    <x v="77"/>
    <x v="77"/>
    <n v="4838.2680483200011"/>
    <n v="-2824.2119516799994"/>
    <n v="0"/>
    <s v="Jul-2025"/>
    <s v="Q3-2025"/>
    <s v="Low Price"/>
    <x v="3"/>
    <x v="8"/>
    <x v="2"/>
  </r>
  <r>
    <x v="99"/>
    <x v="2"/>
    <d v="2023-03-20T00:00:00"/>
    <x v="8"/>
    <x v="3"/>
    <x v="6"/>
    <x v="9"/>
    <s v="Small Business"/>
    <x v="4"/>
    <x v="10"/>
    <x v="4"/>
    <x v="99"/>
    <n v="18"/>
    <n v="18"/>
    <x v="99"/>
    <x v="99"/>
    <n v="2001.17"/>
    <n v="1416.82836"/>
    <x v="39"/>
    <x v="39"/>
    <n v="18056.060619839998"/>
    <n v="-3557.9793801600026"/>
    <n v="0"/>
    <s v="Feb-2023"/>
    <s v="Q1-2023"/>
    <s v="High Price"/>
    <x v="0"/>
    <x v="2"/>
    <x v="1"/>
  </r>
  <r>
    <x v="100"/>
    <x v="93"/>
    <d v="2025-02-15T00:00:00"/>
    <x v="6"/>
    <x v="1"/>
    <x v="9"/>
    <x v="14"/>
    <s v="Non-Profit"/>
    <x v="4"/>
    <x v="4"/>
    <x v="3"/>
    <x v="100"/>
    <n v="17"/>
    <n v="17"/>
    <x v="100"/>
    <x v="100"/>
    <n v="3104.71"/>
    <n v="3104.71"/>
    <x v="5"/>
    <x v="5"/>
    <n v="52780.07"/>
    <n v="31475.329999999998"/>
    <n v="0.59634877331538205"/>
    <s v="Jan-2025"/>
    <s v="Q1-2025"/>
    <s v="Medium Price"/>
    <x v="0"/>
    <x v="4"/>
    <x v="2"/>
  </r>
  <r>
    <x v="101"/>
    <x v="94"/>
    <d v="2024-01-22T00:00:00"/>
    <x v="27"/>
    <x v="1"/>
    <x v="4"/>
    <x v="29"/>
    <s v="Enterprise"/>
    <x v="2"/>
    <x v="1"/>
    <x v="0"/>
    <x v="101"/>
    <n v="22"/>
    <n v="22"/>
    <x v="101"/>
    <x v="101"/>
    <n v="334.28"/>
    <n v="287.48079999999999"/>
    <x v="78"/>
    <x v="78"/>
    <n v="5439.1367359999995"/>
    <n v="-1460.0632640000013"/>
    <n v="0"/>
    <s v="Jan-2024"/>
    <s v="Q1-2024"/>
    <s v="Low Price"/>
    <x v="0"/>
    <x v="4"/>
    <x v="0"/>
  </r>
  <r>
    <x v="102"/>
    <x v="95"/>
    <d v="2025-04-04T00:00:00"/>
    <x v="3"/>
    <x v="0"/>
    <x v="0"/>
    <x v="16"/>
    <s v="Corporate"/>
    <x v="4"/>
    <x v="0"/>
    <x v="4"/>
    <x v="102"/>
    <n v="7"/>
    <n v="7"/>
    <x v="102"/>
    <x v="102"/>
    <n v="1952.83"/>
    <n v="1952.83"/>
    <x v="5"/>
    <x v="5"/>
    <n v="13669.81"/>
    <n v="7635.2499999999991"/>
    <n v="0.5585483631447693"/>
    <s v="Mar-2025"/>
    <s v="Q1-2025"/>
    <s v="Medium Price"/>
    <x v="0"/>
    <x v="0"/>
    <x v="2"/>
  </r>
  <r>
    <x v="103"/>
    <x v="96"/>
    <d v="2024-12-28T00:00:00"/>
    <x v="21"/>
    <x v="2"/>
    <x v="3"/>
    <x v="26"/>
    <s v="Corporate"/>
    <x v="4"/>
    <x v="9"/>
    <x v="6"/>
    <x v="103"/>
    <n v="30"/>
    <n v="30"/>
    <x v="103"/>
    <x v="103"/>
    <n v="242.29"/>
    <n v="198.67780000000002"/>
    <x v="79"/>
    <x v="79"/>
    <n v="4887.4738800000005"/>
    <n v="1676.5738800000004"/>
    <n v="0.34303485218830471"/>
    <s v="Dec-2024"/>
    <s v="Q4-2024"/>
    <s v="Low Price"/>
    <x v="1"/>
    <x v="3"/>
    <x v="0"/>
  </r>
  <r>
    <x v="104"/>
    <x v="97"/>
    <d v="2024-10-05T00:00:00"/>
    <x v="29"/>
    <x v="1"/>
    <x v="9"/>
    <x v="23"/>
    <s v="Small Business"/>
    <x v="1"/>
    <x v="10"/>
    <x v="4"/>
    <x v="104"/>
    <n v="5"/>
    <n v="5"/>
    <x v="104"/>
    <x v="104"/>
    <n v="2968.87"/>
    <n v="2467.1309699999997"/>
    <x v="36"/>
    <x v="36"/>
    <n v="10250.929180349998"/>
    <n v="3223.1291803499989"/>
    <n v="0.31442312434744102"/>
    <s v="Sep-2024"/>
    <s v="Q3-2024"/>
    <s v="Medium Price"/>
    <x v="3"/>
    <x v="6"/>
    <x v="0"/>
  </r>
  <r>
    <x v="105"/>
    <x v="98"/>
    <d v="2024-05-27T00:00:00"/>
    <x v="31"/>
    <x v="0"/>
    <x v="11"/>
    <x v="20"/>
    <s v="Non-Profit"/>
    <x v="1"/>
    <x v="12"/>
    <x v="0"/>
    <x v="105"/>
    <n v="12"/>
    <n v="12"/>
    <x v="105"/>
    <x v="105"/>
    <n v="1394.3"/>
    <n v="1006.6845999999999"/>
    <x v="80"/>
    <x v="80"/>
    <n v="8721.9153743999996"/>
    <n v="-5168.2046255999994"/>
    <n v="0"/>
    <s v="May-2024"/>
    <s v="Q2-2024"/>
    <s v="High Price"/>
    <x v="2"/>
    <x v="5"/>
    <x v="0"/>
  </r>
  <r>
    <x v="106"/>
    <x v="20"/>
    <d v="2023-06-07T00:00:00"/>
    <x v="30"/>
    <x v="0"/>
    <x v="0"/>
    <x v="13"/>
    <s v="Corporate"/>
    <x v="1"/>
    <x v="1"/>
    <x v="3"/>
    <x v="106"/>
    <n v="39"/>
    <n v="39"/>
    <x v="106"/>
    <x v="106"/>
    <n v="15.41"/>
    <n v="13.298830000000001"/>
    <x v="81"/>
    <x v="81"/>
    <n v="447.59872130999997"/>
    <n v="-53.551278690000004"/>
    <n v="0"/>
    <s v="May-2023"/>
    <s v="Q2-2023"/>
    <s v="Low Price"/>
    <x v="2"/>
    <x v="5"/>
    <x v="1"/>
  </r>
  <r>
    <x v="107"/>
    <x v="99"/>
    <d v="2024-09-04T00:00:00"/>
    <x v="29"/>
    <x v="3"/>
    <x v="8"/>
    <x v="31"/>
    <s v="Non-Profit"/>
    <x v="1"/>
    <x v="1"/>
    <x v="3"/>
    <x v="107"/>
    <n v="12"/>
    <n v="12"/>
    <x v="107"/>
    <x v="107"/>
    <n v="2250.81"/>
    <n v="1973.96037"/>
    <x v="82"/>
    <x v="82"/>
    <n v="20773.95893388"/>
    <n v="7108.3589338800011"/>
    <n v="0.34217642176460955"/>
    <s v="Aug-2024"/>
    <s v="Q3-2024"/>
    <s v="Medium Price"/>
    <x v="3"/>
    <x v="11"/>
    <x v="0"/>
  </r>
  <r>
    <x v="108"/>
    <x v="100"/>
    <d v="2024-11-08T00:00:00"/>
    <x v="21"/>
    <x v="1"/>
    <x v="2"/>
    <x v="4"/>
    <s v="Small Business"/>
    <x v="0"/>
    <x v="1"/>
    <x v="2"/>
    <x v="108"/>
    <n v="10"/>
    <n v="10"/>
    <x v="108"/>
    <x v="108"/>
    <n v="166.04"/>
    <n v="166.04"/>
    <x v="5"/>
    <x v="5"/>
    <n v="1660.3999999999999"/>
    <n v="838.99999999999989"/>
    <n v="0.50529992772825827"/>
    <s v="Oct-2024"/>
    <s v="Q4-2024"/>
    <s v="Low Price"/>
    <x v="1"/>
    <x v="1"/>
    <x v="0"/>
  </r>
  <r>
    <x v="109"/>
    <x v="101"/>
    <d v="2024-06-08T00:00:00"/>
    <x v="31"/>
    <x v="0"/>
    <x v="0"/>
    <x v="0"/>
    <s v="Consumer"/>
    <x v="2"/>
    <x v="8"/>
    <x v="6"/>
    <x v="109"/>
    <n v="2"/>
    <n v="2"/>
    <x v="109"/>
    <x v="109"/>
    <n v="356.55"/>
    <n v="274.90005000000002"/>
    <x v="83"/>
    <x v="83"/>
    <n v="423.89587710000006"/>
    <n v="-161.98412289999993"/>
    <n v="0"/>
    <s v="Jun-2024"/>
    <s v="Q2-2024"/>
    <s v="Low Price"/>
    <x v="2"/>
    <x v="9"/>
    <x v="0"/>
  </r>
  <r>
    <x v="110"/>
    <x v="102"/>
    <d v="2024-07-07T00:00:00"/>
    <x v="28"/>
    <x v="1"/>
    <x v="9"/>
    <x v="14"/>
    <s v="Corporate"/>
    <x v="1"/>
    <x v="1"/>
    <x v="0"/>
    <x v="110"/>
    <n v="27"/>
    <n v="27"/>
    <x v="110"/>
    <x v="110"/>
    <n v="1025.05"/>
    <n v="1025.05"/>
    <x v="5"/>
    <x v="5"/>
    <n v="27676.35"/>
    <n v="12820.409999999998"/>
    <n v="0.46322618408858102"/>
    <s v="Jun-2024"/>
    <s v="Q2-2024"/>
    <s v="High Price"/>
    <x v="2"/>
    <x v="9"/>
    <x v="0"/>
  </r>
  <r>
    <x v="111"/>
    <x v="103"/>
    <d v="2024-06-11T00:00:00"/>
    <x v="26"/>
    <x v="3"/>
    <x v="8"/>
    <x v="12"/>
    <s v="Small Business"/>
    <x v="2"/>
    <x v="12"/>
    <x v="4"/>
    <x v="111"/>
    <n v="17"/>
    <n v="17"/>
    <x v="111"/>
    <x v="111"/>
    <n v="1795.17"/>
    <n v="1773.62796"/>
    <x v="84"/>
    <x v="84"/>
    <n v="29789.855216160002"/>
    <n v="9608.6452161599991"/>
    <n v="0.32254756347213226"/>
    <s v="Jun-2024"/>
    <s v="Q2-2024"/>
    <s v="Medium Price"/>
    <x v="2"/>
    <x v="9"/>
    <x v="0"/>
  </r>
  <r>
    <x v="112"/>
    <x v="104"/>
    <d v="2024-07-26T00:00:00"/>
    <x v="30"/>
    <x v="0"/>
    <x v="11"/>
    <x v="25"/>
    <s v="Enterprise"/>
    <x v="3"/>
    <x v="5"/>
    <x v="2"/>
    <x v="112"/>
    <n v="9"/>
    <n v="9"/>
    <x v="112"/>
    <x v="112"/>
    <n v="4.37"/>
    <n v="3.8543400000000001"/>
    <x v="85"/>
    <x v="85"/>
    <n v="30.59575092"/>
    <n v="-17.644249080000002"/>
    <n v="0"/>
    <s v="Jun-2024"/>
    <s v="Q2-2024"/>
    <s v="Low Price"/>
    <x v="2"/>
    <x v="9"/>
    <x v="0"/>
  </r>
  <r>
    <x v="113"/>
    <x v="105"/>
    <d v="2025-01-24T00:00:00"/>
    <x v="20"/>
    <x v="2"/>
    <x v="10"/>
    <x v="36"/>
    <s v="Enterprise"/>
    <x v="1"/>
    <x v="3"/>
    <x v="6"/>
    <x v="113"/>
    <n v="11"/>
    <n v="11"/>
    <x v="113"/>
    <x v="113"/>
    <n v="218.5"/>
    <n v="192.49850000000001"/>
    <x v="45"/>
    <x v="45"/>
    <n v="1865.5029635000001"/>
    <n v="302.51296350000007"/>
    <n v="0.16216160972075563"/>
    <s v="Jan-2025"/>
    <s v="Q1-2025"/>
    <s v="Low Price"/>
    <x v="0"/>
    <x v="4"/>
    <x v="2"/>
  </r>
  <r>
    <x v="114"/>
    <x v="106"/>
    <d v="2023-12-05T00:00:00"/>
    <x v="14"/>
    <x v="1"/>
    <x v="2"/>
    <x v="27"/>
    <s v="Enterprise"/>
    <x v="0"/>
    <x v="4"/>
    <x v="2"/>
    <x v="114"/>
    <n v="6"/>
    <n v="6"/>
    <x v="114"/>
    <x v="114"/>
    <n v="249.87"/>
    <n v="249.87"/>
    <x v="5"/>
    <x v="5"/>
    <n v="1499.22"/>
    <n v="-626.22"/>
    <n v="0"/>
    <s v="Nov-2023"/>
    <s v="Q4-2023"/>
    <s v="Low Price"/>
    <x v="1"/>
    <x v="10"/>
    <x v="1"/>
  </r>
  <r>
    <x v="115"/>
    <x v="107"/>
    <d v="2023-03-05T00:00:00"/>
    <x v="4"/>
    <x v="2"/>
    <x v="5"/>
    <x v="10"/>
    <s v="Enterprise"/>
    <x v="4"/>
    <x v="3"/>
    <x v="5"/>
    <x v="115"/>
    <n v="8"/>
    <n v="8"/>
    <x v="115"/>
    <x v="115"/>
    <n v="3436.52"/>
    <n v="3065.3758400000002"/>
    <x v="86"/>
    <x v="86"/>
    <n v="21874.52199424"/>
    <n v="10085.88199424"/>
    <n v="0.46107896652076857"/>
    <s v="Mar-2023"/>
    <s v="Q1-2023"/>
    <s v="Medium Price"/>
    <x v="0"/>
    <x v="0"/>
    <x v="1"/>
  </r>
  <r>
    <x v="116"/>
    <x v="108"/>
    <d v="2025-06-10T00:00:00"/>
    <x v="20"/>
    <x v="2"/>
    <x v="3"/>
    <x v="5"/>
    <s v="Consumer"/>
    <x v="3"/>
    <x v="7"/>
    <x v="1"/>
    <x v="116"/>
    <n v="17"/>
    <n v="17"/>
    <x v="116"/>
    <x v="116"/>
    <n v="53.45"/>
    <n v="45.058350000000004"/>
    <x v="87"/>
    <x v="87"/>
    <n v="645.73121385000013"/>
    <n v="-632.32878615000004"/>
    <n v="0"/>
    <s v="Jun-2025"/>
    <s v="Q2-2025"/>
    <s v="Low Price"/>
    <x v="2"/>
    <x v="9"/>
    <x v="2"/>
  </r>
  <r>
    <x v="117"/>
    <x v="6"/>
    <d v="2025-01-02T00:00:00"/>
    <x v="31"/>
    <x v="3"/>
    <x v="6"/>
    <x v="37"/>
    <s v="Education"/>
    <x v="4"/>
    <x v="9"/>
    <x v="4"/>
    <x v="117"/>
    <n v="23"/>
    <n v="23"/>
    <x v="117"/>
    <x v="117"/>
    <n v="3469.7"/>
    <n v="2831.2752"/>
    <x v="50"/>
    <x v="50"/>
    <n v="53137.37295360001"/>
    <n v="21121.60295360001"/>
    <n v="0.39749053781871313"/>
    <s v="Dec-2024"/>
    <s v="Q4-2024"/>
    <s v="Medium Price"/>
    <x v="1"/>
    <x v="3"/>
    <x v="0"/>
  </r>
  <r>
    <x v="118"/>
    <x v="109"/>
    <d v="2023-06-19T00:00:00"/>
    <x v="24"/>
    <x v="1"/>
    <x v="9"/>
    <x v="38"/>
    <s v="Enterprise"/>
    <x v="0"/>
    <x v="9"/>
    <x v="5"/>
    <x v="118"/>
    <n v="10"/>
    <n v="10"/>
    <x v="118"/>
    <x v="118"/>
    <n v="621.02"/>
    <n v="576.92758000000003"/>
    <x v="88"/>
    <x v="88"/>
    <n v="5359.6572182000009"/>
    <n v="1963.5572182000005"/>
    <n v="0.36635873121368123"/>
    <s v="Jun-2023"/>
    <s v="Q2-2023"/>
    <s v="High Price"/>
    <x v="2"/>
    <x v="9"/>
    <x v="1"/>
  </r>
  <r>
    <x v="119"/>
    <x v="110"/>
    <d v="2025-07-18T00:00:00"/>
    <x v="27"/>
    <x v="2"/>
    <x v="3"/>
    <x v="26"/>
    <s v="Education"/>
    <x v="3"/>
    <x v="2"/>
    <x v="4"/>
    <x v="119"/>
    <n v="7"/>
    <n v="7"/>
    <x v="119"/>
    <x v="119"/>
    <n v="88.51"/>
    <n v="84.704070000000002"/>
    <x v="89"/>
    <x v="89"/>
    <n v="567.43256493000001"/>
    <n v="161.71256492999998"/>
    <n v="0.28498992642403115"/>
    <s v="Jul-2025"/>
    <s v="Q3-2025"/>
    <s v="Low Price"/>
    <x v="3"/>
    <x v="8"/>
    <x v="2"/>
  </r>
  <r>
    <x v="120"/>
    <x v="111"/>
    <d v="2025-07-12T00:00:00"/>
    <x v="21"/>
    <x v="3"/>
    <x v="8"/>
    <x v="35"/>
    <s v="Non-Profit"/>
    <x v="4"/>
    <x v="15"/>
    <x v="2"/>
    <x v="120"/>
    <n v="23"/>
    <n v="23"/>
    <x v="120"/>
    <x v="120"/>
    <n v="1959.09"/>
    <n v="1718.12193"/>
    <x v="82"/>
    <x v="82"/>
    <n v="34656.237450029999"/>
    <n v="16227.717450029999"/>
    <n v="0.4682481032001341"/>
    <s v="Jun-2025"/>
    <s v="Q2-2025"/>
    <s v="Medium Price"/>
    <x v="2"/>
    <x v="9"/>
    <x v="2"/>
  </r>
  <r>
    <x v="121"/>
    <x v="112"/>
    <d v="2023-12-13T00:00:00"/>
    <x v="9"/>
    <x v="3"/>
    <x v="7"/>
    <x v="17"/>
    <s v="Non-Profit"/>
    <x v="4"/>
    <x v="10"/>
    <x v="5"/>
    <x v="121"/>
    <n v="9"/>
    <n v="9"/>
    <x v="121"/>
    <x v="121"/>
    <n v="2742.97"/>
    <n v="2553.70507"/>
    <x v="90"/>
    <x v="90"/>
    <n v="21397.49478153"/>
    <n v="9720.7147815299995"/>
    <n v="0.45429219078117389"/>
    <s v="Nov-2023"/>
    <s v="Q4-2023"/>
    <s v="Medium Price"/>
    <x v="1"/>
    <x v="10"/>
    <x v="1"/>
  </r>
  <r>
    <x v="122"/>
    <x v="113"/>
    <d v="2024-01-20T00:00:00"/>
    <x v="22"/>
    <x v="0"/>
    <x v="0"/>
    <x v="0"/>
    <s v="Corporate"/>
    <x v="4"/>
    <x v="4"/>
    <x v="3"/>
    <x v="122"/>
    <n v="12"/>
    <n v="12"/>
    <x v="122"/>
    <x v="122"/>
    <n v="1679.42"/>
    <n v="1338.49774"/>
    <x v="91"/>
    <x v="91"/>
    <n v="12801.392385359999"/>
    <n v="-3944.487614640002"/>
    <n v="0"/>
    <s v="Dec-2023"/>
    <s v="Q4-2023"/>
    <s v="High Price"/>
    <x v="1"/>
    <x v="3"/>
    <x v="1"/>
  </r>
  <r>
    <x v="123"/>
    <x v="61"/>
    <d v="2024-11-29T00:00:00"/>
    <x v="30"/>
    <x v="2"/>
    <x v="5"/>
    <x v="10"/>
    <s v="Small Business"/>
    <x v="4"/>
    <x v="2"/>
    <x v="2"/>
    <x v="123"/>
    <n v="8"/>
    <n v="8"/>
    <x v="123"/>
    <x v="123"/>
    <n v="1433.9"/>
    <n v="1352.1677"/>
    <x v="92"/>
    <x v="92"/>
    <n v="10200.753128799999"/>
    <n v="-707.32687120000082"/>
    <n v="0"/>
    <s v="Nov-2024"/>
    <s v="Q4-2024"/>
    <s v="High Price"/>
    <x v="1"/>
    <x v="10"/>
    <x v="0"/>
  </r>
  <r>
    <x v="124"/>
    <x v="114"/>
    <d v="2023-09-04T00:00:00"/>
    <x v="16"/>
    <x v="2"/>
    <x v="3"/>
    <x v="19"/>
    <s v="Education"/>
    <x v="3"/>
    <x v="9"/>
    <x v="0"/>
    <x v="124"/>
    <n v="8"/>
    <n v="8"/>
    <x v="124"/>
    <x v="124"/>
    <n v="284.43"/>
    <n v="259.11573000000004"/>
    <x v="25"/>
    <x v="25"/>
    <n v="1888.4354402400004"/>
    <n v="462.91544024000041"/>
    <n v="0.24513172670661629"/>
    <s v="Aug-2023"/>
    <s v="Q3-2023"/>
    <s v="Low Price"/>
    <x v="3"/>
    <x v="11"/>
    <x v="1"/>
  </r>
  <r>
    <x v="125"/>
    <x v="115"/>
    <d v="2023-09-06T00:00:00"/>
    <x v="2"/>
    <x v="1"/>
    <x v="9"/>
    <x v="23"/>
    <s v="Small Business"/>
    <x v="0"/>
    <x v="5"/>
    <x v="0"/>
    <x v="125"/>
    <n v="14"/>
    <n v="14"/>
    <x v="125"/>
    <x v="125"/>
    <n v="694.78"/>
    <n v="636.41848000000005"/>
    <x v="26"/>
    <x v="26"/>
    <n v="8161.4305875200016"/>
    <n v="-5149.3494124799972"/>
    <n v="0"/>
    <s v="Aug-2023"/>
    <s v="Q3-2023"/>
    <s v="High Price"/>
    <x v="3"/>
    <x v="11"/>
    <x v="1"/>
  </r>
  <r>
    <x v="126"/>
    <x v="116"/>
    <d v="2024-06-26T00:00:00"/>
    <x v="6"/>
    <x v="3"/>
    <x v="6"/>
    <x v="9"/>
    <s v="Non-Profit"/>
    <x v="2"/>
    <x v="12"/>
    <x v="0"/>
    <x v="126"/>
    <n v="38"/>
    <n v="38"/>
    <x v="126"/>
    <x v="126"/>
    <n v="1848.39"/>
    <n v="1713.4575300000001"/>
    <x v="93"/>
    <x v="93"/>
    <n v="60358.254951780007"/>
    <n v="19914.094951780011"/>
    <n v="0.32993158877255996"/>
    <s v="Jun-2024"/>
    <s v="Q2-2024"/>
    <s v="Medium Price"/>
    <x v="2"/>
    <x v="9"/>
    <x v="0"/>
  </r>
  <r>
    <x v="127"/>
    <x v="117"/>
    <d v="2025-08-14T00:00:00"/>
    <x v="27"/>
    <x v="3"/>
    <x v="8"/>
    <x v="21"/>
    <s v="Non-Profit"/>
    <x v="4"/>
    <x v="6"/>
    <x v="0"/>
    <x v="127"/>
    <n v="23"/>
    <n v="23"/>
    <x v="127"/>
    <x v="127"/>
    <n v="45.19"/>
    <n v="37.100989999999996"/>
    <x v="94"/>
    <x v="94"/>
    <n v="700.5779941699999"/>
    <n v="-259.90200583000001"/>
    <n v="0"/>
    <s v="Aug-2025"/>
    <s v="Q3-2025"/>
    <s v="Low Price"/>
    <x v="3"/>
    <x v="11"/>
    <x v="2"/>
  </r>
  <r>
    <x v="128"/>
    <x v="118"/>
    <d v="2024-06-13T00:00:00"/>
    <x v="16"/>
    <x v="2"/>
    <x v="10"/>
    <x v="24"/>
    <s v="Small Business"/>
    <x v="0"/>
    <x v="9"/>
    <x v="3"/>
    <x v="128"/>
    <n v="9"/>
    <n v="9"/>
    <x v="128"/>
    <x v="128"/>
    <n v="361.1"/>
    <n v="293.57429999999999"/>
    <x v="37"/>
    <x v="37"/>
    <n v="2148.0831530999999"/>
    <n v="728.06315309999991"/>
    <n v="0.33893620554180953"/>
    <s v="May-2024"/>
    <s v="Q2-2024"/>
    <s v="Low Price"/>
    <x v="2"/>
    <x v="5"/>
    <x v="0"/>
  </r>
  <r>
    <x v="129"/>
    <x v="119"/>
    <d v="2023-01-30T00:00:00"/>
    <x v="11"/>
    <x v="2"/>
    <x v="10"/>
    <x v="24"/>
    <s v="Small Business"/>
    <x v="1"/>
    <x v="8"/>
    <x v="2"/>
    <x v="129"/>
    <n v="18"/>
    <n v="18"/>
    <x v="129"/>
    <x v="129"/>
    <n v="1004.34"/>
    <n v="892.85826000000009"/>
    <x v="95"/>
    <x v="95"/>
    <n v="14287.517876520002"/>
    <n v="6844.157876520002"/>
    <n v="0.47903057309678954"/>
    <s v="Jan-2023"/>
    <s v="Q1-2023"/>
    <s v="High Price"/>
    <x v="0"/>
    <x v="4"/>
    <x v="1"/>
  </r>
  <r>
    <x v="130"/>
    <x v="120"/>
    <d v="2025-02-28T00:00:00"/>
    <x v="12"/>
    <x v="2"/>
    <x v="5"/>
    <x v="8"/>
    <s v="Non-Profit"/>
    <x v="4"/>
    <x v="5"/>
    <x v="5"/>
    <x v="130"/>
    <n v="8"/>
    <n v="8"/>
    <x v="130"/>
    <x v="130"/>
    <n v="1027.73"/>
    <n v="962.98301000000004"/>
    <x v="96"/>
    <x v="96"/>
    <n v="7218.5206429600003"/>
    <n v="3898.9206429600004"/>
    <n v="0.54012738008341044"/>
    <s v="Feb-2025"/>
    <s v="Q1-2025"/>
    <s v="High Price"/>
    <x v="0"/>
    <x v="2"/>
    <x v="2"/>
  </r>
  <r>
    <x v="131"/>
    <x v="121"/>
    <d v="2025-03-24T00:00:00"/>
    <x v="29"/>
    <x v="0"/>
    <x v="1"/>
    <x v="7"/>
    <s v="Enterprise"/>
    <x v="4"/>
    <x v="10"/>
    <x v="6"/>
    <x v="131"/>
    <n v="11"/>
    <n v="11"/>
    <x v="131"/>
    <x v="131"/>
    <n v="468.09"/>
    <n v="401.62121999999999"/>
    <x v="56"/>
    <x v="56"/>
    <n v="3790.5010743599996"/>
    <n v="-2324.9489256400011"/>
    <n v="0"/>
    <s v="Mar-2025"/>
    <s v="Q1-2025"/>
    <s v="Low Price"/>
    <x v="0"/>
    <x v="0"/>
    <x v="2"/>
  </r>
  <r>
    <x v="132"/>
    <x v="122"/>
    <d v="2023-01-31T00:00:00"/>
    <x v="3"/>
    <x v="3"/>
    <x v="8"/>
    <x v="31"/>
    <s v="Enterprise"/>
    <x v="1"/>
    <x v="13"/>
    <x v="4"/>
    <x v="132"/>
    <n v="16"/>
    <n v="16"/>
    <x v="132"/>
    <x v="132"/>
    <n v="668.02"/>
    <n v="521.05560000000003"/>
    <x v="97"/>
    <x v="97"/>
    <n v="6502.7738880000006"/>
    <n v="-8556.426112000001"/>
    <n v="0"/>
    <s v="Jan-2023"/>
    <s v="Q1-2023"/>
    <s v="Low Price"/>
    <x v="0"/>
    <x v="4"/>
    <x v="1"/>
  </r>
  <r>
    <x v="133"/>
    <x v="123"/>
    <d v="2025-01-15T00:00:00"/>
    <x v="31"/>
    <x v="1"/>
    <x v="9"/>
    <x v="38"/>
    <s v="Education"/>
    <x v="1"/>
    <x v="0"/>
    <x v="3"/>
    <x v="133"/>
    <n v="8"/>
    <n v="8"/>
    <x v="133"/>
    <x v="133"/>
    <n v="537.27"/>
    <n v="436.80050999999997"/>
    <x v="37"/>
    <x v="37"/>
    <n v="2840.9505170399998"/>
    <n v="402.71051704000001"/>
    <n v="0.14175203497017824"/>
    <s v="Jan-2025"/>
    <s v="Q1-2025"/>
    <s v="Low Price"/>
    <x v="0"/>
    <x v="4"/>
    <x v="2"/>
  </r>
  <r>
    <x v="134"/>
    <x v="124"/>
    <d v="2024-12-26T00:00:00"/>
    <x v="15"/>
    <x v="2"/>
    <x v="10"/>
    <x v="24"/>
    <s v="Consumer"/>
    <x v="2"/>
    <x v="12"/>
    <x v="1"/>
    <x v="134"/>
    <n v="26"/>
    <n v="26"/>
    <x v="134"/>
    <x v="134"/>
    <n v="572.71"/>
    <n v="462.74968000000007"/>
    <x v="98"/>
    <x v="98"/>
    <n v="9721.4452774400015"/>
    <n v="-8467.3747225599982"/>
    <n v="0"/>
    <s v="Dec-2024"/>
    <s v="Q4-2024"/>
    <s v="Low Price"/>
    <x v="1"/>
    <x v="3"/>
    <x v="0"/>
  </r>
  <r>
    <x v="135"/>
    <x v="125"/>
    <d v="2023-04-17T00:00:00"/>
    <x v="15"/>
    <x v="3"/>
    <x v="7"/>
    <x v="17"/>
    <s v="Enterprise"/>
    <x v="4"/>
    <x v="6"/>
    <x v="5"/>
    <x v="135"/>
    <n v="13"/>
    <n v="13"/>
    <x v="135"/>
    <x v="135"/>
    <n v="2323.87"/>
    <n v="2105.4262199999998"/>
    <x v="12"/>
    <x v="12"/>
    <n v="24797.710019159997"/>
    <n v="10656.180019159998"/>
    <n v="0.42972435805267828"/>
    <s v="Apr-2023"/>
    <s v="Q2-2023"/>
    <s v="Medium Price"/>
    <x v="2"/>
    <x v="7"/>
    <x v="1"/>
  </r>
  <r>
    <x v="136"/>
    <x v="126"/>
    <d v="2025-01-12T00:00:00"/>
    <x v="10"/>
    <x v="1"/>
    <x v="9"/>
    <x v="14"/>
    <s v="Education"/>
    <x v="1"/>
    <x v="1"/>
    <x v="0"/>
    <x v="136"/>
    <n v="6"/>
    <n v="6"/>
    <x v="136"/>
    <x v="136"/>
    <n v="1631.04"/>
    <n v="1616.3606399999999"/>
    <x v="99"/>
    <x v="99"/>
    <n v="9610.8803654399981"/>
    <n v="1137.9803654399966"/>
    <n v="0.11840542407874395"/>
    <s v="Dec-2024"/>
    <s v="Q4-2024"/>
    <s v="High Price"/>
    <x v="1"/>
    <x v="3"/>
    <x v="0"/>
  </r>
  <r>
    <x v="137"/>
    <x v="50"/>
    <d v="2023-04-12T00:00:00"/>
    <x v="7"/>
    <x v="0"/>
    <x v="0"/>
    <x v="13"/>
    <s v="Small Business"/>
    <x v="1"/>
    <x v="0"/>
    <x v="3"/>
    <x v="137"/>
    <n v="15"/>
    <n v="15"/>
    <x v="137"/>
    <x v="137"/>
    <n v="393.31"/>
    <n v="289.08285000000001"/>
    <x v="100"/>
    <x v="100"/>
    <n v="3187.1384212500002"/>
    <n v="-1376.16157875"/>
    <n v="0"/>
    <s v="Mar-2023"/>
    <s v="Q1-2023"/>
    <s v="Low Price"/>
    <x v="0"/>
    <x v="0"/>
    <x v="1"/>
  </r>
  <r>
    <x v="138"/>
    <x v="127"/>
    <d v="2024-12-15T00:00:00"/>
    <x v="2"/>
    <x v="3"/>
    <x v="7"/>
    <x v="28"/>
    <s v="Corporate"/>
    <x v="1"/>
    <x v="3"/>
    <x v="1"/>
    <x v="138"/>
    <n v="22"/>
    <n v="22"/>
    <x v="138"/>
    <x v="138"/>
    <n v="1856.16"/>
    <n v="1616.7153600000001"/>
    <x v="31"/>
    <x v="31"/>
    <n v="30979.499728320003"/>
    <n v="4500.7397283200044"/>
    <n v="0.14528122686905881"/>
    <s v="Nov-2024"/>
    <s v="Q4-2024"/>
    <s v="High Price"/>
    <x v="1"/>
    <x v="10"/>
    <x v="0"/>
  </r>
  <r>
    <x v="139"/>
    <x v="128"/>
    <d v="2024-02-14T00:00:00"/>
    <x v="18"/>
    <x v="1"/>
    <x v="9"/>
    <x v="38"/>
    <s v="Corporate"/>
    <x v="3"/>
    <x v="4"/>
    <x v="6"/>
    <x v="139"/>
    <n v="23"/>
    <n v="23"/>
    <x v="139"/>
    <x v="139"/>
    <n v="84.9"/>
    <n v="62.910900000000005"/>
    <x v="101"/>
    <x v="101"/>
    <n v="1072.1904687000001"/>
    <n v="-444.19953129999999"/>
    <n v="0"/>
    <s v="Feb-2024"/>
    <s v="Q1-2024"/>
    <s v="Low Price"/>
    <x v="0"/>
    <x v="2"/>
    <x v="0"/>
  </r>
  <r>
    <x v="140"/>
    <x v="129"/>
    <d v="2023-05-18T00:00:00"/>
    <x v="12"/>
    <x v="1"/>
    <x v="4"/>
    <x v="18"/>
    <s v="Small Business"/>
    <x v="2"/>
    <x v="11"/>
    <x v="5"/>
    <x v="140"/>
    <n v="44"/>
    <n v="44"/>
    <x v="140"/>
    <x v="140"/>
    <n v="2252.2399999999998"/>
    <n v="1986.4756799999998"/>
    <x v="85"/>
    <x v="85"/>
    <n v="77091.148189439991"/>
    <n v="12678.668189439988"/>
    <n v="0.16446334614557892"/>
    <s v="May-2023"/>
    <s v="Q2-2023"/>
    <s v="Medium Price"/>
    <x v="2"/>
    <x v="5"/>
    <x v="1"/>
  </r>
  <r>
    <x v="141"/>
    <x v="130"/>
    <d v="2025-01-11T00:00:00"/>
    <x v="6"/>
    <x v="3"/>
    <x v="6"/>
    <x v="9"/>
    <s v="Education"/>
    <x v="0"/>
    <x v="11"/>
    <x v="3"/>
    <x v="141"/>
    <n v="9"/>
    <n v="9"/>
    <x v="141"/>
    <x v="141"/>
    <n v="921.62"/>
    <n v="912.40380000000005"/>
    <x v="19"/>
    <x v="19"/>
    <n v="8129.5178580000002"/>
    <n v="3613.2278580000002"/>
    <n v="0.44445782900204067"/>
    <s v="Dec-2024"/>
    <s v="Q4-2024"/>
    <s v="High Price"/>
    <x v="1"/>
    <x v="3"/>
    <x v="0"/>
  </r>
  <r>
    <x v="142"/>
    <x v="131"/>
    <d v="2023-08-25T00:00:00"/>
    <x v="17"/>
    <x v="2"/>
    <x v="10"/>
    <x v="39"/>
    <s v="Consumer"/>
    <x v="0"/>
    <x v="12"/>
    <x v="6"/>
    <x v="142"/>
    <n v="23"/>
    <n v="23"/>
    <x v="142"/>
    <x v="142"/>
    <n v="1643.18"/>
    <n v="1395.0598199999999"/>
    <x v="102"/>
    <x v="102"/>
    <n v="27241.333105139995"/>
    <n v="-1772.7068948600063"/>
    <n v="0"/>
    <s v="Jul-2023"/>
    <s v="Q3-2023"/>
    <s v="High Price"/>
    <x v="3"/>
    <x v="8"/>
    <x v="1"/>
  </r>
  <r>
    <x v="143"/>
    <x v="132"/>
    <d v="2024-07-06T00:00:00"/>
    <x v="29"/>
    <x v="2"/>
    <x v="3"/>
    <x v="5"/>
    <s v="Enterprise"/>
    <x v="3"/>
    <x v="4"/>
    <x v="1"/>
    <x v="143"/>
    <n v="9"/>
    <n v="9"/>
    <x v="143"/>
    <x v="143"/>
    <n v="1467.17"/>
    <n v="1107.71335"/>
    <x v="103"/>
    <x v="103"/>
    <n v="7526.9122132499997"/>
    <n v="171.84221324999999"/>
    <n v="2.2830372984488586E-2"/>
    <s v="Jun-2024"/>
    <s v="Q2-2024"/>
    <s v="High Price"/>
    <x v="2"/>
    <x v="9"/>
    <x v="0"/>
  </r>
  <r>
    <x v="144"/>
    <x v="133"/>
    <d v="2023-07-14T00:00:00"/>
    <x v="27"/>
    <x v="2"/>
    <x v="5"/>
    <x v="10"/>
    <s v="Enterprise"/>
    <x v="4"/>
    <x v="5"/>
    <x v="2"/>
    <x v="144"/>
    <n v="28"/>
    <n v="28"/>
    <x v="144"/>
    <x v="144"/>
    <n v="998.76"/>
    <n v="916.86167999999998"/>
    <x v="104"/>
    <x v="104"/>
    <n v="23567.012622720002"/>
    <n v="7359.2126227200006"/>
    <n v="0.3122675215790941"/>
    <s v="Jul-2023"/>
    <s v="Q3-2023"/>
    <s v="High Price"/>
    <x v="3"/>
    <x v="8"/>
    <x v="1"/>
  </r>
  <r>
    <x v="145"/>
    <x v="134"/>
    <d v="2023-11-29T00:00:00"/>
    <x v="1"/>
    <x v="0"/>
    <x v="11"/>
    <x v="25"/>
    <s v="Small Business"/>
    <x v="2"/>
    <x v="6"/>
    <x v="4"/>
    <x v="145"/>
    <n v="23"/>
    <n v="23"/>
    <x v="145"/>
    <x v="145"/>
    <n v="630.72"/>
    <n v="563.23296000000005"/>
    <x v="105"/>
    <x v="105"/>
    <n v="11568.241765440001"/>
    <n v="5230.3617654400014"/>
    <n v="0.45213109057468448"/>
    <s v="Nov-2023"/>
    <s v="Q4-2023"/>
    <s v="High Price"/>
    <x v="1"/>
    <x v="10"/>
    <x v="1"/>
  </r>
  <r>
    <x v="146"/>
    <x v="135"/>
    <d v="2025-09-28T00:00:00"/>
    <x v="13"/>
    <x v="0"/>
    <x v="0"/>
    <x v="2"/>
    <s v="Non-Profit"/>
    <x v="3"/>
    <x v="1"/>
    <x v="4"/>
    <x v="146"/>
    <n v="6"/>
    <n v="6"/>
    <x v="146"/>
    <x v="146"/>
    <n v="728.61"/>
    <n v="593.81714999999997"/>
    <x v="57"/>
    <x v="57"/>
    <n v="2903.7658634999998"/>
    <n v="-2444.9941365000004"/>
    <n v="0"/>
    <s v="Sep-2025"/>
    <s v="Q3-2025"/>
    <s v="High Price"/>
    <x v="3"/>
    <x v="6"/>
    <x v="2"/>
  </r>
  <r>
    <x v="147"/>
    <x v="136"/>
    <d v="2024-04-24T00:00:00"/>
    <x v="8"/>
    <x v="3"/>
    <x v="6"/>
    <x v="37"/>
    <s v="Non-Profit"/>
    <x v="4"/>
    <x v="7"/>
    <x v="6"/>
    <x v="147"/>
    <n v="14"/>
    <n v="14"/>
    <x v="147"/>
    <x v="147"/>
    <n v="951.51"/>
    <n v="951.51"/>
    <x v="5"/>
    <x v="5"/>
    <n v="13321.14"/>
    <n v="3753.26"/>
    <n v="0.28175216235247136"/>
    <s v="Apr-2024"/>
    <s v="Q2-2024"/>
    <s v="High Price"/>
    <x v="2"/>
    <x v="7"/>
    <x v="0"/>
  </r>
  <r>
    <x v="148"/>
    <x v="137"/>
    <d v="2023-09-16T00:00:00"/>
    <x v="25"/>
    <x v="3"/>
    <x v="7"/>
    <x v="17"/>
    <s v="Non-Profit"/>
    <x v="4"/>
    <x v="5"/>
    <x v="1"/>
    <x v="148"/>
    <n v="25"/>
    <n v="25"/>
    <x v="148"/>
    <x v="148"/>
    <n v="732.88"/>
    <n v="595.09856000000002"/>
    <x v="70"/>
    <x v="70"/>
    <n v="12080.500768000002"/>
    <n v="2659.7507680000017"/>
    <n v="0.22016891675926273"/>
    <s v="Sep-2023"/>
    <s v="Q3-2023"/>
    <s v="High Price"/>
    <x v="3"/>
    <x v="6"/>
    <x v="1"/>
  </r>
  <r>
    <x v="149"/>
    <x v="138"/>
    <d v="2024-10-18T00:00:00"/>
    <x v="2"/>
    <x v="2"/>
    <x v="3"/>
    <x v="26"/>
    <s v="Small Business"/>
    <x v="1"/>
    <x v="13"/>
    <x v="3"/>
    <x v="149"/>
    <n v="18"/>
    <n v="18"/>
    <x v="149"/>
    <x v="149"/>
    <n v="2411.52"/>
    <n v="2360.87808"/>
    <x v="106"/>
    <x v="106"/>
    <n v="41603.393525760002"/>
    <n v="18257.393525760002"/>
    <n v="0.43884385331344145"/>
    <s v="Sep-2024"/>
    <s v="Q3-2024"/>
    <s v="Medium Price"/>
    <x v="3"/>
    <x v="6"/>
    <x v="0"/>
  </r>
  <r>
    <x v="150"/>
    <x v="139"/>
    <d v="2025-05-16T00:00:00"/>
    <x v="17"/>
    <x v="2"/>
    <x v="3"/>
    <x v="19"/>
    <s v="Enterprise"/>
    <x v="3"/>
    <x v="11"/>
    <x v="1"/>
    <x v="150"/>
    <n v="16"/>
    <n v="16"/>
    <x v="150"/>
    <x v="150"/>
    <n v="568.29"/>
    <n v="493.84400999999997"/>
    <x v="2"/>
    <x v="2"/>
    <n v="6866.4071150399996"/>
    <n v="-5346.7128849600012"/>
    <n v="0"/>
    <s v="Apr-2025"/>
    <s v="Q2-2025"/>
    <s v="Low Price"/>
    <x v="2"/>
    <x v="7"/>
    <x v="2"/>
  </r>
  <r>
    <x v="151"/>
    <x v="140"/>
    <d v="2023-07-23T00:00:00"/>
    <x v="8"/>
    <x v="0"/>
    <x v="11"/>
    <x v="20"/>
    <s v="Small Business"/>
    <x v="3"/>
    <x v="9"/>
    <x v="4"/>
    <x v="151"/>
    <n v="18"/>
    <n v="18"/>
    <x v="151"/>
    <x v="151"/>
    <n v="1254.95"/>
    <n v="1198.4772499999999"/>
    <x v="107"/>
    <x v="107"/>
    <n v="20601.823927499998"/>
    <n v="2566.543927499999"/>
    <n v="0.12457848084382912"/>
    <s v="Jul-2023"/>
    <s v="Q3-2023"/>
    <s v="High Price"/>
    <x v="3"/>
    <x v="8"/>
    <x v="1"/>
  </r>
  <r>
    <x v="152"/>
    <x v="141"/>
    <d v="2023-12-05T00:00:00"/>
    <x v="1"/>
    <x v="1"/>
    <x v="2"/>
    <x v="27"/>
    <s v="Non-Profit"/>
    <x v="2"/>
    <x v="10"/>
    <x v="1"/>
    <x v="152"/>
    <n v="6"/>
    <n v="6"/>
    <x v="152"/>
    <x v="152"/>
    <n v="845.55"/>
    <n v="689.96879999999999"/>
    <x v="50"/>
    <x v="50"/>
    <n v="3378.0872448000005"/>
    <n v="-3207.4527551999986"/>
    <n v="0"/>
    <s v="Dec-2023"/>
    <s v="Q4-2023"/>
    <s v="High Price"/>
    <x v="1"/>
    <x v="3"/>
    <x v="1"/>
  </r>
  <r>
    <x v="153"/>
    <x v="142"/>
    <d v="2024-03-04T00:00:00"/>
    <x v="14"/>
    <x v="0"/>
    <x v="0"/>
    <x v="0"/>
    <s v="Education"/>
    <x v="4"/>
    <x v="11"/>
    <x v="1"/>
    <x v="153"/>
    <n v="16"/>
    <n v="16"/>
    <x v="153"/>
    <x v="153"/>
    <n v="2145.17"/>
    <n v="1853.42688"/>
    <x v="29"/>
    <x v="29"/>
    <n v="25621.773189119998"/>
    <n v="10762.893189119999"/>
    <n v="0.4200682407761826"/>
    <s v="Feb-2024"/>
    <s v="Q1-2024"/>
    <s v="Medium Price"/>
    <x v="0"/>
    <x v="2"/>
    <x v="0"/>
  </r>
  <r>
    <x v="154"/>
    <x v="143"/>
    <d v="2023-11-02T00:00:00"/>
    <x v="25"/>
    <x v="0"/>
    <x v="0"/>
    <x v="0"/>
    <s v="Education"/>
    <x v="0"/>
    <x v="7"/>
    <x v="6"/>
    <x v="154"/>
    <n v="10"/>
    <n v="10"/>
    <x v="154"/>
    <x v="154"/>
    <n v="1349.94"/>
    <n v="1101.5510400000001"/>
    <x v="50"/>
    <x v="50"/>
    <n v="8988.6564864000011"/>
    <n v="309.75648640000145"/>
    <n v="3.4460821466330213E-2"/>
    <s v="Oct-2023"/>
    <s v="Q4-2023"/>
    <s v="High Price"/>
    <x v="1"/>
    <x v="1"/>
    <x v="1"/>
  </r>
  <r>
    <x v="155"/>
    <x v="144"/>
    <d v="2024-08-17T00:00:00"/>
    <x v="24"/>
    <x v="1"/>
    <x v="2"/>
    <x v="4"/>
    <s v="Consumer"/>
    <x v="1"/>
    <x v="11"/>
    <x v="2"/>
    <x v="155"/>
    <n v="19"/>
    <n v="19"/>
    <x v="155"/>
    <x v="155"/>
    <n v="527.48"/>
    <n v="468.92972000000003"/>
    <x v="95"/>
    <x v="95"/>
    <n v="7920.6919005200007"/>
    <n v="-374.32809947999976"/>
    <n v="0"/>
    <s v="Aug-2024"/>
    <s v="Q3-2024"/>
    <s v="Low Price"/>
    <x v="3"/>
    <x v="11"/>
    <x v="0"/>
  </r>
  <r>
    <x v="156"/>
    <x v="145"/>
    <d v="2024-02-21T00:00:00"/>
    <x v="8"/>
    <x v="3"/>
    <x v="7"/>
    <x v="28"/>
    <s v="Small Business"/>
    <x v="2"/>
    <x v="8"/>
    <x v="2"/>
    <x v="156"/>
    <n v="5"/>
    <n v="5"/>
    <x v="156"/>
    <x v="156"/>
    <n v="1467.17"/>
    <n v="1440.7609400000001"/>
    <x v="108"/>
    <x v="108"/>
    <n v="7074.1362153999999"/>
    <n v="3793.1362153999999"/>
    <n v="0.53619779149043723"/>
    <s v="Feb-2024"/>
    <s v="Q1-2024"/>
    <s v="High Price"/>
    <x v="0"/>
    <x v="2"/>
    <x v="0"/>
  </r>
  <r>
    <x v="157"/>
    <x v="38"/>
    <d v="2024-09-18T00:00:00"/>
    <x v="22"/>
    <x v="1"/>
    <x v="4"/>
    <x v="18"/>
    <s v="Consumer"/>
    <x v="4"/>
    <x v="5"/>
    <x v="0"/>
    <x v="157"/>
    <n v="15"/>
    <n v="15"/>
    <x v="157"/>
    <x v="157"/>
    <n v="1651.14"/>
    <n v="1609.8615"/>
    <x v="109"/>
    <x v="109"/>
    <n v="23544.224437500001"/>
    <n v="10092.974437500001"/>
    <n v="0.42868154201862102"/>
    <s v="Aug-2024"/>
    <s v="Q3-2024"/>
    <s v="High Price"/>
    <x v="3"/>
    <x v="11"/>
    <x v="0"/>
  </r>
  <r>
    <x v="158"/>
    <x v="146"/>
    <d v="2025-02-15T00:00:00"/>
    <x v="18"/>
    <x v="3"/>
    <x v="6"/>
    <x v="37"/>
    <s v="Small Business"/>
    <x v="2"/>
    <x v="4"/>
    <x v="6"/>
    <x v="158"/>
    <n v="6"/>
    <n v="6"/>
    <x v="158"/>
    <x v="158"/>
    <n v="1982.18"/>
    <n v="1730.4431400000001"/>
    <x v="110"/>
    <x v="110"/>
    <n v="9064.0611673200001"/>
    <n v="4169.0811673199996"/>
    <n v="0.45995730725553841"/>
    <s v="Feb-2025"/>
    <s v="Q1-2025"/>
    <s v="Medium Price"/>
    <x v="0"/>
    <x v="2"/>
    <x v="2"/>
  </r>
  <r>
    <x v="159"/>
    <x v="90"/>
    <d v="2025-08-21T00:00:00"/>
    <x v="8"/>
    <x v="1"/>
    <x v="9"/>
    <x v="23"/>
    <s v="Corporate"/>
    <x v="4"/>
    <x v="2"/>
    <x v="3"/>
    <x v="159"/>
    <n v="14"/>
    <n v="14"/>
    <x v="159"/>
    <x v="159"/>
    <n v="2552.2199999999998"/>
    <n v="2090.2681799999996"/>
    <x v="111"/>
    <x v="111"/>
    <n v="23967.014951879995"/>
    <n v="6881.2749518799938"/>
    <n v="0.28711439308132197"/>
    <s v="Aug-2025"/>
    <s v="Q3-2025"/>
    <s v="Medium Price"/>
    <x v="3"/>
    <x v="11"/>
    <x v="2"/>
  </r>
  <r>
    <x v="160"/>
    <x v="147"/>
    <d v="2023-03-04T00:00:00"/>
    <x v="7"/>
    <x v="1"/>
    <x v="4"/>
    <x v="18"/>
    <s v="Consumer"/>
    <x v="3"/>
    <x v="12"/>
    <x v="5"/>
    <x v="160"/>
    <n v="50"/>
    <n v="50"/>
    <x v="160"/>
    <x v="160"/>
    <n v="523.01"/>
    <n v="440.89742999999999"/>
    <x v="87"/>
    <x v="87"/>
    <n v="18583.8266745"/>
    <n v="3596.3266745000001"/>
    <n v="0.19351916790284848"/>
    <s v="Feb-2023"/>
    <s v="Q1-2023"/>
    <s v="Low Price"/>
    <x v="0"/>
    <x v="2"/>
    <x v="1"/>
  </r>
  <r>
    <x v="161"/>
    <x v="148"/>
    <d v="2024-11-24T00:00:00"/>
    <x v="2"/>
    <x v="1"/>
    <x v="9"/>
    <x v="14"/>
    <s v="Small Business"/>
    <x v="1"/>
    <x v="6"/>
    <x v="0"/>
    <x v="161"/>
    <n v="5"/>
    <n v="5"/>
    <x v="161"/>
    <x v="161"/>
    <n v="1217.71"/>
    <n v="1130.0348800000002"/>
    <x v="3"/>
    <x v="3"/>
    <n v="5243.3618432000012"/>
    <n v="1188.1118432000012"/>
    <n v="0.22659352505698932"/>
    <s v="Oct-2024"/>
    <s v="Q4-2024"/>
    <s v="High Price"/>
    <x v="1"/>
    <x v="1"/>
    <x v="0"/>
  </r>
  <r>
    <x v="162"/>
    <x v="149"/>
    <d v="2024-04-07T00:00:00"/>
    <x v="3"/>
    <x v="2"/>
    <x v="5"/>
    <x v="10"/>
    <s v="Non-Profit"/>
    <x v="4"/>
    <x v="13"/>
    <x v="3"/>
    <x v="162"/>
    <n v="7"/>
    <n v="7"/>
    <x v="162"/>
    <x v="162"/>
    <n v="1343.64"/>
    <n v="1164.93588"/>
    <x v="112"/>
    <x v="112"/>
    <n v="7069.9958557199998"/>
    <n v="-92.894144279999637"/>
    <n v="0"/>
    <s v="Apr-2024"/>
    <s v="Q2-2024"/>
    <s v="High Price"/>
    <x v="2"/>
    <x v="7"/>
    <x v="0"/>
  </r>
  <r>
    <x v="163"/>
    <x v="150"/>
    <d v="2023-03-26T00:00:00"/>
    <x v="26"/>
    <x v="1"/>
    <x v="2"/>
    <x v="4"/>
    <s v="Small Business"/>
    <x v="3"/>
    <x v="2"/>
    <x v="5"/>
    <x v="163"/>
    <n v="47"/>
    <n v="47"/>
    <x v="163"/>
    <x v="163"/>
    <n v="301.7"/>
    <n v="259.46199999999999"/>
    <x v="78"/>
    <x v="78"/>
    <n v="10487.454039999999"/>
    <n v="4136.8140399999984"/>
    <n v="0.39445360372706806"/>
    <s v="Mar-2023"/>
    <s v="Q1-2023"/>
    <s v="Low Price"/>
    <x v="0"/>
    <x v="0"/>
    <x v="1"/>
  </r>
  <r>
    <x v="164"/>
    <x v="151"/>
    <d v="2024-06-16T00:00:00"/>
    <x v="7"/>
    <x v="1"/>
    <x v="9"/>
    <x v="23"/>
    <s v="Corporate"/>
    <x v="0"/>
    <x v="1"/>
    <x v="1"/>
    <x v="164"/>
    <n v="8"/>
    <n v="8"/>
    <x v="164"/>
    <x v="164"/>
    <n v="1511.71"/>
    <n v="1481.4757999999999"/>
    <x v="113"/>
    <x v="113"/>
    <n v="11614.770272"/>
    <n v="4267.4102720000001"/>
    <n v="0.36741236994480608"/>
    <s v="Jun-2024"/>
    <s v="Q2-2024"/>
    <s v="High Price"/>
    <x v="2"/>
    <x v="9"/>
    <x v="0"/>
  </r>
  <r>
    <x v="165"/>
    <x v="152"/>
    <d v="2023-03-12T00:00:00"/>
    <x v="29"/>
    <x v="3"/>
    <x v="6"/>
    <x v="9"/>
    <s v="Small Business"/>
    <x v="4"/>
    <x v="4"/>
    <x v="5"/>
    <x v="165"/>
    <n v="44"/>
    <n v="44"/>
    <x v="165"/>
    <x v="165"/>
    <n v="2055.2399999999998"/>
    <n v="1946.3122799999996"/>
    <x v="114"/>
    <x v="114"/>
    <n v="81098.940083039983"/>
    <n v="26767.300083039983"/>
    <n v="0.33005733559072448"/>
    <s v="Feb-2023"/>
    <s v="Q1-2023"/>
    <s v="Medium Price"/>
    <x v="0"/>
    <x v="2"/>
    <x v="1"/>
  </r>
  <r>
    <x v="166"/>
    <x v="153"/>
    <d v="2023-05-18T00:00:00"/>
    <x v="17"/>
    <x v="1"/>
    <x v="9"/>
    <x v="14"/>
    <s v="Non-Profit"/>
    <x v="0"/>
    <x v="10"/>
    <x v="4"/>
    <x v="166"/>
    <n v="46"/>
    <n v="46"/>
    <x v="166"/>
    <x v="166"/>
    <n v="391.15"/>
    <n v="314.09344999999996"/>
    <x v="115"/>
    <x v="115"/>
    <n v="11601.983856099998"/>
    <n v="-3533.3961439000013"/>
    <n v="0"/>
    <s v="Apr-2023"/>
    <s v="Q2-2023"/>
    <s v="Low Price"/>
    <x v="2"/>
    <x v="7"/>
    <x v="1"/>
  </r>
  <r>
    <x v="167"/>
    <x v="154"/>
    <d v="2024-06-14T00:00:00"/>
    <x v="22"/>
    <x v="3"/>
    <x v="7"/>
    <x v="11"/>
    <s v="Small Business"/>
    <x v="1"/>
    <x v="13"/>
    <x v="5"/>
    <x v="167"/>
    <n v="9"/>
    <n v="9"/>
    <x v="167"/>
    <x v="167"/>
    <n v="1848.97"/>
    <n v="1379.3316199999999"/>
    <x v="116"/>
    <x v="116"/>
    <n v="9260.8324966799992"/>
    <n v="-4074.8275033200007"/>
    <n v="0"/>
    <s v="May-2024"/>
    <s v="Q2-2024"/>
    <s v="High Price"/>
    <x v="2"/>
    <x v="5"/>
    <x v="0"/>
  </r>
  <r>
    <x v="168"/>
    <x v="155"/>
    <d v="2023-10-23T00:00:00"/>
    <x v="12"/>
    <x v="1"/>
    <x v="4"/>
    <x v="34"/>
    <s v="Consumer"/>
    <x v="0"/>
    <x v="3"/>
    <x v="5"/>
    <x v="168"/>
    <n v="6"/>
    <n v="6"/>
    <x v="168"/>
    <x v="168"/>
    <n v="1395.56"/>
    <n v="1137.3814"/>
    <x v="57"/>
    <x v="57"/>
    <n v="5561.7950459999993"/>
    <n v="120.9350459999996"/>
    <n v="2.1743887539864521E-2"/>
    <s v="Oct-2023"/>
    <s v="Q4-2023"/>
    <s v="High Price"/>
    <x v="1"/>
    <x v="1"/>
    <x v="1"/>
  </r>
  <r>
    <x v="169"/>
    <x v="156"/>
    <d v="2024-11-08T00:00:00"/>
    <x v="17"/>
    <x v="3"/>
    <x v="8"/>
    <x v="31"/>
    <s v="Small Business"/>
    <x v="3"/>
    <x v="1"/>
    <x v="0"/>
    <x v="169"/>
    <n v="5"/>
    <n v="5"/>
    <x v="169"/>
    <x v="169"/>
    <n v="538.04"/>
    <n v="463.25243999999998"/>
    <x v="23"/>
    <x v="23"/>
    <n v="1994.3017541999998"/>
    <n v="275.05175419999978"/>
    <n v="0.13791882478202747"/>
    <s v="Oct-2024"/>
    <s v="Q4-2024"/>
    <s v="Low Price"/>
    <x v="1"/>
    <x v="1"/>
    <x v="0"/>
  </r>
  <r>
    <x v="170"/>
    <x v="157"/>
    <d v="2024-07-15T00:00:00"/>
    <x v="18"/>
    <x v="1"/>
    <x v="2"/>
    <x v="27"/>
    <s v="Small Business"/>
    <x v="2"/>
    <x v="3"/>
    <x v="6"/>
    <x v="170"/>
    <n v="16"/>
    <n v="16"/>
    <x v="170"/>
    <x v="170"/>
    <n v="1218.92"/>
    <n v="909.31432000000007"/>
    <x v="116"/>
    <x v="116"/>
    <n v="10853.57572352"/>
    <n v="-1974.7442764799998"/>
    <n v="0"/>
    <s v="Jul-2024"/>
    <s v="Q3-2024"/>
    <s v="High Price"/>
    <x v="3"/>
    <x v="8"/>
    <x v="0"/>
  </r>
  <r>
    <x v="171"/>
    <x v="158"/>
    <d v="2023-10-10T00:00:00"/>
    <x v="6"/>
    <x v="1"/>
    <x v="2"/>
    <x v="27"/>
    <s v="Education"/>
    <x v="1"/>
    <x v="14"/>
    <x v="0"/>
    <x v="171"/>
    <n v="5"/>
    <n v="5"/>
    <x v="171"/>
    <x v="171"/>
    <n v="2062.12"/>
    <n v="1785.7959199999998"/>
    <x v="61"/>
    <x v="61"/>
    <n v="7732.4963335999983"/>
    <n v="3504.3463335999986"/>
    <n v="0.45319728356967603"/>
    <s v="Sep-2023"/>
    <s v="Q3-2023"/>
    <s v="Medium Price"/>
    <x v="3"/>
    <x v="6"/>
    <x v="1"/>
  </r>
  <r>
    <x v="172"/>
    <x v="159"/>
    <d v="2023-03-09T00:00:00"/>
    <x v="19"/>
    <x v="2"/>
    <x v="10"/>
    <x v="39"/>
    <s v="Enterprise"/>
    <x v="1"/>
    <x v="12"/>
    <x v="0"/>
    <x v="172"/>
    <n v="10"/>
    <n v="10"/>
    <x v="172"/>
    <x v="172"/>
    <n v="10.18"/>
    <n v="9.7015399999999996"/>
    <x v="58"/>
    <x v="58"/>
    <n v="92.455676199999999"/>
    <n v="23.955676199999999"/>
    <n v="0.25910443992837295"/>
    <s v="Feb-2023"/>
    <s v="Q1-2023"/>
    <s v="Low Price"/>
    <x v="0"/>
    <x v="2"/>
    <x v="1"/>
  </r>
  <r>
    <x v="173"/>
    <x v="9"/>
    <d v="2025-05-19T00:00:00"/>
    <x v="1"/>
    <x v="0"/>
    <x v="11"/>
    <x v="20"/>
    <s v="Non-Profit"/>
    <x v="3"/>
    <x v="7"/>
    <x v="4"/>
    <x v="173"/>
    <n v="15"/>
    <n v="15"/>
    <x v="173"/>
    <x v="173"/>
    <n v="2281.7199999999998"/>
    <n v="2103.74584"/>
    <x v="117"/>
    <x v="117"/>
    <n v="29094.804967200002"/>
    <n v="10137.204967200003"/>
    <n v="0.34841976011278203"/>
    <s v="May-2025"/>
    <s v="Q2-2025"/>
    <s v="Medium Price"/>
    <x v="2"/>
    <x v="5"/>
    <x v="2"/>
  </r>
  <r>
    <x v="174"/>
    <x v="154"/>
    <d v="2024-06-03T00:00:00"/>
    <x v="23"/>
    <x v="0"/>
    <x v="11"/>
    <x v="20"/>
    <s v="Small Business"/>
    <x v="3"/>
    <x v="9"/>
    <x v="1"/>
    <x v="174"/>
    <n v="8"/>
    <n v="8"/>
    <x v="174"/>
    <x v="174"/>
    <n v="249.57"/>
    <n v="244.07945999999998"/>
    <x v="118"/>
    <x v="118"/>
    <n v="1909.6776950399999"/>
    <n v="462.55769504"/>
    <n v="0.24221767696266219"/>
    <s v="May-2024"/>
    <s v="Q2-2024"/>
    <s v="Low Price"/>
    <x v="2"/>
    <x v="5"/>
    <x v="0"/>
  </r>
  <r>
    <x v="175"/>
    <x v="160"/>
    <d v="2025-05-04T00:00:00"/>
    <x v="8"/>
    <x v="3"/>
    <x v="8"/>
    <x v="12"/>
    <s v="Enterprise"/>
    <x v="2"/>
    <x v="11"/>
    <x v="5"/>
    <x v="175"/>
    <n v="38"/>
    <n v="38"/>
    <x v="175"/>
    <x v="175"/>
    <n v="3275"/>
    <n v="2439.875"/>
    <x v="48"/>
    <x v="48"/>
    <n v="69072.861250000002"/>
    <n v="15345.801250000004"/>
    <n v="0.22216831577973764"/>
    <s v="Apr-2025"/>
    <s v="Q2-2025"/>
    <s v="Medium Price"/>
    <x v="2"/>
    <x v="7"/>
    <x v="2"/>
  </r>
  <r>
    <x v="176"/>
    <x v="161"/>
    <d v="2023-09-11T00:00:00"/>
    <x v="14"/>
    <x v="3"/>
    <x v="8"/>
    <x v="21"/>
    <s v="Consumer"/>
    <x v="2"/>
    <x v="13"/>
    <x v="1"/>
    <x v="176"/>
    <n v="9"/>
    <n v="9"/>
    <x v="176"/>
    <x v="176"/>
    <n v="1913.76"/>
    <n v="1739.6078400000001"/>
    <x v="119"/>
    <x v="119"/>
    <n v="14231.731739040002"/>
    <n v="5737.6217390400016"/>
    <n v="0.40315696250096905"/>
    <s v="Aug-2023"/>
    <s v="Q3-2023"/>
    <s v="Medium Price"/>
    <x v="3"/>
    <x v="11"/>
    <x v="1"/>
  </r>
  <r>
    <x v="177"/>
    <x v="162"/>
    <d v="2024-02-21T00:00:00"/>
    <x v="5"/>
    <x v="3"/>
    <x v="6"/>
    <x v="37"/>
    <s v="Corporate"/>
    <x v="0"/>
    <x v="10"/>
    <x v="0"/>
    <x v="177"/>
    <n v="13"/>
    <n v="13"/>
    <x v="177"/>
    <x v="177"/>
    <n v="30.09"/>
    <n v="24.76407"/>
    <x v="120"/>
    <x v="120"/>
    <n v="264.95078493"/>
    <n v="-245.03921506999995"/>
    <n v="0"/>
    <s v="Feb-2024"/>
    <s v="Q1-2024"/>
    <s v="Low Price"/>
    <x v="0"/>
    <x v="2"/>
    <x v="0"/>
  </r>
  <r>
    <x v="178"/>
    <x v="163"/>
    <d v="2023-04-16T00:00:00"/>
    <x v="23"/>
    <x v="2"/>
    <x v="3"/>
    <x v="26"/>
    <s v="Non-Profit"/>
    <x v="1"/>
    <x v="7"/>
    <x v="5"/>
    <x v="178"/>
    <n v="15"/>
    <n v="15"/>
    <x v="178"/>
    <x v="178"/>
    <n v="501.31"/>
    <n v="473.23663999999997"/>
    <x v="121"/>
    <x v="121"/>
    <n v="6701.0308223999991"/>
    <n v="3504.5308223999991"/>
    <n v="0.52298383864840037"/>
    <s v="Apr-2023"/>
    <s v="Q2-2023"/>
    <s v="Low Price"/>
    <x v="2"/>
    <x v="7"/>
    <x v="1"/>
  </r>
  <r>
    <x v="179"/>
    <x v="164"/>
    <d v="2025-09-12T00:00:00"/>
    <x v="22"/>
    <x v="1"/>
    <x v="9"/>
    <x v="14"/>
    <s v="Education"/>
    <x v="0"/>
    <x v="5"/>
    <x v="1"/>
    <x v="179"/>
    <n v="13"/>
    <n v="13"/>
    <x v="179"/>
    <x v="179"/>
    <n v="411.18"/>
    <n v="340.04586"/>
    <x v="122"/>
    <x v="122"/>
    <n v="3655.8330408599995"/>
    <n v="-928.7469591400004"/>
    <n v="0"/>
    <s v="Aug-2025"/>
    <s v="Q3-2025"/>
    <s v="Low Price"/>
    <x v="3"/>
    <x v="11"/>
    <x v="2"/>
  </r>
  <r>
    <x v="180"/>
    <x v="165"/>
    <d v="2025-09-18T00:00:00"/>
    <x v="4"/>
    <x v="2"/>
    <x v="5"/>
    <x v="30"/>
    <s v="Non-Profit"/>
    <x v="4"/>
    <x v="4"/>
    <x v="6"/>
    <x v="180"/>
    <n v="4"/>
    <n v="4"/>
    <x v="180"/>
    <x v="180"/>
    <n v="5.92"/>
    <n v="4.6649599999999998"/>
    <x v="123"/>
    <x v="123"/>
    <n v="14.70395392"/>
    <n v="-7.29604608"/>
    <n v="0"/>
    <s v="Sep-2025"/>
    <s v="Q3-2025"/>
    <s v="Low Price"/>
    <x v="3"/>
    <x v="6"/>
    <x v="2"/>
  </r>
  <r>
    <x v="181"/>
    <x v="166"/>
    <d v="2024-10-11T00:00:00"/>
    <x v="11"/>
    <x v="1"/>
    <x v="9"/>
    <x v="38"/>
    <s v="Enterprise"/>
    <x v="4"/>
    <x v="5"/>
    <x v="3"/>
    <x v="181"/>
    <n v="20"/>
    <n v="20"/>
    <x v="181"/>
    <x v="181"/>
    <n v="2206.63"/>
    <n v="2067.6123100000004"/>
    <x v="96"/>
    <x v="96"/>
    <n v="38747.054689400014"/>
    <n v="16094.854689400017"/>
    <n v="0.41538266117045197"/>
    <s v="Oct-2024"/>
    <s v="Q4-2024"/>
    <s v="Medium Price"/>
    <x v="1"/>
    <x v="1"/>
    <x v="0"/>
  </r>
  <r>
    <x v="182"/>
    <x v="167"/>
    <d v="2025-03-04T00:00:00"/>
    <x v="17"/>
    <x v="1"/>
    <x v="2"/>
    <x v="4"/>
    <s v="Education"/>
    <x v="3"/>
    <x v="4"/>
    <x v="6"/>
    <x v="182"/>
    <n v="5"/>
    <n v="5"/>
    <x v="182"/>
    <x v="182"/>
    <n v="1912.8"/>
    <n v="1537.8912"/>
    <x v="124"/>
    <x v="124"/>
    <n v="6182.3226240000004"/>
    <n v="2349.3726240000001"/>
    <n v="0.38001456198349315"/>
    <s v="Feb-2025"/>
    <s v="Q1-2025"/>
    <s v="High Price"/>
    <x v="0"/>
    <x v="2"/>
    <x v="2"/>
  </r>
  <r>
    <x v="183"/>
    <x v="66"/>
    <d v="2023-08-23T00:00:00"/>
    <x v="3"/>
    <x v="0"/>
    <x v="1"/>
    <x v="7"/>
    <s v="Small Business"/>
    <x v="1"/>
    <x v="1"/>
    <x v="5"/>
    <x v="183"/>
    <n v="7"/>
    <n v="7"/>
    <x v="183"/>
    <x v="183"/>
    <n v="1382.31"/>
    <n v="1242.69669"/>
    <x v="27"/>
    <x v="27"/>
    <n v="7820.2902701699995"/>
    <n v="2285.8802701699997"/>
    <n v="0.29230120509584467"/>
    <s v="Aug-2023"/>
    <s v="Q3-2023"/>
    <s v="High Price"/>
    <x v="3"/>
    <x v="11"/>
    <x v="1"/>
  </r>
  <r>
    <x v="184"/>
    <x v="168"/>
    <d v="2024-10-29T00:00:00"/>
    <x v="20"/>
    <x v="0"/>
    <x v="1"/>
    <x v="1"/>
    <s v="Enterprise"/>
    <x v="3"/>
    <x v="12"/>
    <x v="5"/>
    <x v="184"/>
    <n v="23"/>
    <n v="23"/>
    <x v="184"/>
    <x v="184"/>
    <n v="1355.61"/>
    <n v="1148.2016699999999"/>
    <x v="125"/>
    <x v="125"/>
    <n v="22368.116733269999"/>
    <n v="-1162.2632667299986"/>
    <n v="0"/>
    <s v="Oct-2024"/>
    <s v="Q4-2024"/>
    <s v="High Price"/>
    <x v="1"/>
    <x v="1"/>
    <x v="0"/>
  </r>
  <r>
    <x v="185"/>
    <x v="169"/>
    <d v="2023-07-21T00:00:00"/>
    <x v="10"/>
    <x v="3"/>
    <x v="7"/>
    <x v="17"/>
    <s v="Corporate"/>
    <x v="0"/>
    <x v="1"/>
    <x v="6"/>
    <x v="185"/>
    <n v="12"/>
    <n v="12"/>
    <x v="185"/>
    <x v="185"/>
    <n v="887.9"/>
    <n v="865.70249999999999"/>
    <x v="109"/>
    <x v="109"/>
    <n v="10128.719249999998"/>
    <n v="1316.6392499999984"/>
    <n v="0.12999069452932052"/>
    <s v="Jun-2023"/>
    <s v="Q2-2023"/>
    <s v="High Price"/>
    <x v="2"/>
    <x v="9"/>
    <x v="1"/>
  </r>
  <r>
    <x v="186"/>
    <x v="170"/>
    <d v="2025-02-08T00:00:00"/>
    <x v="0"/>
    <x v="3"/>
    <x v="7"/>
    <x v="28"/>
    <s v="Non-Profit"/>
    <x v="5"/>
    <x v="6"/>
    <x v="5"/>
    <x v="186"/>
    <n v="6"/>
    <n v="6"/>
    <x v="186"/>
    <x v="186"/>
    <n v="1020.69"/>
    <n v="805.32441000000006"/>
    <x v="126"/>
    <x v="126"/>
    <n v="3812.4057569400006"/>
    <n v="243.96575694000057"/>
    <n v="6.3992600078281781E-2"/>
    <s v="Jan-2025"/>
    <s v="Q1-2025"/>
    <s v="High Price"/>
    <x v="0"/>
    <x v="4"/>
    <x v="2"/>
  </r>
  <r>
    <x v="129"/>
    <x v="171"/>
    <d v="2023-02-28T00:00:00"/>
    <x v="17"/>
    <x v="1"/>
    <x v="4"/>
    <x v="6"/>
    <s v="Non-Profit"/>
    <x v="0"/>
    <x v="5"/>
    <x v="6"/>
    <x v="187"/>
    <n v="25"/>
    <n v="25"/>
    <x v="187"/>
    <x v="187"/>
    <n v="1395.53"/>
    <n v="1070.3715099999999"/>
    <x v="127"/>
    <x v="127"/>
    <n v="20524.37370425"/>
    <n v="-11028.126295749997"/>
    <n v="0"/>
    <s v="Jan-2023"/>
    <s v="Q1-2023"/>
    <s v="High Price"/>
    <x v="0"/>
    <x v="4"/>
    <x v="1"/>
  </r>
  <r>
    <x v="187"/>
    <x v="172"/>
    <d v="2023-07-31T00:00:00"/>
    <x v="7"/>
    <x v="2"/>
    <x v="5"/>
    <x v="30"/>
    <s v="Corporate"/>
    <x v="0"/>
    <x v="0"/>
    <x v="5"/>
    <x v="188"/>
    <n v="14"/>
    <n v="14"/>
    <x v="188"/>
    <x v="188"/>
    <n v="2273.42"/>
    <n v="2005.15644"/>
    <x v="85"/>
    <x v="85"/>
    <n v="24759.671721119998"/>
    <n v="6074.7117211199948"/>
    <n v="0.2453470219452977"/>
    <s v="Jul-2023"/>
    <s v="Q3-2023"/>
    <s v="Medium Price"/>
    <x v="3"/>
    <x v="8"/>
    <x v="1"/>
  </r>
  <r>
    <x v="188"/>
    <x v="173"/>
    <d v="2024-06-08T00:00:00"/>
    <x v="8"/>
    <x v="2"/>
    <x v="5"/>
    <x v="10"/>
    <s v="Small Business"/>
    <x v="0"/>
    <x v="6"/>
    <x v="5"/>
    <x v="189"/>
    <n v="7"/>
    <n v="7"/>
    <x v="189"/>
    <x v="189"/>
    <n v="1242.1500000000001"/>
    <n v="1227.2442000000001"/>
    <x v="84"/>
    <x v="84"/>
    <n v="8487.6208872000007"/>
    <n v="956.32088719999956"/>
    <n v="0.11267243199354092"/>
    <s v="May-2024"/>
    <s v="Q2-2024"/>
    <s v="High Price"/>
    <x v="2"/>
    <x v="5"/>
    <x v="0"/>
  </r>
  <r>
    <x v="189"/>
    <x v="162"/>
    <d v="2024-02-19T00:00:00"/>
    <x v="12"/>
    <x v="1"/>
    <x v="9"/>
    <x v="14"/>
    <s v="Small Business"/>
    <x v="1"/>
    <x v="10"/>
    <x v="4"/>
    <x v="190"/>
    <n v="19"/>
    <n v="19"/>
    <x v="190"/>
    <x v="190"/>
    <n v="1310.29"/>
    <n v="1028.5776499999999"/>
    <x v="66"/>
    <x v="66"/>
    <n v="15341.235649749999"/>
    <n v="-3540.0143502500014"/>
    <n v="0"/>
    <s v="Feb-2024"/>
    <s v="Q1-2024"/>
    <s v="High Price"/>
    <x v="0"/>
    <x v="2"/>
    <x v="0"/>
  </r>
  <r>
    <x v="190"/>
    <x v="174"/>
    <d v="2023-08-22T00:00:00"/>
    <x v="16"/>
    <x v="3"/>
    <x v="8"/>
    <x v="12"/>
    <s v="Non-Profit"/>
    <x v="4"/>
    <x v="13"/>
    <x v="5"/>
    <x v="191"/>
    <n v="10"/>
    <n v="10"/>
    <x v="191"/>
    <x v="191"/>
    <n v="967.25"/>
    <n v="876.32850000000008"/>
    <x v="12"/>
    <x v="12"/>
    <n v="7939.5362100000011"/>
    <n v="3472.6362100000015"/>
    <n v="0.43738527265939642"/>
    <s v="Aug-2023"/>
    <s v="Q3-2023"/>
    <s v="High Price"/>
    <x v="3"/>
    <x v="11"/>
    <x v="1"/>
  </r>
  <r>
    <x v="191"/>
    <x v="175"/>
    <d v="2024-09-03T00:00:00"/>
    <x v="22"/>
    <x v="2"/>
    <x v="10"/>
    <x v="36"/>
    <s v="Consumer"/>
    <x v="3"/>
    <x v="2"/>
    <x v="4"/>
    <x v="192"/>
    <n v="36"/>
    <n v="36"/>
    <x v="192"/>
    <x v="192"/>
    <n v="886.22"/>
    <n v="677.07208000000003"/>
    <x v="128"/>
    <x v="128"/>
    <n v="18622.19048832"/>
    <n v="-10098.609511679999"/>
    <n v="0"/>
    <s v="Aug-2024"/>
    <s v="Q3-2024"/>
    <s v="High Price"/>
    <x v="3"/>
    <x v="11"/>
    <x v="0"/>
  </r>
  <r>
    <x v="192"/>
    <x v="176"/>
    <d v="2023-11-13T00:00:00"/>
    <x v="10"/>
    <x v="1"/>
    <x v="9"/>
    <x v="14"/>
    <s v="Non-Profit"/>
    <x v="3"/>
    <x v="1"/>
    <x v="1"/>
    <x v="193"/>
    <n v="6"/>
    <n v="6"/>
    <x v="193"/>
    <x v="193"/>
    <n v="790.61"/>
    <n v="733.68608000000006"/>
    <x v="3"/>
    <x v="3"/>
    <n v="4085.1640934400002"/>
    <n v="-1833.4759065600001"/>
    <n v="0"/>
    <s v="Oct-2023"/>
    <s v="Q4-2023"/>
    <s v="High Price"/>
    <x v="1"/>
    <x v="1"/>
    <x v="1"/>
  </r>
  <r>
    <x v="193"/>
    <x v="177"/>
    <d v="2023-05-26T00:00:00"/>
    <x v="22"/>
    <x v="2"/>
    <x v="10"/>
    <x v="24"/>
    <s v="Enterprise"/>
    <x v="1"/>
    <x v="1"/>
    <x v="2"/>
    <x v="194"/>
    <n v="12"/>
    <n v="12"/>
    <x v="194"/>
    <x v="194"/>
    <n v="361.33"/>
    <n v="327.36498"/>
    <x v="12"/>
    <x v="12"/>
    <n v="3559.1120625600001"/>
    <n v="562.59206256000016"/>
    <n v="0.15807090439162474"/>
    <s v="May-2023"/>
    <s v="Q2-2023"/>
    <s v="Low Price"/>
    <x v="2"/>
    <x v="5"/>
    <x v="1"/>
  </r>
  <r>
    <x v="194"/>
    <x v="178"/>
    <d v="2024-10-01T00:00:00"/>
    <x v="27"/>
    <x v="2"/>
    <x v="5"/>
    <x v="8"/>
    <s v="Non-Profit"/>
    <x v="1"/>
    <x v="11"/>
    <x v="5"/>
    <x v="195"/>
    <n v="19"/>
    <n v="19"/>
    <x v="195"/>
    <x v="195"/>
    <n v="1952.04"/>
    <n v="1641.6656399999999"/>
    <x v="129"/>
    <x v="129"/>
    <n v="26232.175261559998"/>
    <n v="34.975261559997307"/>
    <n v="1.333296274947096E-3"/>
    <s v="Sep-2024"/>
    <s v="Q3-2024"/>
    <s v="High Price"/>
    <x v="3"/>
    <x v="6"/>
    <x v="0"/>
  </r>
  <r>
    <x v="195"/>
    <x v="1"/>
    <d v="2024-11-14T00:00:00"/>
    <x v="22"/>
    <x v="1"/>
    <x v="2"/>
    <x v="4"/>
    <s v="Non-Profit"/>
    <x v="4"/>
    <x v="5"/>
    <x v="3"/>
    <x v="196"/>
    <n v="17"/>
    <n v="17"/>
    <x v="196"/>
    <x v="196"/>
    <n v="1564.76"/>
    <n v="1275.2793999999999"/>
    <x v="57"/>
    <x v="57"/>
    <n v="17668.996086999996"/>
    <n v="-6239.803913000007"/>
    <n v="0"/>
    <s v="Oct-2024"/>
    <s v="Q4-2024"/>
    <s v="High Price"/>
    <x v="1"/>
    <x v="1"/>
    <x v="0"/>
  </r>
  <r>
    <x v="196"/>
    <x v="179"/>
    <d v="2024-03-03T00:00:00"/>
    <x v="29"/>
    <x v="0"/>
    <x v="0"/>
    <x v="0"/>
    <s v="Enterprise"/>
    <x v="1"/>
    <x v="5"/>
    <x v="3"/>
    <x v="197"/>
    <n v="14"/>
    <n v="14"/>
    <x v="197"/>
    <x v="197"/>
    <n v="852.54"/>
    <n v="809.06045999999992"/>
    <x v="130"/>
    <x v="130"/>
    <n v="10749.177271559998"/>
    <n v="3513.1372715599982"/>
    <n v="0.32682848024611155"/>
    <s v="Feb-2024"/>
    <s v="Q1-2024"/>
    <s v="High Price"/>
    <x v="0"/>
    <x v="2"/>
    <x v="0"/>
  </r>
  <r>
    <x v="197"/>
    <x v="180"/>
    <d v="2023-02-21T00:00:00"/>
    <x v="22"/>
    <x v="3"/>
    <x v="6"/>
    <x v="22"/>
    <s v="Small Business"/>
    <x v="2"/>
    <x v="3"/>
    <x v="2"/>
    <x v="198"/>
    <n v="7"/>
    <n v="7"/>
    <x v="198"/>
    <x v="198"/>
    <n v="1465.29"/>
    <n v="1192.7460599999999"/>
    <x v="63"/>
    <x v="63"/>
    <n v="6796.2670498799998"/>
    <n v="-1203.8929501200009"/>
    <n v="0"/>
    <s v="Jan-2023"/>
    <s v="Q1-2023"/>
    <s v="High Price"/>
    <x v="0"/>
    <x v="4"/>
    <x v="1"/>
  </r>
  <r>
    <x v="198"/>
    <x v="27"/>
    <d v="2023-05-13T00:00:00"/>
    <x v="10"/>
    <x v="3"/>
    <x v="6"/>
    <x v="37"/>
    <s v="Consumer"/>
    <x v="4"/>
    <x v="1"/>
    <x v="1"/>
    <x v="199"/>
    <n v="25"/>
    <n v="25"/>
    <x v="199"/>
    <x v="199"/>
    <n v="2645.23"/>
    <n v="2235.2193499999998"/>
    <x v="131"/>
    <x v="131"/>
    <n v="47219.008768749998"/>
    <n v="14210.758768749998"/>
    <n v="0.30095419491640868"/>
    <s v="Apr-2023"/>
    <s v="Q2-2023"/>
    <s v="Medium Price"/>
    <x v="2"/>
    <x v="7"/>
    <x v="1"/>
  </r>
  <r>
    <x v="199"/>
    <x v="181"/>
    <d v="2023-01-19T00:00:00"/>
    <x v="31"/>
    <x v="2"/>
    <x v="10"/>
    <x v="15"/>
    <s v="Corporate"/>
    <x v="4"/>
    <x v="10"/>
    <x v="3"/>
    <x v="200"/>
    <n v="18"/>
    <n v="18"/>
    <x v="200"/>
    <x v="200"/>
    <n v="881.57"/>
    <n v="831.32051000000001"/>
    <x v="92"/>
    <x v="92"/>
    <n v="14110.834336739999"/>
    <n v="-893.42566326000087"/>
    <n v="0"/>
    <s v="Jan-2023"/>
    <s v="Q1-2023"/>
    <s v="High Price"/>
    <x v="0"/>
    <x v="4"/>
    <x v="1"/>
  </r>
  <r>
    <x v="200"/>
    <x v="182"/>
    <d v="2024-01-29T00:00:00"/>
    <x v="13"/>
    <x v="2"/>
    <x v="10"/>
    <x v="15"/>
    <s v="Education"/>
    <x v="3"/>
    <x v="8"/>
    <x v="1"/>
    <x v="201"/>
    <n v="10"/>
    <n v="10"/>
    <x v="201"/>
    <x v="201"/>
    <n v="625.04"/>
    <n v="463.77967999999998"/>
    <x v="132"/>
    <x v="132"/>
    <n v="3441.2452256000001"/>
    <n v="-1496.3547744000002"/>
    <n v="0"/>
    <s v="Jan-2024"/>
    <s v="Q1-2024"/>
    <s v="Low Price"/>
    <x v="0"/>
    <x v="4"/>
    <x v="0"/>
  </r>
  <r>
    <x v="201"/>
    <x v="183"/>
    <d v="2023-09-07T00:00:00"/>
    <x v="21"/>
    <x v="2"/>
    <x v="10"/>
    <x v="39"/>
    <s v="Enterprise"/>
    <x v="1"/>
    <x v="11"/>
    <x v="3"/>
    <x v="202"/>
    <n v="26"/>
    <n v="26"/>
    <x v="202"/>
    <x v="202"/>
    <n v="973.04"/>
    <n v="973.04"/>
    <x v="5"/>
    <x v="5"/>
    <n v="25299.040000000001"/>
    <n v="9950.4599999999991"/>
    <n v="0.39331373838691108"/>
    <s v="Aug-2023"/>
    <s v="Q3-2023"/>
    <s v="High Price"/>
    <x v="3"/>
    <x v="11"/>
    <x v="1"/>
  </r>
  <r>
    <x v="202"/>
    <x v="184"/>
    <d v="2023-02-03T00:00:00"/>
    <x v="16"/>
    <x v="0"/>
    <x v="0"/>
    <x v="0"/>
    <s v="Corporate"/>
    <x v="0"/>
    <x v="12"/>
    <x v="2"/>
    <x v="203"/>
    <n v="41"/>
    <n v="41"/>
    <x v="203"/>
    <x v="203"/>
    <n v="1545.34"/>
    <n v="1169.8223799999998"/>
    <x v="28"/>
    <x v="28"/>
    <n v="36307.777208059997"/>
    <n v="49.017208059995028"/>
    <n v="1.3500470650985941E-3"/>
    <s v="Jan-2023"/>
    <s v="Q1-2023"/>
    <s v="High Price"/>
    <x v="0"/>
    <x v="4"/>
    <x v="1"/>
  </r>
  <r>
    <x v="203"/>
    <x v="185"/>
    <d v="2025-02-25T00:00:00"/>
    <x v="29"/>
    <x v="3"/>
    <x v="8"/>
    <x v="12"/>
    <s v="Corporate"/>
    <x v="2"/>
    <x v="14"/>
    <x v="5"/>
    <x v="204"/>
    <n v="12"/>
    <n v="12"/>
    <x v="204"/>
    <x v="204"/>
    <n v="2253.42"/>
    <n v="2129.4818999999998"/>
    <x v="133"/>
    <x v="133"/>
    <n v="24148.324745999995"/>
    <n v="11952.484745999995"/>
    <n v="0.49496123941184955"/>
    <s v="Feb-2025"/>
    <s v="Q1-2025"/>
    <s v="Medium Price"/>
    <x v="0"/>
    <x v="2"/>
    <x v="2"/>
  </r>
  <r>
    <x v="204"/>
    <x v="43"/>
    <d v="2023-04-28T00:00:00"/>
    <x v="27"/>
    <x v="3"/>
    <x v="6"/>
    <x v="9"/>
    <s v="Education"/>
    <x v="1"/>
    <x v="6"/>
    <x v="5"/>
    <x v="205"/>
    <n v="11"/>
    <n v="11"/>
    <x v="205"/>
    <x v="205"/>
    <n v="2446.56"/>
    <n v="2375.6097599999998"/>
    <x v="134"/>
    <x v="134"/>
    <n v="25373.887846559999"/>
    <n v="12411.267846559998"/>
    <n v="0.48913544197928754"/>
    <s v="Apr-2023"/>
    <s v="Q2-2023"/>
    <s v="Medium Price"/>
    <x v="2"/>
    <x v="7"/>
    <x v="1"/>
  </r>
  <r>
    <x v="205"/>
    <x v="186"/>
    <d v="2023-08-01T00:00:00"/>
    <x v="17"/>
    <x v="3"/>
    <x v="8"/>
    <x v="12"/>
    <s v="Small Business"/>
    <x v="0"/>
    <x v="5"/>
    <x v="0"/>
    <x v="206"/>
    <n v="37"/>
    <n v="37"/>
    <x v="206"/>
    <x v="206"/>
    <n v="188.3"/>
    <n v="181.1446"/>
    <x v="16"/>
    <x v="16"/>
    <n v="6447.6608924000002"/>
    <n v="1361.6408923999998"/>
    <n v="0.21118370136447404"/>
    <s v="Jul-2023"/>
    <s v="Q3-2023"/>
    <s v="Low Price"/>
    <x v="3"/>
    <x v="8"/>
    <x v="1"/>
  </r>
  <r>
    <x v="206"/>
    <x v="51"/>
    <d v="2025-02-14T00:00:00"/>
    <x v="9"/>
    <x v="0"/>
    <x v="0"/>
    <x v="2"/>
    <s v="Small Business"/>
    <x v="0"/>
    <x v="1"/>
    <x v="6"/>
    <x v="207"/>
    <n v="13"/>
    <n v="13"/>
    <x v="207"/>
    <x v="207"/>
    <n v="2562.84"/>
    <n v="2183.5396799999999"/>
    <x v="135"/>
    <x v="135"/>
    <n v="24184.885495679995"/>
    <n v="10789.165495679994"/>
    <n v="0.44611191140876805"/>
    <s v="Jan-2025"/>
    <s v="Q1-2025"/>
    <s v="Medium Price"/>
    <x v="0"/>
    <x v="4"/>
    <x v="2"/>
  </r>
  <r>
    <x v="207"/>
    <x v="187"/>
    <d v="2024-10-07T00:00:00"/>
    <x v="30"/>
    <x v="0"/>
    <x v="0"/>
    <x v="0"/>
    <s v="Consumer"/>
    <x v="0"/>
    <x v="4"/>
    <x v="1"/>
    <x v="208"/>
    <n v="11"/>
    <n v="11"/>
    <x v="208"/>
    <x v="208"/>
    <n v="1805.11"/>
    <n v="1438.6726699999997"/>
    <x v="91"/>
    <x v="91"/>
    <n v="12612.843297889996"/>
    <n v="-1119.4467021100045"/>
    <n v="0"/>
    <s v="Sep-2024"/>
    <s v="Q3-2024"/>
    <s v="High Price"/>
    <x v="3"/>
    <x v="6"/>
    <x v="0"/>
  </r>
  <r>
    <x v="208"/>
    <x v="188"/>
    <d v="2025-08-07T00:00:00"/>
    <x v="13"/>
    <x v="0"/>
    <x v="1"/>
    <x v="3"/>
    <s v="Enterprise"/>
    <x v="4"/>
    <x v="12"/>
    <x v="6"/>
    <x v="209"/>
    <n v="10"/>
    <n v="10"/>
    <x v="209"/>
    <x v="209"/>
    <n v="2065.73"/>
    <n v="1784.79072"/>
    <x v="29"/>
    <x v="29"/>
    <n v="15420.5918208"/>
    <n v="3371.0918208000003"/>
    <n v="0.21860975635532465"/>
    <s v="Jul-2025"/>
    <s v="Q3-2025"/>
    <s v="Medium Price"/>
    <x v="3"/>
    <x v="8"/>
    <x v="2"/>
  </r>
  <r>
    <x v="209"/>
    <x v="189"/>
    <d v="2024-10-23T00:00:00"/>
    <x v="29"/>
    <x v="0"/>
    <x v="11"/>
    <x v="25"/>
    <s v="Corporate"/>
    <x v="2"/>
    <x v="8"/>
    <x v="0"/>
    <x v="210"/>
    <n v="9"/>
    <n v="9"/>
    <x v="210"/>
    <x v="210"/>
    <n v="2366.5100000000002"/>
    <n v="2006.8004800000001"/>
    <x v="136"/>
    <x v="136"/>
    <n v="15315.90126336"/>
    <n v="5455.4112633599998"/>
    <n v="0.35619263728285439"/>
    <s v="Oct-2024"/>
    <s v="Q4-2024"/>
    <s v="Medium Price"/>
    <x v="1"/>
    <x v="1"/>
    <x v="0"/>
  </r>
  <r>
    <x v="210"/>
    <x v="190"/>
    <d v="2025-08-04T00:00:00"/>
    <x v="29"/>
    <x v="2"/>
    <x v="3"/>
    <x v="19"/>
    <s v="Consumer"/>
    <x v="1"/>
    <x v="10"/>
    <x v="5"/>
    <x v="211"/>
    <n v="15"/>
    <n v="15"/>
    <x v="211"/>
    <x v="211"/>
    <n v="131.76"/>
    <n v="118.32047999999999"/>
    <x v="4"/>
    <x v="4"/>
    <n v="1593.7768655999998"/>
    <n v="239.27686559999984"/>
    <n v="0.15013197315417218"/>
    <s v="Jul-2025"/>
    <s v="Q3-2025"/>
    <s v="Low Price"/>
    <x v="3"/>
    <x v="8"/>
    <x v="2"/>
  </r>
  <r>
    <x v="211"/>
    <x v="191"/>
    <d v="2024-10-01T00:00:00"/>
    <x v="22"/>
    <x v="1"/>
    <x v="9"/>
    <x v="14"/>
    <s v="Consumer"/>
    <x v="4"/>
    <x v="4"/>
    <x v="1"/>
    <x v="212"/>
    <n v="6"/>
    <n v="6"/>
    <x v="212"/>
    <x v="212"/>
    <n v="1335.02"/>
    <n v="1164.13744"/>
    <x v="137"/>
    <x v="137"/>
    <n v="6090.7670860799999"/>
    <n v="-906.31291392000003"/>
    <n v="0"/>
    <s v="Sep-2024"/>
    <s v="Q3-2024"/>
    <s v="High Price"/>
    <x v="3"/>
    <x v="6"/>
    <x v="0"/>
  </r>
  <r>
    <x v="212"/>
    <x v="192"/>
    <d v="2025-02-06T00:00:00"/>
    <x v="11"/>
    <x v="0"/>
    <x v="0"/>
    <x v="0"/>
    <s v="Education"/>
    <x v="0"/>
    <x v="5"/>
    <x v="3"/>
    <x v="213"/>
    <n v="9"/>
    <n v="9"/>
    <x v="213"/>
    <x v="213"/>
    <n v="2691.45"/>
    <n v="2691.45"/>
    <x v="5"/>
    <x v="5"/>
    <n v="24223.05"/>
    <n v="11215.619999999999"/>
    <n v="0.46301436028906351"/>
    <s v="Jan-2025"/>
    <s v="Q1-2025"/>
    <s v="Medium Price"/>
    <x v="0"/>
    <x v="4"/>
    <x v="2"/>
  </r>
  <r>
    <x v="213"/>
    <x v="193"/>
    <d v="2023-11-28T00:00:00"/>
    <x v="5"/>
    <x v="2"/>
    <x v="5"/>
    <x v="10"/>
    <s v="Education"/>
    <x v="2"/>
    <x v="4"/>
    <x v="6"/>
    <x v="214"/>
    <n v="12"/>
    <n v="12"/>
    <x v="214"/>
    <x v="214"/>
    <n v="776.46"/>
    <n v="654.55578000000003"/>
    <x v="87"/>
    <x v="87"/>
    <n v="6621.4862704799998"/>
    <n v="1959.3662704799999"/>
    <n v="0.29591034254881315"/>
    <s v="Nov-2023"/>
    <s v="Q4-2023"/>
    <s v="High Price"/>
    <x v="1"/>
    <x v="10"/>
    <x v="1"/>
  </r>
  <r>
    <x v="214"/>
    <x v="194"/>
    <d v="2024-03-30T00:00:00"/>
    <x v="17"/>
    <x v="1"/>
    <x v="2"/>
    <x v="32"/>
    <s v="Small Business"/>
    <x v="4"/>
    <x v="2"/>
    <x v="2"/>
    <x v="215"/>
    <n v="60"/>
    <n v="60"/>
    <x v="215"/>
    <x v="215"/>
    <n v="318.17"/>
    <n v="254.21782999999999"/>
    <x v="138"/>
    <x v="138"/>
    <n v="12187.202770199998"/>
    <n v="-1679.3972298000026"/>
    <n v="0"/>
    <s v="Feb-2024"/>
    <s v="Q1-2024"/>
    <s v="Low Price"/>
    <x v="0"/>
    <x v="2"/>
    <x v="0"/>
  </r>
  <r>
    <x v="215"/>
    <x v="195"/>
    <d v="2024-01-14T00:00:00"/>
    <x v="2"/>
    <x v="1"/>
    <x v="4"/>
    <x v="29"/>
    <s v="Non-Profit"/>
    <x v="2"/>
    <x v="4"/>
    <x v="5"/>
    <x v="216"/>
    <n v="7"/>
    <n v="7"/>
    <x v="216"/>
    <x v="216"/>
    <n v="1246.4100000000001"/>
    <n v="1105.5656700000002"/>
    <x v="139"/>
    <x v="139"/>
    <n v="6864.4572450300011"/>
    <n v="-734.81275496999842"/>
    <n v="0"/>
    <s v="Dec-2023"/>
    <s v="Q4-2023"/>
    <s v="High Price"/>
    <x v="1"/>
    <x v="3"/>
    <x v="1"/>
  </r>
  <r>
    <x v="216"/>
    <x v="119"/>
    <d v="2023-01-21T00:00:00"/>
    <x v="1"/>
    <x v="3"/>
    <x v="6"/>
    <x v="22"/>
    <s v="Corporate"/>
    <x v="4"/>
    <x v="9"/>
    <x v="5"/>
    <x v="217"/>
    <n v="8"/>
    <n v="8"/>
    <x v="217"/>
    <x v="217"/>
    <n v="346.96"/>
    <n v="278.95584000000002"/>
    <x v="124"/>
    <x v="124"/>
    <n v="1794.2439628800003"/>
    <n v="587.36396288000014"/>
    <n v="0.3273601444572804"/>
    <s v="Jan-2023"/>
    <s v="Q1-2023"/>
    <s v="Low Price"/>
    <x v="0"/>
    <x v="4"/>
    <x v="1"/>
  </r>
  <r>
    <x v="217"/>
    <x v="196"/>
    <d v="2024-11-09T00:00:00"/>
    <x v="10"/>
    <x v="1"/>
    <x v="9"/>
    <x v="23"/>
    <s v="Non-Profit"/>
    <x v="1"/>
    <x v="9"/>
    <x v="1"/>
    <x v="218"/>
    <n v="13"/>
    <n v="13"/>
    <x v="218"/>
    <x v="218"/>
    <n v="504.76"/>
    <n v="502.74095999999997"/>
    <x v="140"/>
    <x v="140"/>
    <n v="6509.4899500800002"/>
    <n v="1418.1699500800005"/>
    <n v="0.21786191559640883"/>
    <s v="Oct-2024"/>
    <s v="Q4-2024"/>
    <s v="Low Price"/>
    <x v="1"/>
    <x v="1"/>
    <x v="0"/>
  </r>
  <r>
    <x v="218"/>
    <x v="197"/>
    <d v="2024-10-14T00:00:00"/>
    <x v="2"/>
    <x v="2"/>
    <x v="5"/>
    <x v="30"/>
    <s v="Small Business"/>
    <x v="0"/>
    <x v="11"/>
    <x v="1"/>
    <x v="219"/>
    <n v="41"/>
    <n v="41"/>
    <x v="219"/>
    <x v="219"/>
    <n v="937.46"/>
    <n v="688.09564"/>
    <x v="141"/>
    <x v="141"/>
    <n v="20707.55019016"/>
    <n v="4842.1901901600013"/>
    <n v="0.23383694090771573"/>
    <s v="Sep-2024"/>
    <s v="Q3-2024"/>
    <s v="High Price"/>
    <x v="3"/>
    <x v="6"/>
    <x v="0"/>
  </r>
  <r>
    <x v="219"/>
    <x v="198"/>
    <d v="2025-09-24T00:00:00"/>
    <x v="17"/>
    <x v="0"/>
    <x v="0"/>
    <x v="2"/>
    <s v="Consumer"/>
    <x v="4"/>
    <x v="5"/>
    <x v="0"/>
    <x v="220"/>
    <n v="11"/>
    <n v="11"/>
    <x v="220"/>
    <x v="220"/>
    <n v="1300.58"/>
    <n v="1229.0481"/>
    <x v="133"/>
    <x v="133"/>
    <n v="12775.9549995"/>
    <n v="6295.4149994999998"/>
    <n v="0.49275494471813475"/>
    <s v="Aug-2025"/>
    <s v="Q3-2025"/>
    <s v="High Price"/>
    <x v="3"/>
    <x v="11"/>
    <x v="2"/>
  </r>
  <r>
    <x v="220"/>
    <x v="199"/>
    <d v="2023-10-02T00:00:00"/>
    <x v="20"/>
    <x v="2"/>
    <x v="10"/>
    <x v="39"/>
    <s v="Education"/>
    <x v="2"/>
    <x v="2"/>
    <x v="6"/>
    <x v="221"/>
    <n v="5"/>
    <n v="5"/>
    <x v="221"/>
    <x v="221"/>
    <n v="228.15"/>
    <n v="181.60740000000001"/>
    <x v="53"/>
    <x v="53"/>
    <n v="722.79745200000002"/>
    <n v="-5.1025480000000698"/>
    <n v="0"/>
    <s v="Sep-2023"/>
    <s v="Q3-2023"/>
    <s v="Low Price"/>
    <x v="3"/>
    <x v="6"/>
    <x v="1"/>
  </r>
  <r>
    <x v="221"/>
    <x v="200"/>
    <d v="2023-09-10T00:00:00"/>
    <x v="14"/>
    <x v="0"/>
    <x v="11"/>
    <x v="33"/>
    <s v="Non-Profit"/>
    <x v="4"/>
    <x v="13"/>
    <x v="0"/>
    <x v="222"/>
    <n v="10"/>
    <n v="10"/>
    <x v="222"/>
    <x v="222"/>
    <n v="496.52"/>
    <n v="450.34363999999999"/>
    <x v="142"/>
    <x v="142"/>
    <n v="4084.6168147999997"/>
    <n v="1673.2168148000001"/>
    <n v="0.40963862478785001"/>
    <s v="Aug-2023"/>
    <s v="Q3-2023"/>
    <s v="Low Price"/>
    <x v="3"/>
    <x v="11"/>
    <x v="1"/>
  </r>
  <r>
    <x v="222"/>
    <x v="201"/>
    <d v="2025-07-17T00:00:00"/>
    <x v="26"/>
    <x v="0"/>
    <x v="11"/>
    <x v="25"/>
    <s v="Small Business"/>
    <x v="3"/>
    <x v="5"/>
    <x v="2"/>
    <x v="223"/>
    <n v="24"/>
    <n v="24"/>
    <x v="223"/>
    <x v="223"/>
    <n v="2941.2"/>
    <n v="2791.1987999999997"/>
    <x v="130"/>
    <x v="130"/>
    <n v="63572.343868799988"/>
    <n v="34798.743868799982"/>
    <n v="0.5473880897111062"/>
    <s v="Jul-2025"/>
    <s v="Q3-2025"/>
    <s v="Medium Price"/>
    <x v="3"/>
    <x v="8"/>
    <x v="2"/>
  </r>
  <r>
    <x v="223"/>
    <x v="43"/>
    <d v="2023-05-07T00:00:00"/>
    <x v="5"/>
    <x v="3"/>
    <x v="8"/>
    <x v="12"/>
    <s v="Enterprise"/>
    <x v="0"/>
    <x v="13"/>
    <x v="4"/>
    <x v="224"/>
    <n v="15"/>
    <n v="15"/>
    <x v="224"/>
    <x v="224"/>
    <n v="1088.2"/>
    <n v="1032.7018"/>
    <x v="130"/>
    <x v="130"/>
    <n v="14700.510123"/>
    <n v="-1636.7398770000018"/>
    <n v="0"/>
    <s v="Apr-2023"/>
    <s v="Q2-2023"/>
    <s v="High Price"/>
    <x v="2"/>
    <x v="7"/>
    <x v="1"/>
  </r>
  <r>
    <x v="224"/>
    <x v="202"/>
    <d v="2023-12-20T00:00:00"/>
    <x v="26"/>
    <x v="2"/>
    <x v="5"/>
    <x v="30"/>
    <s v="Consumer"/>
    <x v="3"/>
    <x v="1"/>
    <x v="3"/>
    <x v="225"/>
    <n v="10"/>
    <n v="10"/>
    <x v="225"/>
    <x v="225"/>
    <n v="2529.15"/>
    <n v="2157.3649500000001"/>
    <x v="6"/>
    <x v="6"/>
    <n v="18402.323023500001"/>
    <n v="7598.0230234999999"/>
    <n v="0.41288390676531589"/>
    <s v="Dec-2023"/>
    <s v="Q4-2023"/>
    <s v="Medium Price"/>
    <x v="1"/>
    <x v="3"/>
    <x v="1"/>
  </r>
  <r>
    <x v="225"/>
    <x v="203"/>
    <d v="2023-08-07T00:00:00"/>
    <x v="11"/>
    <x v="1"/>
    <x v="2"/>
    <x v="32"/>
    <s v="Education"/>
    <x v="2"/>
    <x v="8"/>
    <x v="2"/>
    <x v="226"/>
    <n v="13"/>
    <n v="13"/>
    <x v="226"/>
    <x v="226"/>
    <n v="2698.01"/>
    <n v="2344.57069"/>
    <x v="2"/>
    <x v="2"/>
    <n v="26486.615084929999"/>
    <n v="8904.8950849299981"/>
    <n v="0.33620359024270285"/>
    <s v="Jul-2023"/>
    <s v="Q3-2023"/>
    <s v="Medium Price"/>
    <x v="3"/>
    <x v="8"/>
    <x v="1"/>
  </r>
  <r>
    <x v="226"/>
    <x v="204"/>
    <d v="2023-10-29T00:00:00"/>
    <x v="2"/>
    <x v="2"/>
    <x v="10"/>
    <x v="24"/>
    <s v="Small Business"/>
    <x v="3"/>
    <x v="7"/>
    <x v="6"/>
    <x v="227"/>
    <n v="4"/>
    <n v="4"/>
    <x v="227"/>
    <x v="227"/>
    <n v="1482.75"/>
    <n v="1383.4057500000001"/>
    <x v="143"/>
    <x v="143"/>
    <n v="5162.8702590000012"/>
    <n v="203.5102590000015"/>
    <n v="3.9418046317402422E-2"/>
    <s v="Oct-2023"/>
    <s v="Q4-2023"/>
    <s v="High Price"/>
    <x v="1"/>
    <x v="1"/>
    <x v="1"/>
  </r>
  <r>
    <x v="227"/>
    <x v="205"/>
    <d v="2025-08-30T00:00:00"/>
    <x v="8"/>
    <x v="2"/>
    <x v="10"/>
    <x v="24"/>
    <s v="Corporate"/>
    <x v="2"/>
    <x v="11"/>
    <x v="1"/>
    <x v="228"/>
    <n v="13"/>
    <n v="13"/>
    <x v="228"/>
    <x v="228"/>
    <n v="1456.81"/>
    <n v="1277.62237"/>
    <x v="82"/>
    <x v="82"/>
    <n v="14566.172640369999"/>
    <n v="2433.4026403699991"/>
    <n v="0.16705847860307851"/>
    <s v="Aug-2025"/>
    <s v="Q3-2025"/>
    <s v="High Price"/>
    <x v="3"/>
    <x v="11"/>
    <x v="2"/>
  </r>
  <r>
    <x v="228"/>
    <x v="206"/>
    <d v="2023-04-01T00:00:00"/>
    <x v="2"/>
    <x v="0"/>
    <x v="0"/>
    <x v="2"/>
    <s v="Consumer"/>
    <x v="2"/>
    <x v="14"/>
    <x v="1"/>
    <x v="229"/>
    <n v="10"/>
    <n v="10"/>
    <x v="229"/>
    <x v="229"/>
    <n v="918.19"/>
    <n v="744.65209000000004"/>
    <x v="51"/>
    <x v="51"/>
    <n v="6039.1284498999994"/>
    <n v="-4201.8715501000006"/>
    <n v="0"/>
    <s v="Mar-2023"/>
    <s v="Q1-2023"/>
    <s v="High Price"/>
    <x v="0"/>
    <x v="0"/>
    <x v="1"/>
  </r>
  <r>
    <x v="229"/>
    <x v="207"/>
    <d v="2023-06-10T00:00:00"/>
    <x v="5"/>
    <x v="1"/>
    <x v="9"/>
    <x v="23"/>
    <s v="Corporate"/>
    <x v="3"/>
    <x v="6"/>
    <x v="0"/>
    <x v="230"/>
    <n v="16"/>
    <n v="16"/>
    <x v="230"/>
    <x v="230"/>
    <n v="48.94"/>
    <n v="41.69688"/>
    <x v="135"/>
    <x v="135"/>
    <n v="568.41186816000004"/>
    <n v="-305.50813183999992"/>
    <n v="0"/>
    <s v="May-2023"/>
    <s v="Q2-2023"/>
    <s v="Low Price"/>
    <x v="2"/>
    <x v="5"/>
    <x v="1"/>
  </r>
  <r>
    <x v="230"/>
    <x v="208"/>
    <d v="2025-05-06T00:00:00"/>
    <x v="7"/>
    <x v="2"/>
    <x v="5"/>
    <x v="10"/>
    <s v="Consumer"/>
    <x v="1"/>
    <x v="0"/>
    <x v="3"/>
    <x v="231"/>
    <n v="7"/>
    <n v="7"/>
    <x v="231"/>
    <x v="231"/>
    <n v="932.29"/>
    <n v="830.67039"/>
    <x v="14"/>
    <x v="14"/>
    <n v="5180.8912224300002"/>
    <n v="2421.9812224300003"/>
    <n v="0.46748351170631514"/>
    <s v="Apr-2025"/>
    <s v="Q2-2025"/>
    <s v="High Price"/>
    <x v="2"/>
    <x v="7"/>
    <x v="2"/>
  </r>
  <r>
    <x v="231"/>
    <x v="209"/>
    <d v="2024-09-08T00:00:00"/>
    <x v="15"/>
    <x v="0"/>
    <x v="1"/>
    <x v="3"/>
    <s v="Small Business"/>
    <x v="4"/>
    <x v="11"/>
    <x v="1"/>
    <x v="232"/>
    <n v="10"/>
    <n v="10"/>
    <x v="232"/>
    <x v="232"/>
    <n v="325.79000000000002"/>
    <n v="287.99836000000005"/>
    <x v="144"/>
    <x v="144"/>
    <n v="2545.9055024000004"/>
    <n v="569.60550240000043"/>
    <n v="0.22373395315067227"/>
    <s v="Sep-2024"/>
    <s v="Q3-2024"/>
    <s v="Low Price"/>
    <x v="3"/>
    <x v="6"/>
    <x v="0"/>
  </r>
  <r>
    <x v="232"/>
    <x v="210"/>
    <d v="2024-09-25T00:00:00"/>
    <x v="8"/>
    <x v="1"/>
    <x v="2"/>
    <x v="4"/>
    <s v="Enterprise"/>
    <x v="3"/>
    <x v="14"/>
    <x v="5"/>
    <x v="233"/>
    <n v="16"/>
    <n v="16"/>
    <x v="233"/>
    <x v="233"/>
    <n v="405.97"/>
    <n v="330.05360999999999"/>
    <x v="37"/>
    <x v="37"/>
    <n v="4293.3373588799996"/>
    <n v="1164.6973588799997"/>
    <n v="0.27128018637320261"/>
    <s v="Sep-2024"/>
    <s v="Q3-2024"/>
    <s v="Low Price"/>
    <x v="3"/>
    <x v="6"/>
    <x v="0"/>
  </r>
  <r>
    <x v="233"/>
    <x v="211"/>
    <d v="2023-03-30T00:00:00"/>
    <x v="12"/>
    <x v="0"/>
    <x v="11"/>
    <x v="33"/>
    <s v="Consumer"/>
    <x v="3"/>
    <x v="11"/>
    <x v="0"/>
    <x v="234"/>
    <n v="10"/>
    <n v="10"/>
    <x v="234"/>
    <x v="234"/>
    <n v="1589.07"/>
    <n v="1426.98486"/>
    <x v="4"/>
    <x v="4"/>
    <n v="12814.324042800001"/>
    <n v="-283.3759571999999"/>
    <n v="0"/>
    <s v="Mar-2023"/>
    <s v="Q1-2023"/>
    <s v="High Price"/>
    <x v="0"/>
    <x v="0"/>
    <x v="1"/>
  </r>
  <r>
    <x v="234"/>
    <x v="39"/>
    <d v="2024-02-02T00:00:00"/>
    <x v="22"/>
    <x v="1"/>
    <x v="2"/>
    <x v="32"/>
    <s v="Small Business"/>
    <x v="1"/>
    <x v="15"/>
    <x v="1"/>
    <x v="235"/>
    <n v="13"/>
    <n v="13"/>
    <x v="235"/>
    <x v="235"/>
    <n v="1432.8"/>
    <n v="1335.3695999999998"/>
    <x v="55"/>
    <x v="55"/>
    <n v="16179.338073599994"/>
    <n v="89.498073599994314"/>
    <n v="5.5316276347565363E-3"/>
    <s v="Jan-2024"/>
    <s v="Q1-2024"/>
    <s v="High Price"/>
    <x v="0"/>
    <x v="4"/>
    <x v="0"/>
  </r>
  <r>
    <x v="235"/>
    <x v="212"/>
    <d v="2024-10-02T00:00:00"/>
    <x v="6"/>
    <x v="0"/>
    <x v="0"/>
    <x v="13"/>
    <s v="Small Business"/>
    <x v="0"/>
    <x v="12"/>
    <x v="3"/>
    <x v="236"/>
    <n v="24"/>
    <n v="24"/>
    <x v="236"/>
    <x v="236"/>
    <n v="1765.76"/>
    <n v="1543.27424"/>
    <x v="38"/>
    <x v="38"/>
    <n v="32371.720458240001"/>
    <n v="235.96045823999884"/>
    <n v="7.2890922972225509E-3"/>
    <s v="Sep-2024"/>
    <s v="Q3-2024"/>
    <s v="High Price"/>
    <x v="3"/>
    <x v="6"/>
    <x v="0"/>
  </r>
  <r>
    <x v="236"/>
    <x v="213"/>
    <d v="2025-07-23T00:00:00"/>
    <x v="31"/>
    <x v="2"/>
    <x v="3"/>
    <x v="26"/>
    <s v="Consumer"/>
    <x v="1"/>
    <x v="10"/>
    <x v="0"/>
    <x v="237"/>
    <n v="61"/>
    <n v="61"/>
    <x v="237"/>
    <x v="237"/>
    <n v="2757.54"/>
    <n v="2283.2431200000001"/>
    <x v="145"/>
    <x v="145"/>
    <n v="115322.04350496001"/>
    <n v="32063.753504959997"/>
    <n v="0.27803664009457946"/>
    <s v="Jul-2025"/>
    <s v="Q3-2025"/>
    <s v="Medium Price"/>
    <x v="3"/>
    <x v="8"/>
    <x v="2"/>
  </r>
  <r>
    <x v="237"/>
    <x v="214"/>
    <d v="2023-12-07T00:00:00"/>
    <x v="27"/>
    <x v="1"/>
    <x v="4"/>
    <x v="18"/>
    <s v="Enterprise"/>
    <x v="2"/>
    <x v="4"/>
    <x v="3"/>
    <x v="238"/>
    <n v="10"/>
    <n v="10"/>
    <x v="238"/>
    <x v="238"/>
    <n v="873.75"/>
    <n v="668.41875000000005"/>
    <x v="146"/>
    <x v="146"/>
    <n v="5113.4034375000001"/>
    <n v="-1879.8965625000001"/>
    <n v="0"/>
    <s v="Nov-2023"/>
    <s v="Q4-2023"/>
    <s v="High Price"/>
    <x v="1"/>
    <x v="10"/>
    <x v="1"/>
  </r>
  <r>
    <x v="238"/>
    <x v="215"/>
    <d v="2024-04-24T00:00:00"/>
    <x v="2"/>
    <x v="2"/>
    <x v="10"/>
    <x v="36"/>
    <s v="Non-Profit"/>
    <x v="1"/>
    <x v="3"/>
    <x v="4"/>
    <x v="239"/>
    <n v="17"/>
    <n v="17"/>
    <x v="239"/>
    <x v="239"/>
    <n v="258.52"/>
    <n v="224.91239999999999"/>
    <x v="49"/>
    <x v="49"/>
    <n v="3326.4543960000001"/>
    <n v="592.51439600000003"/>
    <n v="0.17812190562795258"/>
    <s v="Mar-2024"/>
    <s v="Q1-2024"/>
    <s v="Low Price"/>
    <x v="0"/>
    <x v="0"/>
    <x v="0"/>
  </r>
  <r>
    <x v="239"/>
    <x v="216"/>
    <d v="2023-10-08T00:00:00"/>
    <x v="6"/>
    <x v="1"/>
    <x v="4"/>
    <x v="6"/>
    <s v="Education"/>
    <x v="4"/>
    <x v="1"/>
    <x v="1"/>
    <x v="240"/>
    <n v="8"/>
    <n v="8"/>
    <x v="240"/>
    <x v="240"/>
    <n v="606.76"/>
    <n v="554.57864000000006"/>
    <x v="147"/>
    <x v="147"/>
    <n v="4055.0790156800008"/>
    <n v="972.51901568000085"/>
    <n v="0.23982738977946105"/>
    <s v="Sep-2023"/>
    <s v="Q3-2023"/>
    <s v="High Price"/>
    <x v="3"/>
    <x v="6"/>
    <x v="1"/>
  </r>
  <r>
    <x v="240"/>
    <x v="217"/>
    <d v="2025-05-27T00:00:00"/>
    <x v="23"/>
    <x v="1"/>
    <x v="9"/>
    <x v="38"/>
    <s v="Enterprise"/>
    <x v="1"/>
    <x v="9"/>
    <x v="3"/>
    <x v="241"/>
    <n v="8"/>
    <n v="8"/>
    <x v="241"/>
    <x v="241"/>
    <n v="1337.69"/>
    <n v="1210.6094500000002"/>
    <x v="148"/>
    <x v="148"/>
    <n v="8764.8124180000013"/>
    <n v="1419.8524180000013"/>
    <n v="0.16199461554751565"/>
    <s v="May-2025"/>
    <s v="Q2-2025"/>
    <s v="High Price"/>
    <x v="2"/>
    <x v="5"/>
    <x v="2"/>
  </r>
  <r>
    <x v="241"/>
    <x v="218"/>
    <d v="2025-08-08T00:00:00"/>
    <x v="31"/>
    <x v="1"/>
    <x v="2"/>
    <x v="4"/>
    <s v="Consumer"/>
    <x v="4"/>
    <x v="13"/>
    <x v="4"/>
    <x v="242"/>
    <n v="22"/>
    <n v="22"/>
    <x v="242"/>
    <x v="242"/>
    <n v="1793.08"/>
    <n v="1549.2211199999999"/>
    <x v="29"/>
    <x v="29"/>
    <n v="29447.595048959996"/>
    <n v="2476.9150489599961"/>
    <n v="8.4112642979565611E-2"/>
    <s v="Aug-2025"/>
    <s v="Q3-2025"/>
    <s v="High Price"/>
    <x v="3"/>
    <x v="11"/>
    <x v="2"/>
  </r>
  <r>
    <x v="242"/>
    <x v="219"/>
    <d v="2024-12-12T00:00:00"/>
    <x v="11"/>
    <x v="3"/>
    <x v="6"/>
    <x v="37"/>
    <s v="Enterprise"/>
    <x v="2"/>
    <x v="5"/>
    <x v="1"/>
    <x v="243"/>
    <n v="8"/>
    <n v="8"/>
    <x v="243"/>
    <x v="243"/>
    <n v="122.74"/>
    <n v="93.527879999999996"/>
    <x v="149"/>
    <x v="149"/>
    <n v="570.14595648"/>
    <n v="-6.3340435200000229"/>
    <n v="0"/>
    <s v="Dec-2024"/>
    <s v="Q4-2024"/>
    <s v="Low Price"/>
    <x v="1"/>
    <x v="3"/>
    <x v="0"/>
  </r>
  <r>
    <x v="243"/>
    <x v="43"/>
    <d v="2023-04-28T00:00:00"/>
    <x v="27"/>
    <x v="2"/>
    <x v="5"/>
    <x v="30"/>
    <s v="Corporate"/>
    <x v="3"/>
    <x v="12"/>
    <x v="3"/>
    <x v="244"/>
    <n v="16"/>
    <n v="16"/>
    <x v="244"/>
    <x v="244"/>
    <n v="927.93"/>
    <n v="765.54224999999997"/>
    <x v="30"/>
    <x v="30"/>
    <n v="10105.1577"/>
    <n v="-6111.4822999999997"/>
    <n v="0"/>
    <s v="Apr-2023"/>
    <s v="Q2-2023"/>
    <s v="High Price"/>
    <x v="2"/>
    <x v="7"/>
    <x v="1"/>
  </r>
  <r>
    <x v="244"/>
    <x v="220"/>
    <d v="2024-03-26T00:00:00"/>
    <x v="8"/>
    <x v="0"/>
    <x v="1"/>
    <x v="1"/>
    <s v="Consumer"/>
    <x v="2"/>
    <x v="2"/>
    <x v="3"/>
    <x v="245"/>
    <n v="23"/>
    <n v="23"/>
    <x v="245"/>
    <x v="245"/>
    <n v="151.88"/>
    <n v="126.51603999999999"/>
    <x v="150"/>
    <x v="150"/>
    <n v="2423.9208103599995"/>
    <n v="914.20081035999942"/>
    <n v="0.37715787019635466"/>
    <s v="Mar-2024"/>
    <s v="Q1-2024"/>
    <s v="Low Price"/>
    <x v="0"/>
    <x v="0"/>
    <x v="0"/>
  </r>
  <r>
    <x v="245"/>
    <x v="221"/>
    <d v="2024-03-04T00:00:00"/>
    <x v="13"/>
    <x v="2"/>
    <x v="3"/>
    <x v="19"/>
    <s v="Non-Profit"/>
    <x v="0"/>
    <x v="14"/>
    <x v="4"/>
    <x v="246"/>
    <n v="6"/>
    <n v="6"/>
    <x v="246"/>
    <x v="246"/>
    <n v="2210.4"/>
    <n v="1629.0648000000001"/>
    <x v="151"/>
    <x v="151"/>
    <n v="7203.724545600001"/>
    <n v="-902.15545439999914"/>
    <n v="0"/>
    <s v="Feb-2024"/>
    <s v="Q1-2024"/>
    <s v="High Price"/>
    <x v="0"/>
    <x v="2"/>
    <x v="0"/>
  </r>
  <r>
    <x v="246"/>
    <x v="222"/>
    <d v="2025-05-02T00:00:00"/>
    <x v="24"/>
    <x v="3"/>
    <x v="6"/>
    <x v="9"/>
    <s v="Corporate"/>
    <x v="2"/>
    <x v="0"/>
    <x v="5"/>
    <x v="247"/>
    <n v="18"/>
    <n v="18"/>
    <x v="247"/>
    <x v="247"/>
    <n v="39.74"/>
    <n v="33.739260000000002"/>
    <x v="102"/>
    <x v="102"/>
    <n v="515.60337132000006"/>
    <n v="152.90337132000008"/>
    <n v="0.29655231099158835"/>
    <s v="Apr-2025"/>
    <s v="Q2-2025"/>
    <s v="Low Price"/>
    <x v="2"/>
    <x v="7"/>
    <x v="2"/>
  </r>
  <r>
    <x v="247"/>
    <x v="223"/>
    <d v="2024-11-08T00:00:00"/>
    <x v="18"/>
    <x v="0"/>
    <x v="0"/>
    <x v="16"/>
    <s v="Enterprise"/>
    <x v="2"/>
    <x v="12"/>
    <x v="2"/>
    <x v="248"/>
    <n v="4"/>
    <n v="4"/>
    <x v="248"/>
    <x v="248"/>
    <n v="1009"/>
    <n v="898.01"/>
    <x v="46"/>
    <x v="46"/>
    <n v="3196.9155999999998"/>
    <n v="-16.204400000000078"/>
    <n v="0"/>
    <s v="Nov-2024"/>
    <s v="Q4-2024"/>
    <s v="High Price"/>
    <x v="1"/>
    <x v="10"/>
    <x v="0"/>
  </r>
  <r>
    <x v="248"/>
    <x v="224"/>
    <d v="2025-09-30T00:00:00"/>
    <x v="5"/>
    <x v="1"/>
    <x v="2"/>
    <x v="32"/>
    <s v="Non-Profit"/>
    <x v="2"/>
    <x v="9"/>
    <x v="5"/>
    <x v="249"/>
    <n v="8"/>
    <n v="8"/>
    <x v="249"/>
    <x v="249"/>
    <n v="1653.64"/>
    <n v="1476.7005200000001"/>
    <x v="105"/>
    <x v="105"/>
    <n v="10549.548514880002"/>
    <n v="845.6285148800016"/>
    <n v="8.0157791936522546E-2"/>
    <s v="Sep-2025"/>
    <s v="Q3-2025"/>
    <s v="High Price"/>
    <x v="3"/>
    <x v="6"/>
    <x v="2"/>
  </r>
  <r>
    <x v="249"/>
    <x v="225"/>
    <d v="2024-09-08T00:00:00"/>
    <x v="31"/>
    <x v="2"/>
    <x v="10"/>
    <x v="36"/>
    <s v="Consumer"/>
    <x v="4"/>
    <x v="10"/>
    <x v="0"/>
    <x v="250"/>
    <n v="14"/>
    <n v="14"/>
    <x v="250"/>
    <x v="250"/>
    <n v="1015.7"/>
    <n v="870.45490000000007"/>
    <x v="17"/>
    <x v="17"/>
    <n v="10443.717890200001"/>
    <n v="3962.5578902000016"/>
    <n v="0.37942023442804018"/>
    <s v="Sep-2024"/>
    <s v="Q3-2024"/>
    <s v="High Price"/>
    <x v="3"/>
    <x v="6"/>
    <x v="0"/>
  </r>
  <r>
    <x v="250"/>
    <x v="226"/>
    <d v="2023-03-24T00:00:00"/>
    <x v="8"/>
    <x v="2"/>
    <x v="3"/>
    <x v="19"/>
    <s v="Consumer"/>
    <x v="3"/>
    <x v="2"/>
    <x v="4"/>
    <x v="251"/>
    <n v="24"/>
    <n v="24"/>
    <x v="251"/>
    <x v="251"/>
    <n v="912.45"/>
    <n v="727.22264999999993"/>
    <x v="91"/>
    <x v="91"/>
    <n v="13910.314849199998"/>
    <n v="2349.2748491999992"/>
    <n v="0.16888725199020993"/>
    <s v="Mar-2023"/>
    <s v="Q1-2023"/>
    <s v="High Price"/>
    <x v="0"/>
    <x v="0"/>
    <x v="1"/>
  </r>
  <r>
    <x v="251"/>
    <x v="227"/>
    <d v="2024-04-09T00:00:00"/>
    <x v="2"/>
    <x v="2"/>
    <x v="3"/>
    <x v="26"/>
    <s v="Consumer"/>
    <x v="1"/>
    <x v="9"/>
    <x v="5"/>
    <x v="252"/>
    <n v="28"/>
    <n v="28"/>
    <x v="252"/>
    <x v="252"/>
    <n v="815.19"/>
    <n v="631.7722500000001"/>
    <x v="152"/>
    <x v="152"/>
    <n v="13709.457825000001"/>
    <n v="-4452.4621749999969"/>
    <n v="0"/>
    <s v="Mar-2024"/>
    <s v="Q1-2024"/>
    <s v="High Price"/>
    <x v="0"/>
    <x v="0"/>
    <x v="0"/>
  </r>
  <r>
    <x v="252"/>
    <x v="228"/>
    <d v="2024-07-31T00:00:00"/>
    <x v="25"/>
    <x v="2"/>
    <x v="10"/>
    <x v="39"/>
    <s v="Education"/>
    <x v="2"/>
    <x v="2"/>
    <x v="1"/>
    <x v="253"/>
    <n v="16"/>
    <n v="16"/>
    <x v="253"/>
    <x v="253"/>
    <n v="1814.06"/>
    <n v="1592.74468"/>
    <x v="153"/>
    <x v="153"/>
    <n v="22374.877264639999"/>
    <n v="9591.3572646399989"/>
    <n v="0.42866636322504625"/>
    <s v="Jul-2024"/>
    <s v="Q3-2024"/>
    <s v="High Price"/>
    <x v="3"/>
    <x v="8"/>
    <x v="0"/>
  </r>
  <r>
    <x v="253"/>
    <x v="229"/>
    <d v="2024-11-20T00:00:00"/>
    <x v="9"/>
    <x v="1"/>
    <x v="2"/>
    <x v="32"/>
    <s v="Non-Profit"/>
    <x v="1"/>
    <x v="10"/>
    <x v="5"/>
    <x v="254"/>
    <n v="9"/>
    <n v="9"/>
    <x v="254"/>
    <x v="254"/>
    <n v="758.92"/>
    <n v="718.69723999999997"/>
    <x v="114"/>
    <x v="114"/>
    <n v="6125.4565765199995"/>
    <n v="3270.2065765199995"/>
    <n v="0.53387148136112861"/>
    <s v="Oct-2024"/>
    <s v="Q4-2024"/>
    <s v="High Price"/>
    <x v="1"/>
    <x v="1"/>
    <x v="0"/>
  </r>
  <r>
    <x v="254"/>
    <x v="230"/>
    <d v="2024-05-19T00:00:00"/>
    <x v="8"/>
    <x v="3"/>
    <x v="6"/>
    <x v="37"/>
    <s v="Enterprise"/>
    <x v="2"/>
    <x v="0"/>
    <x v="4"/>
    <x v="255"/>
    <n v="15"/>
    <n v="15"/>
    <x v="255"/>
    <x v="255"/>
    <n v="1667.44"/>
    <n v="1610.74704"/>
    <x v="76"/>
    <x v="76"/>
    <n v="23339.724609600002"/>
    <n v="13305.174609600001"/>
    <n v="0.57006562125961713"/>
    <s v="Apr-2024"/>
    <s v="Q2-2024"/>
    <s v="High Price"/>
    <x v="2"/>
    <x v="7"/>
    <x v="0"/>
  </r>
  <r>
    <x v="255"/>
    <x v="231"/>
    <d v="2023-10-06T00:00:00"/>
    <x v="26"/>
    <x v="1"/>
    <x v="4"/>
    <x v="6"/>
    <s v="Non-Profit"/>
    <x v="1"/>
    <x v="2"/>
    <x v="0"/>
    <x v="256"/>
    <n v="9"/>
    <n v="9"/>
    <x v="256"/>
    <x v="256"/>
    <n v="2562.5500000000002"/>
    <n v="2119.22885"/>
    <x v="122"/>
    <x v="122"/>
    <n v="15773.420330549998"/>
    <n v="2541.0803305499976"/>
    <n v="0.16109887882898977"/>
    <s v="Oct-2023"/>
    <s v="Q4-2023"/>
    <s v="Medium Price"/>
    <x v="1"/>
    <x v="1"/>
    <x v="1"/>
  </r>
  <r>
    <x v="256"/>
    <x v="43"/>
    <d v="2023-05-07T00:00:00"/>
    <x v="5"/>
    <x v="3"/>
    <x v="8"/>
    <x v="21"/>
    <s v="Non-Profit"/>
    <x v="4"/>
    <x v="10"/>
    <x v="2"/>
    <x v="257"/>
    <n v="4"/>
    <n v="4"/>
    <x v="257"/>
    <x v="257"/>
    <n v="745.38"/>
    <n v="598.54013999999995"/>
    <x v="115"/>
    <x v="115"/>
    <n v="1922.5109296799997"/>
    <n v="-145.32907032000048"/>
    <n v="0"/>
    <s v="Apr-2023"/>
    <s v="Q2-2023"/>
    <s v="High Price"/>
    <x v="2"/>
    <x v="7"/>
    <x v="1"/>
  </r>
  <r>
    <x v="257"/>
    <x v="232"/>
    <d v="2025-07-05T00:00:00"/>
    <x v="11"/>
    <x v="3"/>
    <x v="6"/>
    <x v="22"/>
    <s v="Small Business"/>
    <x v="4"/>
    <x v="3"/>
    <x v="5"/>
    <x v="258"/>
    <n v="8"/>
    <n v="8"/>
    <x v="258"/>
    <x v="258"/>
    <n v="687.95"/>
    <n v="546.92025000000001"/>
    <x v="44"/>
    <x v="44"/>
    <n v="3478.4127900000003"/>
    <n v="958.97279000000026"/>
    <n v="0.27569263566329061"/>
    <s v="Jun-2025"/>
    <s v="Q2-2025"/>
    <s v="High Price"/>
    <x v="2"/>
    <x v="9"/>
    <x v="2"/>
  </r>
  <r>
    <x v="258"/>
    <x v="233"/>
    <d v="2023-10-13T00:00:00"/>
    <x v="25"/>
    <x v="2"/>
    <x v="5"/>
    <x v="10"/>
    <s v="Consumer"/>
    <x v="3"/>
    <x v="15"/>
    <x v="6"/>
    <x v="259"/>
    <n v="16"/>
    <n v="16"/>
    <x v="259"/>
    <x v="259"/>
    <n v="550.07000000000005"/>
    <n v="473.06020000000001"/>
    <x v="78"/>
    <x v="78"/>
    <n v="6509.308352"/>
    <n v="-4945.7316480000009"/>
    <n v="0"/>
    <s v="Oct-2023"/>
    <s v="Q4-2023"/>
    <s v="Low Price"/>
    <x v="1"/>
    <x v="1"/>
    <x v="1"/>
  </r>
  <r>
    <x v="259"/>
    <x v="72"/>
    <d v="2023-06-07T00:00:00"/>
    <x v="5"/>
    <x v="0"/>
    <x v="1"/>
    <x v="1"/>
    <s v="Enterprise"/>
    <x v="3"/>
    <x v="6"/>
    <x v="0"/>
    <x v="260"/>
    <n v="12"/>
    <n v="12"/>
    <x v="260"/>
    <x v="260"/>
    <n v="2068.21"/>
    <n v="1906.8896200000001"/>
    <x v="117"/>
    <x v="117"/>
    <n v="21097.826755680006"/>
    <n v="7657.1067556800062"/>
    <n v="0.36293343595773636"/>
    <s v="May-2023"/>
    <s v="Q2-2023"/>
    <s v="Medium Price"/>
    <x v="2"/>
    <x v="5"/>
    <x v="1"/>
  </r>
  <r>
    <x v="260"/>
    <x v="234"/>
    <d v="2023-06-19T00:00:00"/>
    <x v="21"/>
    <x v="3"/>
    <x v="6"/>
    <x v="9"/>
    <s v="Education"/>
    <x v="0"/>
    <x v="7"/>
    <x v="6"/>
    <x v="261"/>
    <n v="7"/>
    <n v="7"/>
    <x v="261"/>
    <x v="261"/>
    <n v="2576.65"/>
    <n v="2566.3434000000002"/>
    <x v="140"/>
    <x v="140"/>
    <n v="17892.546184800001"/>
    <n v="7591.4861848000019"/>
    <n v="0.42428205054734403"/>
    <s v="May-2023"/>
    <s v="Q2-2023"/>
    <s v="Medium Price"/>
    <x v="2"/>
    <x v="5"/>
    <x v="1"/>
  </r>
  <r>
    <x v="261"/>
    <x v="235"/>
    <d v="2023-08-24T00:00:00"/>
    <x v="8"/>
    <x v="2"/>
    <x v="5"/>
    <x v="10"/>
    <s v="Non-Profit"/>
    <x v="4"/>
    <x v="15"/>
    <x v="2"/>
    <x v="262"/>
    <n v="10"/>
    <n v="10"/>
    <x v="262"/>
    <x v="262"/>
    <n v="1044.1400000000001"/>
    <n v="818.60576000000015"/>
    <x v="154"/>
    <x v="154"/>
    <n v="6417.8691584000007"/>
    <n v="589.06915840000056"/>
    <n v="9.1785784948420129E-2"/>
    <s v="Aug-2023"/>
    <s v="Q3-2023"/>
    <s v="High Price"/>
    <x v="3"/>
    <x v="11"/>
    <x v="1"/>
  </r>
  <r>
    <x v="262"/>
    <x v="236"/>
    <d v="2025-06-27T00:00:00"/>
    <x v="31"/>
    <x v="0"/>
    <x v="11"/>
    <x v="25"/>
    <s v="Enterprise"/>
    <x v="3"/>
    <x v="13"/>
    <x v="3"/>
    <x v="263"/>
    <n v="6"/>
    <n v="6"/>
    <x v="263"/>
    <x v="263"/>
    <n v="99.04"/>
    <n v="93.394720000000007"/>
    <x v="92"/>
    <x v="92"/>
    <n v="528.42732576000003"/>
    <n v="-35.032674240000006"/>
    <n v="0"/>
    <s v="Jun-2025"/>
    <s v="Q2-2025"/>
    <s v="Low Price"/>
    <x v="2"/>
    <x v="9"/>
    <x v="2"/>
  </r>
  <r>
    <x v="263"/>
    <x v="139"/>
    <d v="2025-04-26T00:00:00"/>
    <x v="24"/>
    <x v="0"/>
    <x v="1"/>
    <x v="1"/>
    <s v="Enterprise"/>
    <x v="2"/>
    <x v="9"/>
    <x v="4"/>
    <x v="264"/>
    <n v="23"/>
    <n v="23"/>
    <x v="264"/>
    <x v="264"/>
    <n v="1996.81"/>
    <n v="1745.2119399999999"/>
    <x v="38"/>
    <x v="38"/>
    <n v="35082.250417880001"/>
    <n v="1561.1304178799983"/>
    <n v="4.4499152685038512E-2"/>
    <s v="Apr-2025"/>
    <s v="Q2-2025"/>
    <s v="Medium Price"/>
    <x v="2"/>
    <x v="7"/>
    <x v="2"/>
  </r>
  <r>
    <x v="264"/>
    <x v="237"/>
    <d v="2025-09-11T00:00:00"/>
    <x v="27"/>
    <x v="2"/>
    <x v="3"/>
    <x v="5"/>
    <s v="Corporate"/>
    <x v="3"/>
    <x v="12"/>
    <x v="1"/>
    <x v="265"/>
    <n v="17"/>
    <n v="17"/>
    <x v="265"/>
    <x v="265"/>
    <n v="921.68"/>
    <n v="741.03071999999997"/>
    <x v="124"/>
    <x v="124"/>
    <n v="10128.40788096"/>
    <n v="-10401.302119040003"/>
    <n v="0"/>
    <s v="Sep-2025"/>
    <s v="Q3-2025"/>
    <s v="High Price"/>
    <x v="3"/>
    <x v="6"/>
    <x v="2"/>
  </r>
  <r>
    <x v="265"/>
    <x v="238"/>
    <d v="2024-10-08T00:00:00"/>
    <x v="18"/>
    <x v="3"/>
    <x v="8"/>
    <x v="21"/>
    <s v="Corporate"/>
    <x v="1"/>
    <x v="6"/>
    <x v="5"/>
    <x v="266"/>
    <n v="19"/>
    <n v="19"/>
    <x v="266"/>
    <x v="266"/>
    <n v="2503.79"/>
    <n v="2043.0926400000001"/>
    <x v="50"/>
    <x v="50"/>
    <n v="31676.108290560005"/>
    <n v="10622.018290560009"/>
    <n v="0.33533217506159185"/>
    <s v="Oct-2024"/>
    <s v="Q4-2024"/>
    <s v="Medium Price"/>
    <x v="1"/>
    <x v="1"/>
    <x v="0"/>
  </r>
  <r>
    <x v="266"/>
    <x v="239"/>
    <d v="2023-05-05T00:00:00"/>
    <x v="1"/>
    <x v="0"/>
    <x v="1"/>
    <x v="1"/>
    <s v="Non-Profit"/>
    <x v="2"/>
    <x v="8"/>
    <x v="0"/>
    <x v="267"/>
    <n v="8"/>
    <n v="8"/>
    <x v="267"/>
    <x v="267"/>
    <n v="2462.77"/>
    <n v="2199.2536100000002"/>
    <x v="105"/>
    <x v="105"/>
    <n v="15711.467789840002"/>
    <n v="5554.2677898400016"/>
    <n v="0.35351679831159577"/>
    <s v="May-2023"/>
    <s v="Q2-2023"/>
    <s v="Medium Price"/>
    <x v="2"/>
    <x v="5"/>
    <x v="1"/>
  </r>
  <r>
    <x v="267"/>
    <x v="240"/>
    <d v="2024-01-01T00:00:00"/>
    <x v="11"/>
    <x v="2"/>
    <x v="5"/>
    <x v="8"/>
    <s v="Education"/>
    <x v="4"/>
    <x v="0"/>
    <x v="3"/>
    <x v="268"/>
    <n v="14"/>
    <n v="14"/>
    <x v="268"/>
    <x v="268"/>
    <n v="496.2"/>
    <n v="496.2"/>
    <x v="5"/>
    <x v="5"/>
    <n v="6946.8"/>
    <n v="-424.0600000000004"/>
    <n v="0"/>
    <s v="Dec-2023"/>
    <s v="Q4-2023"/>
    <s v="Low Price"/>
    <x v="1"/>
    <x v="3"/>
    <x v="1"/>
  </r>
  <r>
    <x v="268"/>
    <x v="241"/>
    <d v="2024-01-23T00:00:00"/>
    <x v="19"/>
    <x v="3"/>
    <x v="7"/>
    <x v="11"/>
    <s v="Corporate"/>
    <x v="4"/>
    <x v="8"/>
    <x v="1"/>
    <x v="269"/>
    <n v="10"/>
    <n v="10"/>
    <x v="269"/>
    <x v="269"/>
    <n v="907.59"/>
    <n v="767.82114000000001"/>
    <x v="69"/>
    <x v="69"/>
    <n v="6495.7668444000001"/>
    <n v="-704.23315559999992"/>
    <n v="0"/>
    <s v="Jan-2024"/>
    <s v="Q1-2024"/>
    <s v="High Price"/>
    <x v="0"/>
    <x v="4"/>
    <x v="0"/>
  </r>
  <r>
    <x v="269"/>
    <x v="242"/>
    <d v="2023-08-14T00:00:00"/>
    <x v="23"/>
    <x v="2"/>
    <x v="5"/>
    <x v="10"/>
    <s v="Corporate"/>
    <x v="4"/>
    <x v="1"/>
    <x v="6"/>
    <x v="270"/>
    <n v="25"/>
    <n v="25"/>
    <x v="270"/>
    <x v="270"/>
    <n v="334.19"/>
    <n v="289.40854000000002"/>
    <x v="61"/>
    <x v="61"/>
    <n v="6265.6948910000001"/>
    <n v="447.4448910000001"/>
    <n v="7.1411854356762047E-2"/>
    <s v="Aug-2023"/>
    <s v="Q3-2023"/>
    <s v="Low Price"/>
    <x v="3"/>
    <x v="11"/>
    <x v="1"/>
  </r>
  <r>
    <x v="270"/>
    <x v="243"/>
    <d v="2025-03-09T00:00:00"/>
    <x v="5"/>
    <x v="1"/>
    <x v="4"/>
    <x v="18"/>
    <s v="Small Business"/>
    <x v="4"/>
    <x v="7"/>
    <x v="5"/>
    <x v="271"/>
    <n v="16"/>
    <n v="16"/>
    <x v="271"/>
    <x v="271"/>
    <n v="538.79"/>
    <n v="445.04054000000002"/>
    <x v="155"/>
    <x v="155"/>
    <n v="5881.655776640001"/>
    <n v="667.73577664000095"/>
    <n v="0.11352853720070247"/>
    <s v="Feb-2025"/>
    <s v="Q1-2025"/>
    <s v="Low Price"/>
    <x v="0"/>
    <x v="2"/>
    <x v="2"/>
  </r>
  <r>
    <x v="271"/>
    <x v="244"/>
    <d v="2024-04-17T00:00:00"/>
    <x v="13"/>
    <x v="3"/>
    <x v="6"/>
    <x v="37"/>
    <s v="Education"/>
    <x v="4"/>
    <x v="10"/>
    <x v="5"/>
    <x v="272"/>
    <n v="28"/>
    <n v="28"/>
    <x v="272"/>
    <x v="272"/>
    <n v="1436.54"/>
    <n v="1236.86094"/>
    <x v="23"/>
    <x v="23"/>
    <n v="29818.243541520002"/>
    <n v="1103.9635415200028"/>
    <n v="3.7023090913547739E-2"/>
    <s v="Mar-2024"/>
    <s v="Q1-2024"/>
    <s v="High Price"/>
    <x v="0"/>
    <x v="0"/>
    <x v="0"/>
  </r>
  <r>
    <x v="272"/>
    <x v="245"/>
    <d v="2023-08-13T00:00:00"/>
    <x v="8"/>
    <x v="2"/>
    <x v="3"/>
    <x v="19"/>
    <s v="Education"/>
    <x v="4"/>
    <x v="0"/>
    <x v="5"/>
    <x v="273"/>
    <n v="20"/>
    <n v="20"/>
    <x v="273"/>
    <x v="273"/>
    <n v="1766.55"/>
    <n v="1476.8357999999998"/>
    <x v="156"/>
    <x v="156"/>
    <n v="24692.694575999994"/>
    <n v="3045.0945759999922"/>
    <n v="0.12331965499462601"/>
    <s v="Jul-2023"/>
    <s v="Q3-2023"/>
    <s v="High Price"/>
    <x v="3"/>
    <x v="8"/>
    <x v="1"/>
  </r>
  <r>
    <x v="273"/>
    <x v="246"/>
    <d v="2024-04-13T00:00:00"/>
    <x v="28"/>
    <x v="3"/>
    <x v="7"/>
    <x v="28"/>
    <s v="Small Business"/>
    <x v="1"/>
    <x v="11"/>
    <x v="1"/>
    <x v="274"/>
    <n v="21"/>
    <n v="21"/>
    <x v="274"/>
    <x v="274"/>
    <n v="628.54"/>
    <n v="543.68709999999999"/>
    <x v="157"/>
    <x v="157"/>
    <n v="9876.076171499999"/>
    <n v="3836.2661714999986"/>
    <n v="0.3884403182886082"/>
    <s v="Mar-2024"/>
    <s v="Q1-2024"/>
    <s v="High Price"/>
    <x v="0"/>
    <x v="0"/>
    <x v="0"/>
  </r>
  <r>
    <x v="274"/>
    <x v="247"/>
    <d v="2024-01-27T00:00:00"/>
    <x v="25"/>
    <x v="2"/>
    <x v="5"/>
    <x v="8"/>
    <s v="Non-Profit"/>
    <x v="2"/>
    <x v="13"/>
    <x v="4"/>
    <x v="275"/>
    <n v="6"/>
    <n v="6"/>
    <x v="275"/>
    <x v="275"/>
    <n v="1650.75"/>
    <n v="1427.8987500000001"/>
    <x v="157"/>
    <x v="157"/>
    <n v="7410.7945124999997"/>
    <n v="-1055.0254875000001"/>
    <n v="0"/>
    <s v="Jan-2024"/>
    <s v="Q1-2024"/>
    <s v="High Price"/>
    <x v="0"/>
    <x v="4"/>
    <x v="0"/>
  </r>
  <r>
    <x v="275"/>
    <x v="248"/>
    <d v="2024-04-11T00:00:00"/>
    <x v="14"/>
    <x v="2"/>
    <x v="10"/>
    <x v="24"/>
    <s v="Small Business"/>
    <x v="4"/>
    <x v="7"/>
    <x v="2"/>
    <x v="276"/>
    <n v="40"/>
    <n v="40"/>
    <x v="276"/>
    <x v="276"/>
    <n v="2247.14"/>
    <n v="1988.7188999999998"/>
    <x v="158"/>
    <x v="158"/>
    <n v="70400.649059999996"/>
    <n v="16866.649059999996"/>
    <n v="0.23958087439826223"/>
    <s v="Mar-2024"/>
    <s v="Q1-2024"/>
    <s v="Medium Price"/>
    <x v="0"/>
    <x v="0"/>
    <x v="0"/>
  </r>
  <r>
    <x v="276"/>
    <x v="35"/>
    <d v="2025-07-14T00:00:00"/>
    <x v="8"/>
    <x v="3"/>
    <x v="6"/>
    <x v="9"/>
    <s v="Corporate"/>
    <x v="4"/>
    <x v="7"/>
    <x v="6"/>
    <x v="277"/>
    <n v="8"/>
    <n v="8"/>
    <x v="277"/>
    <x v="277"/>
    <n v="893.19"/>
    <n v="758.31831"/>
    <x v="102"/>
    <x v="102"/>
    <n v="5150.49796152"/>
    <n v="2069.8579615200001"/>
    <n v="0.40187530933594423"/>
    <s v="Jun-2025"/>
    <s v="Q2-2025"/>
    <s v="High Price"/>
    <x v="2"/>
    <x v="9"/>
    <x v="2"/>
  </r>
  <r>
    <x v="277"/>
    <x v="249"/>
    <d v="2024-07-03T00:00:00"/>
    <x v="13"/>
    <x v="0"/>
    <x v="11"/>
    <x v="20"/>
    <s v="Enterprise"/>
    <x v="2"/>
    <x v="9"/>
    <x v="3"/>
    <x v="278"/>
    <n v="17"/>
    <n v="17"/>
    <x v="278"/>
    <x v="278"/>
    <n v="2328.9"/>
    <n v="2049.4320000000002"/>
    <x v="18"/>
    <x v="18"/>
    <n v="30659.502720000004"/>
    <n v="10704.392720000003"/>
    <n v="0.34913784537729131"/>
    <s v="Jun-2024"/>
    <s v="Q2-2024"/>
    <s v="Medium Price"/>
    <x v="2"/>
    <x v="9"/>
    <x v="0"/>
  </r>
  <r>
    <x v="278"/>
    <x v="250"/>
    <d v="2023-11-14T00:00:00"/>
    <x v="14"/>
    <x v="1"/>
    <x v="4"/>
    <x v="6"/>
    <s v="Corporate"/>
    <x v="1"/>
    <x v="9"/>
    <x v="4"/>
    <x v="279"/>
    <n v="5"/>
    <n v="5"/>
    <x v="279"/>
    <x v="279"/>
    <n v="2066.75"/>
    <n v="1781.5384999999999"/>
    <x v="159"/>
    <x v="159"/>
    <n v="7678.4309349999985"/>
    <n v="2911.1309349999983"/>
    <n v="0.37913096564174525"/>
    <s v="Oct-2023"/>
    <s v="Q4-2023"/>
    <s v="Medium Price"/>
    <x v="1"/>
    <x v="1"/>
    <x v="1"/>
  </r>
  <r>
    <x v="279"/>
    <x v="251"/>
    <d v="2023-06-23T00:00:00"/>
    <x v="11"/>
    <x v="2"/>
    <x v="10"/>
    <x v="24"/>
    <s v="Consumer"/>
    <x v="3"/>
    <x v="7"/>
    <x v="5"/>
    <x v="280"/>
    <n v="9"/>
    <n v="9"/>
    <x v="280"/>
    <x v="280"/>
    <n v="2182.31"/>
    <n v="1937.8912800000001"/>
    <x v="0"/>
    <x v="0"/>
    <n v="15487.62710976"/>
    <n v="5613.8171097600007"/>
    <n v="0.36247109192229215"/>
    <s v="Jun-2023"/>
    <s v="Q2-2023"/>
    <s v="Medium Price"/>
    <x v="2"/>
    <x v="9"/>
    <x v="1"/>
  </r>
  <r>
    <x v="280"/>
    <x v="252"/>
    <d v="2025-03-29T00:00:00"/>
    <x v="14"/>
    <x v="1"/>
    <x v="2"/>
    <x v="27"/>
    <s v="Non-Profit"/>
    <x v="4"/>
    <x v="10"/>
    <x v="2"/>
    <x v="281"/>
    <n v="7"/>
    <n v="7"/>
    <x v="281"/>
    <x v="281"/>
    <n v="2726.62"/>
    <n v="1862.2814600000002"/>
    <x v="160"/>
    <x v="160"/>
    <n v="8903.5676602600015"/>
    <n v="1154.8476602600012"/>
    <n v="0.12970616996763268"/>
    <s v="Mar-2025"/>
    <s v="Q1-2025"/>
    <s v="Medium Price"/>
    <x v="0"/>
    <x v="0"/>
    <x v="2"/>
  </r>
  <r>
    <x v="281"/>
    <x v="183"/>
    <d v="2023-08-25T00:00:00"/>
    <x v="24"/>
    <x v="0"/>
    <x v="0"/>
    <x v="2"/>
    <s v="Small Business"/>
    <x v="0"/>
    <x v="13"/>
    <x v="3"/>
    <x v="282"/>
    <n v="6"/>
    <n v="6"/>
    <x v="282"/>
    <x v="282"/>
    <n v="111.29"/>
    <n v="111.29"/>
    <x v="5"/>
    <x v="5"/>
    <n v="667.74"/>
    <n v="116.6400000000001"/>
    <n v="0.17467876718483258"/>
    <s v="Aug-2023"/>
    <s v="Q3-2023"/>
    <s v="Low Price"/>
    <x v="3"/>
    <x v="11"/>
    <x v="1"/>
  </r>
  <r>
    <x v="282"/>
    <x v="253"/>
    <d v="2025-05-28T00:00:00"/>
    <x v="23"/>
    <x v="1"/>
    <x v="4"/>
    <x v="6"/>
    <s v="Corporate"/>
    <x v="3"/>
    <x v="5"/>
    <x v="4"/>
    <x v="283"/>
    <n v="12"/>
    <n v="12"/>
    <x v="283"/>
    <x v="283"/>
    <n v="1100.0899999999999"/>
    <n v="974.67973999999992"/>
    <x v="60"/>
    <x v="60"/>
    <n v="10362.794995679998"/>
    <n v="2881.9949956799992"/>
    <n v="0.27810981466693435"/>
    <s v="May-2025"/>
    <s v="Q2-2025"/>
    <s v="High Price"/>
    <x v="2"/>
    <x v="5"/>
    <x v="2"/>
  </r>
  <r>
    <x v="283"/>
    <x v="94"/>
    <d v="2024-02-05T00:00:00"/>
    <x v="21"/>
    <x v="3"/>
    <x v="6"/>
    <x v="37"/>
    <s v="Education"/>
    <x v="4"/>
    <x v="5"/>
    <x v="4"/>
    <x v="284"/>
    <n v="12"/>
    <n v="12"/>
    <x v="284"/>
    <x v="284"/>
    <n v="1529.14"/>
    <n v="1292.1233"/>
    <x v="131"/>
    <x v="131"/>
    <n v="13102.130261999999"/>
    <n v="886.97026199999891"/>
    <n v="6.7696645069425965E-2"/>
    <s v="Jan-2024"/>
    <s v="Q1-2024"/>
    <s v="High Price"/>
    <x v="0"/>
    <x v="4"/>
    <x v="0"/>
  </r>
  <r>
    <x v="284"/>
    <x v="87"/>
    <d v="2023-07-21T00:00:00"/>
    <x v="30"/>
    <x v="1"/>
    <x v="2"/>
    <x v="32"/>
    <s v="Consumer"/>
    <x v="2"/>
    <x v="1"/>
    <x v="3"/>
    <x v="285"/>
    <n v="7"/>
    <n v="7"/>
    <x v="285"/>
    <x v="285"/>
    <n v="728.69"/>
    <n v="568.37820000000011"/>
    <x v="97"/>
    <x v="97"/>
    <n v="3103.3449720000008"/>
    <n v="-779.97502799999893"/>
    <n v="0"/>
    <s v="Jun-2023"/>
    <s v="Q2-2023"/>
    <s v="High Price"/>
    <x v="2"/>
    <x v="9"/>
    <x v="1"/>
  </r>
  <r>
    <x v="285"/>
    <x v="254"/>
    <d v="2025-04-13T00:00:00"/>
    <x v="27"/>
    <x v="3"/>
    <x v="6"/>
    <x v="22"/>
    <s v="Consumer"/>
    <x v="2"/>
    <x v="9"/>
    <x v="3"/>
    <x v="286"/>
    <n v="14"/>
    <n v="14"/>
    <x v="286"/>
    <x v="286"/>
    <n v="6.28"/>
    <n v="5.4384800000000002"/>
    <x v="61"/>
    <x v="61"/>
    <n v="65.936131520000004"/>
    <n v="-32.343868479999998"/>
    <n v="0"/>
    <s v="Apr-2025"/>
    <s v="Q2-2025"/>
    <s v="Low Price"/>
    <x v="2"/>
    <x v="7"/>
    <x v="2"/>
  </r>
  <r>
    <x v="286"/>
    <x v="255"/>
    <d v="2024-09-07T00:00:00"/>
    <x v="18"/>
    <x v="1"/>
    <x v="4"/>
    <x v="29"/>
    <s v="Education"/>
    <x v="3"/>
    <x v="5"/>
    <x v="2"/>
    <x v="287"/>
    <n v="9"/>
    <n v="9"/>
    <x v="287"/>
    <x v="287"/>
    <n v="2569.77"/>
    <n v="2225.4208199999998"/>
    <x v="61"/>
    <x v="61"/>
    <n v="17344.929871079999"/>
    <n v="7745.0798710799991"/>
    <n v="0.44653278673635499"/>
    <s v="Sep-2024"/>
    <s v="Q3-2024"/>
    <s v="Medium Price"/>
    <x v="3"/>
    <x v="6"/>
    <x v="0"/>
  </r>
  <r>
    <x v="287"/>
    <x v="10"/>
    <d v="2024-01-30T00:00:00"/>
    <x v="25"/>
    <x v="0"/>
    <x v="11"/>
    <x v="33"/>
    <s v="Consumer"/>
    <x v="4"/>
    <x v="9"/>
    <x v="6"/>
    <x v="288"/>
    <n v="18"/>
    <n v="18"/>
    <x v="288"/>
    <x v="288"/>
    <n v="1592.02"/>
    <n v="1486.9466799999998"/>
    <x v="72"/>
    <x v="72"/>
    <n v="24998.547584159995"/>
    <n v="10626.447584159994"/>
    <n v="0.42508259923441732"/>
    <s v="Jan-2024"/>
    <s v="Q1-2024"/>
    <s v="High Price"/>
    <x v="0"/>
    <x v="4"/>
    <x v="0"/>
  </r>
  <r>
    <x v="288"/>
    <x v="256"/>
    <d v="2023-08-10T00:00:00"/>
    <x v="21"/>
    <x v="0"/>
    <x v="11"/>
    <x v="20"/>
    <s v="Small Business"/>
    <x v="0"/>
    <x v="4"/>
    <x v="0"/>
    <x v="289"/>
    <n v="13"/>
    <n v="13"/>
    <x v="289"/>
    <x v="289"/>
    <n v="995.47"/>
    <n v="804.33976000000007"/>
    <x v="98"/>
    <x v="98"/>
    <n v="8448.7848390400013"/>
    <n v="-8081.4951609599975"/>
    <n v="0"/>
    <s v="Jul-2023"/>
    <s v="Q3-2023"/>
    <s v="High Price"/>
    <x v="3"/>
    <x v="8"/>
    <x v="1"/>
  </r>
  <r>
    <x v="289"/>
    <x v="257"/>
    <d v="2025-08-26T00:00:00"/>
    <x v="1"/>
    <x v="0"/>
    <x v="1"/>
    <x v="1"/>
    <s v="Small Business"/>
    <x v="0"/>
    <x v="8"/>
    <x v="6"/>
    <x v="290"/>
    <n v="18"/>
    <n v="18"/>
    <x v="290"/>
    <x v="290"/>
    <n v="1240.31"/>
    <n v="1059.2247399999999"/>
    <x v="34"/>
    <x v="34"/>
    <n v="16282.402703279999"/>
    <n v="6903.3227032800005"/>
    <n v="0.42397444830973041"/>
    <s v="Aug-2025"/>
    <s v="Q3-2025"/>
    <s v="High Price"/>
    <x v="3"/>
    <x v="11"/>
    <x v="2"/>
  </r>
  <r>
    <x v="290"/>
    <x v="258"/>
    <d v="2025-04-07T00:00:00"/>
    <x v="11"/>
    <x v="2"/>
    <x v="5"/>
    <x v="8"/>
    <s v="Non-Profit"/>
    <x v="4"/>
    <x v="4"/>
    <x v="1"/>
    <x v="291"/>
    <n v="11"/>
    <n v="11"/>
    <x v="291"/>
    <x v="291"/>
    <n v="118.37"/>
    <n v="99.90428"/>
    <x v="161"/>
    <x v="161"/>
    <n v="927.51133551999988"/>
    <n v="139.69133551999983"/>
    <n v="0.15060876365643908"/>
    <s v="Mar-2025"/>
    <s v="Q1-2025"/>
    <s v="Low Price"/>
    <x v="0"/>
    <x v="0"/>
    <x v="2"/>
  </r>
  <r>
    <x v="291"/>
    <x v="259"/>
    <d v="2023-11-09T00:00:00"/>
    <x v="6"/>
    <x v="3"/>
    <x v="8"/>
    <x v="21"/>
    <s v="Non-Profit"/>
    <x v="4"/>
    <x v="8"/>
    <x v="6"/>
    <x v="292"/>
    <n v="14"/>
    <n v="14"/>
    <x v="292"/>
    <x v="292"/>
    <n v="2105.5300000000002"/>
    <n v="1669.6852900000004"/>
    <x v="162"/>
    <x v="162"/>
    <n v="18536.846089580005"/>
    <n v="2542.1260895800042"/>
    <n v="0.13713908381690632"/>
    <s v="Oct-2023"/>
    <s v="Q4-2023"/>
    <s v="High Price"/>
    <x v="1"/>
    <x v="1"/>
    <x v="1"/>
  </r>
  <r>
    <x v="292"/>
    <x v="260"/>
    <d v="2023-09-22T00:00:00"/>
    <x v="17"/>
    <x v="3"/>
    <x v="8"/>
    <x v="21"/>
    <s v="Consumer"/>
    <x v="3"/>
    <x v="7"/>
    <x v="6"/>
    <x v="293"/>
    <n v="15"/>
    <n v="15"/>
    <x v="293"/>
    <x v="293"/>
    <n v="523"/>
    <n v="492.14300000000003"/>
    <x v="163"/>
    <x v="163"/>
    <n v="6946.5984450000005"/>
    <n v="3799.4484450000004"/>
    <n v="0.5469509249861354"/>
    <s v="Aug-2023"/>
    <s v="Q3-2023"/>
    <s v="Low Price"/>
    <x v="3"/>
    <x v="11"/>
    <x v="1"/>
  </r>
  <r>
    <x v="293"/>
    <x v="261"/>
    <d v="2025-05-04T00:00:00"/>
    <x v="21"/>
    <x v="1"/>
    <x v="2"/>
    <x v="4"/>
    <s v="Small Business"/>
    <x v="1"/>
    <x v="12"/>
    <x v="0"/>
    <x v="294"/>
    <n v="9"/>
    <n v="9"/>
    <x v="294"/>
    <x v="294"/>
    <n v="1075.3"/>
    <n v="989.27599999999995"/>
    <x v="164"/>
    <x v="164"/>
    <n v="8191.2052800000001"/>
    <n v="1115.4052799999999"/>
    <n v="0.13617108128438943"/>
    <s v="Apr-2025"/>
    <s v="Q2-2025"/>
    <s v="High Price"/>
    <x v="2"/>
    <x v="7"/>
    <x v="2"/>
  </r>
  <r>
    <x v="294"/>
    <x v="262"/>
    <d v="2025-06-27T00:00:00"/>
    <x v="0"/>
    <x v="3"/>
    <x v="6"/>
    <x v="22"/>
    <s v="Consumer"/>
    <x v="3"/>
    <x v="6"/>
    <x v="4"/>
    <x v="295"/>
    <n v="7"/>
    <n v="7"/>
    <x v="295"/>
    <x v="295"/>
    <n v="3294.57"/>
    <n v="2922.28359"/>
    <x v="139"/>
    <x v="139"/>
    <n v="18144.458810310003"/>
    <n v="8608.2888103100031"/>
    <n v="0.47443072842815354"/>
    <s v="Jun-2025"/>
    <s v="Q2-2025"/>
    <s v="Medium Price"/>
    <x v="2"/>
    <x v="9"/>
    <x v="2"/>
  </r>
  <r>
    <x v="295"/>
    <x v="263"/>
    <d v="2024-03-16T00:00:00"/>
    <x v="16"/>
    <x v="2"/>
    <x v="3"/>
    <x v="26"/>
    <s v="Non-Profit"/>
    <x v="4"/>
    <x v="7"/>
    <x v="1"/>
    <x v="296"/>
    <n v="11"/>
    <n v="11"/>
    <x v="296"/>
    <x v="296"/>
    <n v="464.05"/>
    <n v="385.62554999999998"/>
    <x v="36"/>
    <x v="36"/>
    <n v="3525.0031525499994"/>
    <n v="794.36315254999909"/>
    <n v="0.22535104740980275"/>
    <s v="Mar-2024"/>
    <s v="Q1-2024"/>
    <s v="Low Price"/>
    <x v="0"/>
    <x v="0"/>
    <x v="0"/>
  </r>
  <r>
    <x v="296"/>
    <x v="264"/>
    <d v="2023-07-08T00:00:00"/>
    <x v="5"/>
    <x v="2"/>
    <x v="10"/>
    <x v="36"/>
    <s v="Non-Profit"/>
    <x v="4"/>
    <x v="9"/>
    <x v="5"/>
    <x v="297"/>
    <n v="7"/>
    <n v="7"/>
    <x v="297"/>
    <x v="297"/>
    <n v="511.03"/>
    <n v="455.83875999999998"/>
    <x v="86"/>
    <x v="86"/>
    <n v="2846.2572174400002"/>
    <n v="487.2572174400002"/>
    <n v="0.17119226416165309"/>
    <s v="Jun-2023"/>
    <s v="Q2-2023"/>
    <s v="Low Price"/>
    <x v="2"/>
    <x v="9"/>
    <x v="1"/>
  </r>
  <r>
    <x v="297"/>
    <x v="265"/>
    <d v="2024-04-05T00:00:00"/>
    <x v="24"/>
    <x v="2"/>
    <x v="10"/>
    <x v="36"/>
    <s v="Consumer"/>
    <x v="4"/>
    <x v="1"/>
    <x v="5"/>
    <x v="298"/>
    <n v="18"/>
    <n v="18"/>
    <x v="298"/>
    <x v="298"/>
    <n v="4.22"/>
    <n v="3.7178199999999997"/>
    <x v="45"/>
    <x v="45"/>
    <n v="58.957189559999996"/>
    <n v="-42.922810439999999"/>
    <n v="0"/>
    <s v="Mar-2024"/>
    <s v="Q1-2024"/>
    <s v="Low Price"/>
    <x v="0"/>
    <x v="0"/>
    <x v="0"/>
  </r>
  <r>
    <x v="298"/>
    <x v="266"/>
    <d v="2025-01-22T00:00:00"/>
    <x v="18"/>
    <x v="3"/>
    <x v="7"/>
    <x v="17"/>
    <s v="Small Business"/>
    <x v="1"/>
    <x v="5"/>
    <x v="6"/>
    <x v="299"/>
    <n v="22"/>
    <n v="22"/>
    <x v="299"/>
    <x v="299"/>
    <n v="577.24"/>
    <n v="577.24"/>
    <x v="5"/>
    <x v="5"/>
    <n v="12699.28"/>
    <n v="-318.55999999999949"/>
    <n v="0"/>
    <s v="Jan-2025"/>
    <s v="Q1-2025"/>
    <s v="High Price"/>
    <x v="0"/>
    <x v="4"/>
    <x v="2"/>
  </r>
  <r>
    <x v="299"/>
    <x v="267"/>
    <d v="2025-05-27T00:00:00"/>
    <x v="13"/>
    <x v="2"/>
    <x v="3"/>
    <x v="26"/>
    <s v="Education"/>
    <x v="4"/>
    <x v="0"/>
    <x v="0"/>
    <x v="300"/>
    <n v="19"/>
    <n v="19"/>
    <x v="300"/>
    <x v="300"/>
    <n v="1426.03"/>
    <n v="1346.1723199999999"/>
    <x v="121"/>
    <x v="121"/>
    <n v="24144.946731519995"/>
    <n v="7750.0367315199946"/>
    <n v="0.32097965747021995"/>
    <s v="May-2025"/>
    <s v="Q2-2025"/>
    <s v="High Price"/>
    <x v="2"/>
    <x v="5"/>
    <x v="2"/>
  </r>
  <r>
    <x v="300"/>
    <x v="231"/>
    <d v="2023-10-31T00:00:00"/>
    <x v="0"/>
    <x v="1"/>
    <x v="9"/>
    <x v="23"/>
    <s v="Consumer"/>
    <x v="5"/>
    <x v="1"/>
    <x v="1"/>
    <x v="301"/>
    <n v="9"/>
    <n v="9"/>
    <x v="301"/>
    <x v="301"/>
    <n v="1360.12"/>
    <n v="1096.2567200000001"/>
    <x v="7"/>
    <x v="7"/>
    <n v="7952.2462468800004"/>
    <n v="2103.0562468800008"/>
    <n v="0.26446065446038192"/>
    <s v="Oct-2023"/>
    <s v="Q4-2023"/>
    <s v="High Price"/>
    <x v="1"/>
    <x v="1"/>
    <x v="1"/>
  </r>
  <r>
    <x v="301"/>
    <x v="256"/>
    <d v="2023-07-22T00:00:00"/>
    <x v="3"/>
    <x v="2"/>
    <x v="5"/>
    <x v="8"/>
    <s v="Consumer"/>
    <x v="4"/>
    <x v="9"/>
    <x v="2"/>
    <x v="302"/>
    <n v="22"/>
    <n v="22"/>
    <x v="302"/>
    <x v="302"/>
    <n v="2071.1"/>
    <n v="1803.9280999999999"/>
    <x v="31"/>
    <x v="31"/>
    <n v="34566.870252199995"/>
    <n v="6636.7702521999963"/>
    <n v="0.19199800860703037"/>
    <s v="Jul-2023"/>
    <s v="Q3-2023"/>
    <s v="Medium Price"/>
    <x v="3"/>
    <x v="8"/>
    <x v="1"/>
  </r>
  <r>
    <x v="302"/>
    <x v="268"/>
    <d v="2025-07-08T00:00:00"/>
    <x v="12"/>
    <x v="3"/>
    <x v="8"/>
    <x v="21"/>
    <s v="Education"/>
    <x v="4"/>
    <x v="8"/>
    <x v="3"/>
    <x v="303"/>
    <n v="10"/>
    <n v="10"/>
    <x v="303"/>
    <x v="303"/>
    <n v="979.84"/>
    <n v="809.34784000000013"/>
    <x v="155"/>
    <x v="155"/>
    <n v="6685.2131584000017"/>
    <n v="-2242.0868415999976"/>
    <n v="0"/>
    <s v="Jun-2025"/>
    <s v="Q2-2025"/>
    <s v="High Price"/>
    <x v="2"/>
    <x v="9"/>
    <x v="2"/>
  </r>
  <r>
    <x v="303"/>
    <x v="269"/>
    <d v="2024-06-20T00:00:00"/>
    <x v="26"/>
    <x v="0"/>
    <x v="0"/>
    <x v="0"/>
    <s v="Small Business"/>
    <x v="4"/>
    <x v="1"/>
    <x v="4"/>
    <x v="304"/>
    <n v="12"/>
    <n v="12"/>
    <x v="304"/>
    <x v="304"/>
    <n v="537.39"/>
    <n v="494.39879999999999"/>
    <x v="164"/>
    <x v="164"/>
    <n v="5458.1627520000002"/>
    <n v="2678.6027520000002"/>
    <n v="0.49075171879374552"/>
    <s v="Jun-2024"/>
    <s v="Q2-2024"/>
    <s v="Low Price"/>
    <x v="2"/>
    <x v="9"/>
    <x v="0"/>
  </r>
  <r>
    <x v="304"/>
    <x v="69"/>
    <d v="2025-04-12T00:00:00"/>
    <x v="4"/>
    <x v="3"/>
    <x v="7"/>
    <x v="17"/>
    <s v="Small Business"/>
    <x v="3"/>
    <x v="10"/>
    <x v="5"/>
    <x v="305"/>
    <n v="8"/>
    <n v="8"/>
    <x v="305"/>
    <x v="305"/>
    <n v="213.32"/>
    <n v="205.21383999999998"/>
    <x v="16"/>
    <x v="16"/>
    <n v="1579.3257126399997"/>
    <n v="885.88571263999961"/>
    <n v="0.56092654323923707"/>
    <s v="Apr-2025"/>
    <s v="Q2-2025"/>
    <s v="Low Price"/>
    <x v="2"/>
    <x v="7"/>
    <x v="2"/>
  </r>
  <r>
    <x v="305"/>
    <x v="80"/>
    <d v="2025-03-26T00:00:00"/>
    <x v="26"/>
    <x v="0"/>
    <x v="1"/>
    <x v="3"/>
    <s v="Education"/>
    <x v="3"/>
    <x v="3"/>
    <x v="6"/>
    <x v="306"/>
    <n v="24"/>
    <n v="24"/>
    <x v="306"/>
    <x v="306"/>
    <n v="1994.67"/>
    <n v="1795.2030000000002"/>
    <x v="165"/>
    <x v="165"/>
    <n v="38776.384800000007"/>
    <n v="3966.0648000000074"/>
    <n v="0.10228041681699029"/>
    <s v="Mar-2025"/>
    <s v="Q1-2025"/>
    <s v="Medium Price"/>
    <x v="0"/>
    <x v="0"/>
    <x v="2"/>
  </r>
  <r>
    <x v="306"/>
    <x v="270"/>
    <d v="2025-06-09T00:00:00"/>
    <x v="22"/>
    <x v="2"/>
    <x v="10"/>
    <x v="39"/>
    <s v="Consumer"/>
    <x v="0"/>
    <x v="10"/>
    <x v="2"/>
    <x v="307"/>
    <n v="8"/>
    <n v="8"/>
    <x v="307"/>
    <x v="307"/>
    <n v="552.84"/>
    <n v="455.54016000000007"/>
    <x v="166"/>
    <x v="166"/>
    <n v="3002.9207347200008"/>
    <n v="-60.759265279998999"/>
    <n v="0"/>
    <s v="May-2025"/>
    <s v="Q2-2025"/>
    <s v="Low Price"/>
    <x v="2"/>
    <x v="5"/>
    <x v="2"/>
  </r>
  <r>
    <x v="307"/>
    <x v="266"/>
    <d v="2025-02-04T00:00:00"/>
    <x v="19"/>
    <x v="1"/>
    <x v="2"/>
    <x v="27"/>
    <s v="Small Business"/>
    <x v="3"/>
    <x v="4"/>
    <x v="1"/>
    <x v="308"/>
    <n v="28"/>
    <n v="28"/>
    <x v="308"/>
    <x v="308"/>
    <n v="224.95"/>
    <n v="190.53264999999999"/>
    <x v="125"/>
    <x v="125"/>
    <n v="4518.6723273999996"/>
    <n v="1094.5523273999993"/>
    <n v="0.24222874510349682"/>
    <s v="Jan-2025"/>
    <s v="Q1-2025"/>
    <s v="Low Price"/>
    <x v="0"/>
    <x v="4"/>
    <x v="2"/>
  </r>
  <r>
    <x v="308"/>
    <x v="271"/>
    <d v="2023-01-29T00:00:00"/>
    <x v="6"/>
    <x v="3"/>
    <x v="7"/>
    <x v="17"/>
    <s v="Non-Profit"/>
    <x v="4"/>
    <x v="14"/>
    <x v="4"/>
    <x v="309"/>
    <n v="14"/>
    <n v="14"/>
    <x v="309"/>
    <x v="309"/>
    <n v="772.09"/>
    <n v="703.37399000000005"/>
    <x v="25"/>
    <x v="25"/>
    <n v="8970.8318684600017"/>
    <n v="3347.591868460001"/>
    <n v="0.37316404069834308"/>
    <s v="Jan-2023"/>
    <s v="Q1-2023"/>
    <s v="High Price"/>
    <x v="0"/>
    <x v="4"/>
    <x v="1"/>
  </r>
  <r>
    <x v="309"/>
    <x v="272"/>
    <d v="2025-01-12T00:00:00"/>
    <x v="16"/>
    <x v="3"/>
    <x v="8"/>
    <x v="31"/>
    <s v="Corporate"/>
    <x v="4"/>
    <x v="5"/>
    <x v="5"/>
    <x v="310"/>
    <n v="12"/>
    <n v="12"/>
    <x v="310"/>
    <x v="310"/>
    <n v="3149.21"/>
    <n v="2566.6061500000001"/>
    <x v="57"/>
    <x v="57"/>
    <n v="25101.408146999995"/>
    <n v="8304.7681469999952"/>
    <n v="0.33084869575305254"/>
    <s v="Dec-2024"/>
    <s v="Q4-2024"/>
    <s v="Medium Price"/>
    <x v="1"/>
    <x v="3"/>
    <x v="0"/>
  </r>
  <r>
    <x v="310"/>
    <x v="154"/>
    <d v="2024-06-06T00:00:00"/>
    <x v="16"/>
    <x v="2"/>
    <x v="5"/>
    <x v="30"/>
    <s v="Non-Profit"/>
    <x v="1"/>
    <x v="2"/>
    <x v="2"/>
    <x v="311"/>
    <n v="16"/>
    <n v="16"/>
    <x v="311"/>
    <x v="311"/>
    <n v="57.53"/>
    <n v="54.94115"/>
    <x v="107"/>
    <x v="107"/>
    <n v="839.50077199999998"/>
    <n v="21.420771999999943"/>
    <n v="2.5516083742207617E-2"/>
    <s v="May-2024"/>
    <s v="Q2-2024"/>
    <s v="Low Price"/>
    <x v="2"/>
    <x v="5"/>
    <x v="0"/>
  </r>
  <r>
    <x v="311"/>
    <x v="87"/>
    <d v="2023-06-22T00:00:00"/>
    <x v="1"/>
    <x v="2"/>
    <x v="3"/>
    <x v="5"/>
    <s v="Non-Profit"/>
    <x v="0"/>
    <x v="12"/>
    <x v="6"/>
    <x v="312"/>
    <n v="15"/>
    <n v="15"/>
    <x v="312"/>
    <x v="312"/>
    <n v="824.81"/>
    <n v="752.22672"/>
    <x v="167"/>
    <x v="167"/>
    <n v="10290.461529600001"/>
    <n v="3219.1615296000009"/>
    <n v="0.31282965495184473"/>
    <s v="Jun-2023"/>
    <s v="Q2-2023"/>
    <s v="High Price"/>
    <x v="2"/>
    <x v="9"/>
    <x v="1"/>
  </r>
  <r>
    <x v="312"/>
    <x v="273"/>
    <d v="2024-11-05T00:00:00"/>
    <x v="26"/>
    <x v="3"/>
    <x v="8"/>
    <x v="21"/>
    <s v="Corporate"/>
    <x v="0"/>
    <x v="12"/>
    <x v="1"/>
    <x v="313"/>
    <n v="27"/>
    <n v="27"/>
    <x v="313"/>
    <x v="313"/>
    <n v="1493.53"/>
    <n v="1493.53"/>
    <x v="5"/>
    <x v="5"/>
    <n v="40325.31"/>
    <n v="17626.95"/>
    <n v="0.43711877230454027"/>
    <s v="Nov-2024"/>
    <s v="Q4-2024"/>
    <s v="High Price"/>
    <x v="1"/>
    <x v="10"/>
    <x v="0"/>
  </r>
  <r>
    <x v="313"/>
    <x v="274"/>
    <d v="2024-06-24T00:00:00"/>
    <x v="12"/>
    <x v="0"/>
    <x v="11"/>
    <x v="25"/>
    <s v="Education"/>
    <x v="3"/>
    <x v="10"/>
    <x v="5"/>
    <x v="314"/>
    <n v="7"/>
    <n v="7"/>
    <x v="314"/>
    <x v="314"/>
    <n v="741.92"/>
    <n v="718.92047999999988"/>
    <x v="8"/>
    <x v="8"/>
    <n v="4876.4376158399991"/>
    <n v="691.48761583999931"/>
    <n v="0.14180179678580507"/>
    <s v="Jun-2024"/>
    <s v="Q2-2024"/>
    <s v="High Price"/>
    <x v="2"/>
    <x v="9"/>
    <x v="0"/>
  </r>
  <r>
    <x v="314"/>
    <x v="262"/>
    <d v="2025-06-06T00:00:00"/>
    <x v="15"/>
    <x v="3"/>
    <x v="7"/>
    <x v="28"/>
    <s v="Consumer"/>
    <x v="3"/>
    <x v="3"/>
    <x v="0"/>
    <x v="315"/>
    <n v="13"/>
    <n v="13"/>
    <x v="315"/>
    <x v="315"/>
    <n v="742.23"/>
    <n v="675.42930000000001"/>
    <x v="168"/>
    <x v="168"/>
    <n v="7990.3286189999999"/>
    <n v="3057.4786190000004"/>
    <n v="0.38264741849661849"/>
    <s v="Jun-2025"/>
    <s v="Q2-2025"/>
    <s v="High Price"/>
    <x v="2"/>
    <x v="9"/>
    <x v="2"/>
  </r>
  <r>
    <x v="315"/>
    <x v="275"/>
    <d v="2023-05-14T00:00:00"/>
    <x v="11"/>
    <x v="1"/>
    <x v="2"/>
    <x v="4"/>
    <s v="Enterprise"/>
    <x v="2"/>
    <x v="5"/>
    <x v="3"/>
    <x v="316"/>
    <n v="22"/>
    <n v="22"/>
    <x v="316"/>
    <x v="316"/>
    <n v="479.54"/>
    <n v="411.92486000000002"/>
    <x v="169"/>
    <x v="169"/>
    <n v="7784.5560042800007"/>
    <n v="1378.5960042800007"/>
    <n v="0.17709372294605363"/>
    <s v="May-2023"/>
    <s v="Q2-2023"/>
    <s v="Low Price"/>
    <x v="2"/>
    <x v="5"/>
    <x v="1"/>
  </r>
  <r>
    <x v="316"/>
    <x v="276"/>
    <d v="2023-11-30T00:00:00"/>
    <x v="12"/>
    <x v="2"/>
    <x v="5"/>
    <x v="8"/>
    <s v="Enterprise"/>
    <x v="4"/>
    <x v="11"/>
    <x v="2"/>
    <x v="317"/>
    <n v="15"/>
    <n v="15"/>
    <x v="317"/>
    <x v="317"/>
    <n v="1175.25"/>
    <n v="1087.10625"/>
    <x v="43"/>
    <x v="43"/>
    <n v="15083.599218750001"/>
    <n v="-185.20078124999782"/>
    <n v="0"/>
    <s v="Nov-2023"/>
    <s v="Q4-2023"/>
    <s v="High Price"/>
    <x v="1"/>
    <x v="10"/>
    <x v="1"/>
  </r>
  <r>
    <x v="317"/>
    <x v="277"/>
    <d v="2025-04-27T00:00:00"/>
    <x v="0"/>
    <x v="2"/>
    <x v="10"/>
    <x v="24"/>
    <s v="Corporate"/>
    <x v="4"/>
    <x v="2"/>
    <x v="5"/>
    <x v="318"/>
    <n v="13"/>
    <n v="13"/>
    <x v="318"/>
    <x v="318"/>
    <n v="227.45"/>
    <n v="224.26569999999998"/>
    <x v="170"/>
    <x v="170"/>
    <n v="2874.6377425999999"/>
    <n v="839.48774259999982"/>
    <n v="0.29203253340739738"/>
    <s v="Apr-2025"/>
    <s v="Q2-2025"/>
    <s v="Low Price"/>
    <x v="2"/>
    <x v="7"/>
    <x v="2"/>
  </r>
  <r>
    <x v="318"/>
    <x v="278"/>
    <d v="2023-04-15T00:00:00"/>
    <x v="21"/>
    <x v="0"/>
    <x v="0"/>
    <x v="13"/>
    <s v="Small Business"/>
    <x v="0"/>
    <x v="0"/>
    <x v="6"/>
    <x v="319"/>
    <n v="53"/>
    <n v="53"/>
    <x v="319"/>
    <x v="319"/>
    <n v="1178.6199999999999"/>
    <n v="1000.6483799999999"/>
    <x v="102"/>
    <x v="102"/>
    <n v="45026.175154859993"/>
    <n v="-1367.9048451400085"/>
    <n v="0"/>
    <s v="Mar-2023"/>
    <s v="Q1-2023"/>
    <s v="High Price"/>
    <x v="0"/>
    <x v="0"/>
    <x v="1"/>
  </r>
  <r>
    <x v="319"/>
    <x v="91"/>
    <d v="2024-06-18T00:00:00"/>
    <x v="29"/>
    <x v="3"/>
    <x v="6"/>
    <x v="37"/>
    <s v="Small Business"/>
    <x v="1"/>
    <x v="6"/>
    <x v="3"/>
    <x v="320"/>
    <n v="10"/>
    <n v="10"/>
    <x v="320"/>
    <x v="320"/>
    <n v="2422.1"/>
    <n v="2238.0203999999999"/>
    <x v="171"/>
    <x v="171"/>
    <n v="20679.308495999998"/>
    <n v="10810.808495999998"/>
    <n v="0.52278384928060506"/>
    <s v="May-2024"/>
    <s v="Q2-2024"/>
    <s v="Medium Price"/>
    <x v="2"/>
    <x v="5"/>
    <x v="0"/>
  </r>
  <r>
    <x v="320"/>
    <x v="279"/>
    <d v="2024-01-01T00:00:00"/>
    <x v="1"/>
    <x v="2"/>
    <x v="10"/>
    <x v="15"/>
    <s v="Education"/>
    <x v="2"/>
    <x v="5"/>
    <x v="2"/>
    <x v="321"/>
    <n v="22"/>
    <n v="22"/>
    <x v="321"/>
    <x v="321"/>
    <n v="433.88"/>
    <n v="340.5958"/>
    <x v="66"/>
    <x v="66"/>
    <n v="5882.0894660000004"/>
    <n v="-3022.8505339999983"/>
    <n v="0"/>
    <s v="Jan-2024"/>
    <s v="Q1-2024"/>
    <s v="Low Price"/>
    <x v="0"/>
    <x v="4"/>
    <x v="0"/>
  </r>
  <r>
    <x v="321"/>
    <x v="2"/>
    <d v="2023-02-27T00:00:00"/>
    <x v="1"/>
    <x v="3"/>
    <x v="7"/>
    <x v="11"/>
    <s v="Corporate"/>
    <x v="0"/>
    <x v="11"/>
    <x v="2"/>
    <x v="322"/>
    <n v="14"/>
    <n v="14"/>
    <x v="322"/>
    <x v="322"/>
    <n v="3149.13"/>
    <n v="2824.7696100000003"/>
    <x v="172"/>
    <x v="172"/>
    <n v="35473.456762380003"/>
    <n v="17276.116762380003"/>
    <n v="0.48701531621529248"/>
    <s v="Feb-2023"/>
    <s v="Q1-2023"/>
    <s v="Medium Price"/>
    <x v="0"/>
    <x v="2"/>
    <x v="1"/>
  </r>
  <r>
    <x v="322"/>
    <x v="142"/>
    <d v="2024-03-11T00:00:00"/>
    <x v="22"/>
    <x v="2"/>
    <x v="5"/>
    <x v="8"/>
    <s v="Consumer"/>
    <x v="1"/>
    <x v="8"/>
    <x v="0"/>
    <x v="323"/>
    <n v="13"/>
    <n v="13"/>
    <x v="323"/>
    <x v="323"/>
    <n v="65.650000000000006"/>
    <n v="54.095600000000012"/>
    <x v="166"/>
    <x v="166"/>
    <n v="579.47206720000008"/>
    <n v="-466.76793279999993"/>
    <n v="0"/>
    <s v="Feb-2024"/>
    <s v="Q1-2024"/>
    <s v="Low Price"/>
    <x v="0"/>
    <x v="2"/>
    <x v="0"/>
  </r>
  <r>
    <x v="323"/>
    <x v="191"/>
    <d v="2024-10-08T00:00:00"/>
    <x v="10"/>
    <x v="2"/>
    <x v="5"/>
    <x v="8"/>
    <s v="Education"/>
    <x v="4"/>
    <x v="1"/>
    <x v="0"/>
    <x v="324"/>
    <n v="11"/>
    <n v="11"/>
    <x v="324"/>
    <x v="324"/>
    <n v="2492.14"/>
    <n v="2365.0408599999996"/>
    <x v="130"/>
    <x v="130"/>
    <n v="24688.661537539996"/>
    <n v="13575.031537539995"/>
    <n v="0.54984882501218924"/>
    <s v="Sep-2024"/>
    <s v="Q3-2024"/>
    <s v="Medium Price"/>
    <x v="3"/>
    <x v="6"/>
    <x v="0"/>
  </r>
  <r>
    <x v="324"/>
    <x v="239"/>
    <d v="2023-05-29T00:00:00"/>
    <x v="22"/>
    <x v="0"/>
    <x v="11"/>
    <x v="25"/>
    <s v="Education"/>
    <x v="3"/>
    <x v="11"/>
    <x v="6"/>
    <x v="325"/>
    <n v="12"/>
    <n v="12"/>
    <x v="325"/>
    <x v="325"/>
    <n v="931.84"/>
    <n v="819.08735999999999"/>
    <x v="173"/>
    <x v="173"/>
    <n v="8639.7334732800009"/>
    <n v="793.4134732800012"/>
    <n v="9.1833095978455986E-2"/>
    <s v="May-2023"/>
    <s v="Q2-2023"/>
    <s v="High Price"/>
    <x v="2"/>
    <x v="5"/>
    <x v="1"/>
  </r>
  <r>
    <x v="325"/>
    <x v="182"/>
    <d v="2024-01-29T00:00:00"/>
    <x v="13"/>
    <x v="1"/>
    <x v="4"/>
    <x v="34"/>
    <s v="Small Business"/>
    <x v="4"/>
    <x v="5"/>
    <x v="0"/>
    <x v="326"/>
    <n v="4"/>
    <n v="4"/>
    <x v="326"/>
    <x v="326"/>
    <n v="619.51"/>
    <n v="593.49058000000002"/>
    <x v="174"/>
    <x v="174"/>
    <n v="2274.2559025599999"/>
    <n v="1034.1759025599999"/>
    <n v="0.45473154599528015"/>
    <s v="Jan-2024"/>
    <s v="Q1-2024"/>
    <s v="High Price"/>
    <x v="0"/>
    <x v="4"/>
    <x v="0"/>
  </r>
  <r>
    <x v="326"/>
    <x v="280"/>
    <d v="2023-06-18T00:00:00"/>
    <x v="11"/>
    <x v="0"/>
    <x v="0"/>
    <x v="16"/>
    <s v="Enterprise"/>
    <x v="4"/>
    <x v="10"/>
    <x v="3"/>
    <x v="327"/>
    <n v="3"/>
    <n v="3"/>
    <x v="327"/>
    <x v="327"/>
    <n v="1421.55"/>
    <n v="1266.60105"/>
    <x v="14"/>
    <x v="14"/>
    <n v="3385.6246066499998"/>
    <n v="702.93460664999975"/>
    <n v="0.20762331573007378"/>
    <s v="Jun-2023"/>
    <s v="Q2-2023"/>
    <s v="High Price"/>
    <x v="2"/>
    <x v="9"/>
    <x v="1"/>
  </r>
  <r>
    <x v="327"/>
    <x v="281"/>
    <d v="2025-05-17T00:00:00"/>
    <x v="1"/>
    <x v="2"/>
    <x v="5"/>
    <x v="8"/>
    <s v="Small Business"/>
    <x v="3"/>
    <x v="4"/>
    <x v="5"/>
    <x v="328"/>
    <n v="10"/>
    <n v="10"/>
    <x v="328"/>
    <x v="328"/>
    <n v="952.56"/>
    <n v="622.97424000000001"/>
    <x v="175"/>
    <x v="175"/>
    <n v="4074.2515296000006"/>
    <n v="236.55152960000078"/>
    <n v="5.8060119234519814E-2"/>
    <s v="May-2025"/>
    <s v="Q2-2025"/>
    <s v="High Price"/>
    <x v="2"/>
    <x v="5"/>
    <x v="2"/>
  </r>
  <r>
    <x v="328"/>
    <x v="282"/>
    <d v="2023-11-16T00:00:00"/>
    <x v="2"/>
    <x v="2"/>
    <x v="3"/>
    <x v="5"/>
    <s v="Small Business"/>
    <x v="2"/>
    <x v="2"/>
    <x v="4"/>
    <x v="329"/>
    <n v="11"/>
    <n v="11"/>
    <x v="329"/>
    <x v="329"/>
    <n v="3154.14"/>
    <n v="2523.3119999999999"/>
    <x v="47"/>
    <x v="47"/>
    <n v="22205.1456"/>
    <n v="7098.7356"/>
    <n v="0.31968876619300346"/>
    <s v="Oct-2023"/>
    <s v="Q4-2023"/>
    <s v="Medium Price"/>
    <x v="1"/>
    <x v="1"/>
    <x v="1"/>
  </r>
  <r>
    <x v="329"/>
    <x v="283"/>
    <d v="2025-01-23T00:00:00"/>
    <x v="7"/>
    <x v="2"/>
    <x v="10"/>
    <x v="36"/>
    <s v="Consumer"/>
    <x v="3"/>
    <x v="10"/>
    <x v="3"/>
    <x v="330"/>
    <n v="12"/>
    <n v="12"/>
    <x v="330"/>
    <x v="330"/>
    <n v="226.14"/>
    <n v="211.4409"/>
    <x v="176"/>
    <x v="176"/>
    <n v="2372.3668980000002"/>
    <n v="1164.0868980000002"/>
    <n v="0.49068586270587905"/>
    <s v="Jan-2025"/>
    <s v="Q1-2025"/>
    <s v="Low Price"/>
    <x v="0"/>
    <x v="4"/>
    <x v="2"/>
  </r>
  <r>
    <x v="330"/>
    <x v="284"/>
    <d v="2025-09-26T00:00:00"/>
    <x v="7"/>
    <x v="3"/>
    <x v="8"/>
    <x v="21"/>
    <s v="Small Business"/>
    <x v="4"/>
    <x v="13"/>
    <x v="2"/>
    <x v="331"/>
    <n v="13"/>
    <n v="13"/>
    <x v="331"/>
    <x v="331"/>
    <n v="885.92"/>
    <n v="674.18511999999998"/>
    <x v="177"/>
    <x v="177"/>
    <n v="6669.7133921599998"/>
    <n v="1142.76339216"/>
    <n v="0.17133620666568308"/>
    <s v="Sep-2025"/>
    <s v="Q3-2025"/>
    <s v="High Price"/>
    <x v="3"/>
    <x v="6"/>
    <x v="2"/>
  </r>
  <r>
    <x v="331"/>
    <x v="52"/>
    <d v="2023-09-03T00:00:00"/>
    <x v="3"/>
    <x v="1"/>
    <x v="4"/>
    <x v="18"/>
    <s v="Small Business"/>
    <x v="2"/>
    <x v="4"/>
    <x v="6"/>
    <x v="332"/>
    <n v="4"/>
    <n v="4"/>
    <x v="332"/>
    <x v="332"/>
    <n v="2433.34"/>
    <n v="1776.3382000000001"/>
    <x v="178"/>
    <x v="178"/>
    <n v="5186.9075440000006"/>
    <n v="857.9075440000006"/>
    <n v="0.16539865743170851"/>
    <s v="Aug-2023"/>
    <s v="Q3-2023"/>
    <s v="Medium Price"/>
    <x v="3"/>
    <x v="11"/>
    <x v="1"/>
  </r>
  <r>
    <x v="332"/>
    <x v="285"/>
    <d v="2023-12-06T00:00:00"/>
    <x v="29"/>
    <x v="3"/>
    <x v="8"/>
    <x v="31"/>
    <s v="Education"/>
    <x v="4"/>
    <x v="10"/>
    <x v="6"/>
    <x v="333"/>
    <n v="5"/>
    <n v="5"/>
    <x v="333"/>
    <x v="333"/>
    <n v="1154.3399999999999"/>
    <n v="1122.01848"/>
    <x v="179"/>
    <x v="179"/>
    <n v="5453.0098128"/>
    <n v="-471.94018719999985"/>
    <n v="0"/>
    <s v="Nov-2023"/>
    <s v="Q4-2023"/>
    <s v="High Price"/>
    <x v="1"/>
    <x v="10"/>
    <x v="1"/>
  </r>
  <r>
    <x v="333"/>
    <x v="60"/>
    <d v="2025-05-27T00:00:00"/>
    <x v="17"/>
    <x v="1"/>
    <x v="4"/>
    <x v="35"/>
    <s v="Enterprise"/>
    <x v="2"/>
    <x v="10"/>
    <x v="3"/>
    <x v="334"/>
    <n v="5"/>
    <n v="5"/>
    <x v="334"/>
    <x v="334"/>
    <n v="1135.99"/>
    <n v="971.27144999999996"/>
    <x v="180"/>
    <x v="180"/>
    <n v="4152.1854487499995"/>
    <n v="1745.5854487499996"/>
    <n v="0.42040161025936396"/>
    <s v="Apr-2025"/>
    <s v="Q2-2025"/>
    <s v="High Price"/>
    <x v="2"/>
    <x v="7"/>
    <x v="2"/>
  </r>
  <r>
    <x v="334"/>
    <x v="286"/>
    <d v="2024-04-18T00:00:00"/>
    <x v="27"/>
    <x v="3"/>
    <x v="7"/>
    <x v="17"/>
    <s v="Consumer"/>
    <x v="1"/>
    <x v="6"/>
    <x v="1"/>
    <x v="335"/>
    <n v="7"/>
    <n v="7"/>
    <x v="335"/>
    <x v="335"/>
    <n v="2751.84"/>
    <n v="2317.0492800000002"/>
    <x v="181"/>
    <x v="181"/>
    <n v="13656.68845632"/>
    <n v="4634.7384563200012"/>
    <n v="0.33937498619404699"/>
    <s v="Apr-2024"/>
    <s v="Q2-2024"/>
    <s v="Medium Price"/>
    <x v="2"/>
    <x v="7"/>
    <x v="0"/>
  </r>
  <r>
    <x v="335"/>
    <x v="287"/>
    <d v="2024-07-31T00:00:00"/>
    <x v="8"/>
    <x v="1"/>
    <x v="9"/>
    <x v="14"/>
    <s v="Consumer"/>
    <x v="1"/>
    <x v="3"/>
    <x v="3"/>
    <x v="336"/>
    <n v="22"/>
    <n v="22"/>
    <x v="336"/>
    <x v="336"/>
    <n v="1374.72"/>
    <n v="1283.98848"/>
    <x v="72"/>
    <x v="72"/>
    <n v="26383.395287039999"/>
    <n v="12143.67528704"/>
    <n v="0.46027719915962417"/>
    <s v="Jul-2024"/>
    <s v="Q3-2024"/>
    <s v="High Price"/>
    <x v="3"/>
    <x v="8"/>
    <x v="0"/>
  </r>
  <r>
    <x v="336"/>
    <x v="142"/>
    <d v="2024-03-03T00:00:00"/>
    <x v="16"/>
    <x v="2"/>
    <x v="5"/>
    <x v="35"/>
    <s v="Enterprise"/>
    <x v="3"/>
    <x v="8"/>
    <x v="1"/>
    <x v="337"/>
    <n v="37"/>
    <n v="37"/>
    <x v="337"/>
    <x v="337"/>
    <n v="1318.37"/>
    <n v="1041.5122999999999"/>
    <x v="182"/>
    <x v="182"/>
    <n v="30443.404528999996"/>
    <n v="7346.8945289999938"/>
    <n v="0.24132959643200999"/>
    <s v="Feb-2024"/>
    <s v="Q1-2024"/>
    <s v="High Price"/>
    <x v="0"/>
    <x v="2"/>
    <x v="0"/>
  </r>
  <r>
    <x v="337"/>
    <x v="288"/>
    <d v="2023-08-10T00:00:00"/>
    <x v="12"/>
    <x v="0"/>
    <x v="1"/>
    <x v="1"/>
    <s v="Corporate"/>
    <x v="3"/>
    <x v="2"/>
    <x v="6"/>
    <x v="338"/>
    <n v="9"/>
    <n v="9"/>
    <x v="338"/>
    <x v="338"/>
    <n v="441.74"/>
    <n v="335.72239999999999"/>
    <x v="183"/>
    <x v="183"/>
    <n v="2296.3412159999998"/>
    <n v="-2265.1287840000005"/>
    <n v="0"/>
    <s v="Jul-2023"/>
    <s v="Q3-2023"/>
    <s v="Low Price"/>
    <x v="3"/>
    <x v="8"/>
    <x v="1"/>
  </r>
  <r>
    <x v="338"/>
    <x v="289"/>
    <d v="2023-07-21T00:00:00"/>
    <x v="20"/>
    <x v="0"/>
    <x v="11"/>
    <x v="25"/>
    <s v="Enterprise"/>
    <x v="2"/>
    <x v="15"/>
    <x v="5"/>
    <x v="339"/>
    <n v="28"/>
    <n v="28"/>
    <x v="339"/>
    <x v="339"/>
    <n v="1330.07"/>
    <n v="932.37907000000007"/>
    <x v="184"/>
    <x v="184"/>
    <n v="18300.736385960005"/>
    <n v="920.01638596000339"/>
    <n v="5.0272096518794919E-2"/>
    <s v="Jul-2023"/>
    <s v="Q3-2023"/>
    <s v="High Price"/>
    <x v="3"/>
    <x v="8"/>
    <x v="1"/>
  </r>
  <r>
    <x v="339"/>
    <x v="245"/>
    <d v="2023-08-19T00:00:00"/>
    <x v="0"/>
    <x v="0"/>
    <x v="0"/>
    <x v="2"/>
    <s v="Enterprise"/>
    <x v="3"/>
    <x v="12"/>
    <x v="6"/>
    <x v="340"/>
    <n v="24"/>
    <n v="24"/>
    <x v="340"/>
    <x v="340"/>
    <n v="1634.86"/>
    <n v="711.16410000000008"/>
    <x v="185"/>
    <x v="185"/>
    <n v="7424.5532040000016"/>
    <n v="-8450.2467959999994"/>
    <n v="0"/>
    <s v="Jul-2023"/>
    <s v="Q3-2023"/>
    <s v="High Price"/>
    <x v="3"/>
    <x v="8"/>
    <x v="1"/>
  </r>
  <r>
    <x v="340"/>
    <x v="290"/>
    <d v="2023-04-11T00:00:00"/>
    <x v="1"/>
    <x v="2"/>
    <x v="10"/>
    <x v="24"/>
    <s v="Education"/>
    <x v="2"/>
    <x v="3"/>
    <x v="2"/>
    <x v="341"/>
    <n v="22"/>
    <n v="22"/>
    <x v="341"/>
    <x v="341"/>
    <n v="70.599999999999994"/>
    <n v="50.690799999999996"/>
    <x v="186"/>
    <x v="186"/>
    <n v="800.7118767999998"/>
    <n v="94.511876799999754"/>
    <n v="0.11803481319361864"/>
    <s v="Apr-2023"/>
    <s v="Q2-2023"/>
    <s v="Low Price"/>
    <x v="2"/>
    <x v="7"/>
    <x v="1"/>
  </r>
  <r>
    <x v="341"/>
    <x v="291"/>
    <d v="2024-11-04T00:00:00"/>
    <x v="31"/>
    <x v="0"/>
    <x v="0"/>
    <x v="2"/>
    <s v="Corporate"/>
    <x v="3"/>
    <x v="12"/>
    <x v="1"/>
    <x v="342"/>
    <n v="11"/>
    <n v="11"/>
    <x v="342"/>
    <x v="342"/>
    <n v="1823.04"/>
    <n v="1823.04"/>
    <x v="5"/>
    <x v="5"/>
    <n v="20053.439999999999"/>
    <n v="11189.529999999999"/>
    <n v="0.55798556257679477"/>
    <s v="Oct-2024"/>
    <s v="Q4-2024"/>
    <s v="Medium Price"/>
    <x v="1"/>
    <x v="1"/>
    <x v="0"/>
  </r>
  <r>
    <x v="342"/>
    <x v="292"/>
    <d v="2024-03-04T00:00:00"/>
    <x v="12"/>
    <x v="1"/>
    <x v="4"/>
    <x v="18"/>
    <s v="Small Business"/>
    <x v="2"/>
    <x v="9"/>
    <x v="3"/>
    <x v="343"/>
    <n v="6"/>
    <n v="6"/>
    <x v="343"/>
    <x v="343"/>
    <n v="2015.99"/>
    <n v="1489.8166100000001"/>
    <x v="187"/>
    <x v="187"/>
    <n v="6605.8468487400005"/>
    <n v="-784.95315125999878"/>
    <n v="0"/>
    <s v="Feb-2024"/>
    <s v="Q1-2024"/>
    <s v="High Price"/>
    <x v="0"/>
    <x v="2"/>
    <x v="0"/>
  </r>
  <r>
    <x v="343"/>
    <x v="293"/>
    <d v="2024-07-12T00:00:00"/>
    <x v="1"/>
    <x v="1"/>
    <x v="2"/>
    <x v="32"/>
    <s v="Small Business"/>
    <x v="2"/>
    <x v="9"/>
    <x v="2"/>
    <x v="344"/>
    <n v="14"/>
    <n v="14"/>
    <x v="344"/>
    <x v="344"/>
    <n v="244.13"/>
    <n v="226.79677000000001"/>
    <x v="88"/>
    <x v="88"/>
    <n v="2949.7187906200006"/>
    <n v="1477.8987906200007"/>
    <n v="0.50103040171817925"/>
    <s v="Jul-2024"/>
    <s v="Q3-2024"/>
    <s v="Low Price"/>
    <x v="3"/>
    <x v="8"/>
    <x v="0"/>
  </r>
  <r>
    <x v="344"/>
    <x v="294"/>
    <d v="2023-12-18T00:00:00"/>
    <x v="13"/>
    <x v="1"/>
    <x v="2"/>
    <x v="32"/>
    <s v="Small Business"/>
    <x v="4"/>
    <x v="13"/>
    <x v="4"/>
    <x v="345"/>
    <n v="5"/>
    <n v="5"/>
    <x v="345"/>
    <x v="345"/>
    <n v="2783.12"/>
    <n v="2727.4575999999997"/>
    <x v="113"/>
    <x v="113"/>
    <n v="13364.542239999999"/>
    <n v="5885.592239999999"/>
    <n v="0.44038861446256311"/>
    <s v="Dec-2023"/>
    <s v="Q4-2023"/>
    <s v="Medium Price"/>
    <x v="1"/>
    <x v="3"/>
    <x v="1"/>
  </r>
  <r>
    <x v="345"/>
    <x v="19"/>
    <d v="2024-08-02T00:00:00"/>
    <x v="11"/>
    <x v="2"/>
    <x v="3"/>
    <x v="19"/>
    <s v="Consumer"/>
    <x v="4"/>
    <x v="1"/>
    <x v="6"/>
    <x v="346"/>
    <n v="43"/>
    <n v="43"/>
    <x v="346"/>
    <x v="346"/>
    <n v="2050.31"/>
    <n v="1839.12807"/>
    <x v="172"/>
    <x v="172"/>
    <n v="70937.00878797"/>
    <n v="28504.178787970006"/>
    <n v="0.40182380502071502"/>
    <s v="Jul-2024"/>
    <s v="Q3-2024"/>
    <s v="Medium Price"/>
    <x v="3"/>
    <x v="8"/>
    <x v="0"/>
  </r>
  <r>
    <x v="346"/>
    <x v="177"/>
    <d v="2023-05-16T00:00:00"/>
    <x v="7"/>
    <x v="0"/>
    <x v="1"/>
    <x v="7"/>
    <s v="Small Business"/>
    <x v="2"/>
    <x v="1"/>
    <x v="3"/>
    <x v="347"/>
    <n v="15"/>
    <n v="15"/>
    <x v="347"/>
    <x v="347"/>
    <n v="147.12"/>
    <n v="147.12"/>
    <x v="5"/>
    <x v="5"/>
    <n v="2206.8000000000002"/>
    <n v="1040.7000000000003"/>
    <n v="0.47158781946710177"/>
    <s v="May-2023"/>
    <s v="Q2-2023"/>
    <s v="Low Price"/>
    <x v="2"/>
    <x v="5"/>
    <x v="1"/>
  </r>
  <r>
    <x v="347"/>
    <x v="295"/>
    <d v="2024-01-06T00:00:00"/>
    <x v="12"/>
    <x v="0"/>
    <x v="1"/>
    <x v="35"/>
    <s v="Corporate"/>
    <x v="2"/>
    <x v="11"/>
    <x v="0"/>
    <x v="348"/>
    <n v="16"/>
    <n v="16"/>
    <x v="348"/>
    <x v="348"/>
    <n v="1982.98"/>
    <n v="1697.4308799999999"/>
    <x v="41"/>
    <x v="41"/>
    <n v="23248.013332479997"/>
    <n v="8326.253332479997"/>
    <n v="0.35814902604375737"/>
    <s v="Dec-2023"/>
    <s v="Q4-2023"/>
    <s v="Medium Price"/>
    <x v="1"/>
    <x v="3"/>
    <x v="1"/>
  </r>
  <r>
    <x v="348"/>
    <x v="296"/>
    <d v="2025-07-05T00:00:00"/>
    <x v="5"/>
    <x v="1"/>
    <x v="4"/>
    <x v="18"/>
    <s v="Consumer"/>
    <x v="2"/>
    <x v="4"/>
    <x v="4"/>
    <x v="349"/>
    <n v="6"/>
    <n v="6"/>
    <x v="349"/>
    <x v="349"/>
    <n v="2299.3000000000002"/>
    <n v="2039.4791000000002"/>
    <x v="139"/>
    <x v="139"/>
    <n v="10854.107770200002"/>
    <n v="4956.5277702000021"/>
    <n v="0.4566499499671608"/>
    <s v="Jun-2025"/>
    <s v="Q2-2025"/>
    <s v="Medium Price"/>
    <x v="2"/>
    <x v="9"/>
    <x v="2"/>
  </r>
  <r>
    <x v="349"/>
    <x v="29"/>
    <d v="2023-03-08T00:00:00"/>
    <x v="19"/>
    <x v="3"/>
    <x v="8"/>
    <x v="31"/>
    <s v="Small Business"/>
    <x v="4"/>
    <x v="0"/>
    <x v="1"/>
    <x v="350"/>
    <n v="11"/>
    <n v="11"/>
    <x v="350"/>
    <x v="350"/>
    <n v="462.61"/>
    <n v="375.63932000000005"/>
    <x v="70"/>
    <x v="70"/>
    <n v="3355.2104062400008"/>
    <n v="-25.85959375999937"/>
    <n v="0"/>
    <s v="Feb-2023"/>
    <s v="Q1-2023"/>
    <s v="Low Price"/>
    <x v="0"/>
    <x v="2"/>
    <x v="1"/>
  </r>
  <r>
    <x v="350"/>
    <x v="297"/>
    <d v="2023-12-16T00:00:00"/>
    <x v="16"/>
    <x v="3"/>
    <x v="6"/>
    <x v="37"/>
    <s v="Education"/>
    <x v="4"/>
    <x v="13"/>
    <x v="5"/>
    <x v="351"/>
    <n v="17"/>
    <n v="17"/>
    <x v="351"/>
    <x v="351"/>
    <n v="1093.3900000000001"/>
    <n v="969.83693000000005"/>
    <x v="139"/>
    <x v="139"/>
    <n v="14624.171067470001"/>
    <n v="-320.18893252999987"/>
    <n v="0"/>
    <s v="Dec-2023"/>
    <s v="Q4-2023"/>
    <s v="High Price"/>
    <x v="1"/>
    <x v="3"/>
    <x v="1"/>
  </r>
  <r>
    <x v="351"/>
    <x v="289"/>
    <d v="2023-07-14T00:00:00"/>
    <x v="18"/>
    <x v="0"/>
    <x v="1"/>
    <x v="3"/>
    <s v="Education"/>
    <x v="0"/>
    <x v="2"/>
    <x v="6"/>
    <x v="352"/>
    <n v="19"/>
    <n v="19"/>
    <x v="352"/>
    <x v="352"/>
    <n v="1454.22"/>
    <n v="1397.50542"/>
    <x v="188"/>
    <x v="188"/>
    <n v="25517.051463780001"/>
    <n v="7345.8314637799995"/>
    <n v="0.28787932156687412"/>
    <s v="Jul-2023"/>
    <s v="Q3-2023"/>
    <s v="High Price"/>
    <x v="3"/>
    <x v="8"/>
    <x v="1"/>
  </r>
  <r>
    <x v="352"/>
    <x v="298"/>
    <d v="2024-08-20T00:00:00"/>
    <x v="7"/>
    <x v="1"/>
    <x v="2"/>
    <x v="4"/>
    <s v="Small Business"/>
    <x v="0"/>
    <x v="10"/>
    <x v="2"/>
    <x v="353"/>
    <n v="20"/>
    <n v="20"/>
    <x v="353"/>
    <x v="353"/>
    <n v="2120.4"/>
    <n v="1740.8484000000001"/>
    <x v="94"/>
    <x v="94"/>
    <n v="28584.730727999999"/>
    <n v="3917.5307280000015"/>
    <n v="0.13704976846826156"/>
    <s v="Aug-2024"/>
    <s v="Q3-2024"/>
    <s v="Medium Price"/>
    <x v="3"/>
    <x v="11"/>
    <x v="0"/>
  </r>
  <r>
    <x v="353"/>
    <x v="299"/>
    <d v="2024-11-26T00:00:00"/>
    <x v="6"/>
    <x v="2"/>
    <x v="5"/>
    <x v="30"/>
    <s v="Non-Profit"/>
    <x v="3"/>
    <x v="1"/>
    <x v="1"/>
    <x v="354"/>
    <n v="10"/>
    <n v="10"/>
    <x v="354"/>
    <x v="354"/>
    <n v="128.68"/>
    <n v="112.20896"/>
    <x v="137"/>
    <x v="137"/>
    <n v="978.46213120000004"/>
    <n v="424.96213120000004"/>
    <n v="0.43431638041915877"/>
    <s v="Nov-2024"/>
    <s v="Q4-2024"/>
    <s v="Low Price"/>
    <x v="1"/>
    <x v="10"/>
    <x v="0"/>
  </r>
  <r>
    <x v="354"/>
    <x v="300"/>
    <d v="2024-01-27T00:00:00"/>
    <x v="0"/>
    <x v="3"/>
    <x v="8"/>
    <x v="31"/>
    <s v="Education"/>
    <x v="3"/>
    <x v="14"/>
    <x v="6"/>
    <x v="355"/>
    <n v="21"/>
    <n v="21"/>
    <x v="355"/>
    <x v="355"/>
    <n v="1325.96"/>
    <n v="1104.52468"/>
    <x v="150"/>
    <x v="150"/>
    <n v="19321.450227239999"/>
    <n v="5515.0002272399979"/>
    <n v="0.28543407261763271"/>
    <s v="Jan-2024"/>
    <s v="Q1-2024"/>
    <s v="High Price"/>
    <x v="0"/>
    <x v="4"/>
    <x v="0"/>
  </r>
  <r>
    <x v="355"/>
    <x v="301"/>
    <d v="2025-09-11T00:00:00"/>
    <x v="28"/>
    <x v="2"/>
    <x v="5"/>
    <x v="8"/>
    <s v="Non-Profit"/>
    <x v="4"/>
    <x v="9"/>
    <x v="1"/>
    <x v="356"/>
    <n v="18"/>
    <n v="18"/>
    <x v="356"/>
    <x v="356"/>
    <n v="2439.33"/>
    <n v="2439.33"/>
    <x v="5"/>
    <x v="5"/>
    <n v="43907.94"/>
    <n v="22253.58"/>
    <n v="0.50682359500354612"/>
    <s v="Aug-2025"/>
    <s v="Q3-2025"/>
    <s v="Medium Price"/>
    <x v="3"/>
    <x v="11"/>
    <x v="2"/>
  </r>
  <r>
    <x v="356"/>
    <x v="149"/>
    <d v="2024-04-21T00:00:00"/>
    <x v="5"/>
    <x v="2"/>
    <x v="5"/>
    <x v="10"/>
    <s v="Small Business"/>
    <x v="3"/>
    <x v="5"/>
    <x v="2"/>
    <x v="357"/>
    <n v="27"/>
    <n v="27"/>
    <x v="357"/>
    <x v="357"/>
    <n v="2201.54"/>
    <n v="1827.2782"/>
    <x v="189"/>
    <x v="189"/>
    <n v="40949.304461999993"/>
    <n v="9178.6744619999918"/>
    <n v="0.22414726165904941"/>
    <s v="Apr-2024"/>
    <s v="Q2-2024"/>
    <s v="Medium Price"/>
    <x v="2"/>
    <x v="7"/>
    <x v="0"/>
  </r>
  <r>
    <x v="357"/>
    <x v="302"/>
    <d v="2024-12-07T00:00:00"/>
    <x v="7"/>
    <x v="1"/>
    <x v="9"/>
    <x v="23"/>
    <s v="Corporate"/>
    <x v="3"/>
    <x v="8"/>
    <x v="6"/>
    <x v="358"/>
    <n v="5"/>
    <n v="5"/>
    <x v="358"/>
    <x v="358"/>
    <n v="814.36"/>
    <n v="814.36"/>
    <x v="5"/>
    <x v="5"/>
    <n v="4071.8"/>
    <n v="222.30000000000018"/>
    <n v="5.4595019401738831E-2"/>
    <s v="Nov-2024"/>
    <s v="Q4-2024"/>
    <s v="High Price"/>
    <x v="1"/>
    <x v="10"/>
    <x v="0"/>
  </r>
  <r>
    <x v="358"/>
    <x v="303"/>
    <d v="2024-02-03T00:00:00"/>
    <x v="12"/>
    <x v="0"/>
    <x v="11"/>
    <x v="33"/>
    <s v="Non-Profit"/>
    <x v="3"/>
    <x v="4"/>
    <x v="1"/>
    <x v="359"/>
    <n v="13"/>
    <n v="13"/>
    <x v="359"/>
    <x v="359"/>
    <n v="1382.91"/>
    <n v="1139.5178400000002"/>
    <x v="166"/>
    <x v="166"/>
    <n v="12206.515102080004"/>
    <n v="3545.5251020800042"/>
    <n v="0.29046169790719734"/>
    <s v="Jan-2024"/>
    <s v="Q1-2024"/>
    <s v="High Price"/>
    <x v="0"/>
    <x v="4"/>
    <x v="0"/>
  </r>
  <r>
    <x v="359"/>
    <x v="304"/>
    <d v="2024-06-25T00:00:00"/>
    <x v="25"/>
    <x v="3"/>
    <x v="8"/>
    <x v="12"/>
    <s v="Small Business"/>
    <x v="2"/>
    <x v="4"/>
    <x v="6"/>
    <x v="360"/>
    <n v="24"/>
    <n v="24"/>
    <x v="360"/>
    <x v="360"/>
    <n v="1646.43"/>
    <n v="1465.3227000000002"/>
    <x v="46"/>
    <x v="46"/>
    <n v="31299.292872000005"/>
    <n v="8464.7328720000041"/>
    <n v="0.27044485978060095"/>
    <s v="Jun-2024"/>
    <s v="Q2-2024"/>
    <s v="High Price"/>
    <x v="2"/>
    <x v="9"/>
    <x v="0"/>
  </r>
  <r>
    <x v="360"/>
    <x v="305"/>
    <d v="2025-07-10T00:00:00"/>
    <x v="14"/>
    <x v="3"/>
    <x v="8"/>
    <x v="12"/>
    <s v="Non-Profit"/>
    <x v="2"/>
    <x v="14"/>
    <x v="3"/>
    <x v="361"/>
    <n v="13"/>
    <n v="13"/>
    <x v="361"/>
    <x v="361"/>
    <n v="400.84"/>
    <n v="369.57447999999999"/>
    <x v="117"/>
    <x v="117"/>
    <n v="4429.7197172800006"/>
    <n v="-2679.0702827200003"/>
    <n v="0"/>
    <s v="Jun-2025"/>
    <s v="Q2-2025"/>
    <s v="Low Price"/>
    <x v="2"/>
    <x v="9"/>
    <x v="2"/>
  </r>
  <r>
    <x v="361"/>
    <x v="306"/>
    <d v="2023-07-08T00:00:00"/>
    <x v="20"/>
    <x v="0"/>
    <x v="1"/>
    <x v="1"/>
    <s v="Corporate"/>
    <x v="0"/>
    <x v="8"/>
    <x v="4"/>
    <x v="362"/>
    <n v="47"/>
    <n v="47"/>
    <x v="362"/>
    <x v="362"/>
    <n v="1780.56"/>
    <n v="1755.6321599999999"/>
    <x v="170"/>
    <x v="170"/>
    <n v="81359.505558719989"/>
    <n v="42149.285558719988"/>
    <n v="0.51806221374218386"/>
    <s v="Jul-2023"/>
    <s v="Q3-2023"/>
    <s v="Medium Price"/>
    <x v="3"/>
    <x v="8"/>
    <x v="1"/>
  </r>
  <r>
    <x v="362"/>
    <x v="307"/>
    <d v="2024-03-26T00:00:00"/>
    <x v="13"/>
    <x v="1"/>
    <x v="9"/>
    <x v="14"/>
    <s v="Enterprise"/>
    <x v="1"/>
    <x v="11"/>
    <x v="5"/>
    <x v="363"/>
    <n v="9"/>
    <n v="9"/>
    <x v="363"/>
    <x v="363"/>
    <n v="1118.43"/>
    <n v="814.21704"/>
    <x v="190"/>
    <x v="190"/>
    <n v="5334.7500460800002"/>
    <n v="-3932.2799539200005"/>
    <n v="0"/>
    <s v="Mar-2024"/>
    <s v="Q1-2024"/>
    <s v="High Price"/>
    <x v="0"/>
    <x v="0"/>
    <x v="0"/>
  </r>
  <r>
    <x v="363"/>
    <x v="308"/>
    <d v="2023-06-28T00:00:00"/>
    <x v="21"/>
    <x v="3"/>
    <x v="8"/>
    <x v="12"/>
    <s v="Corporate"/>
    <x v="4"/>
    <x v="11"/>
    <x v="1"/>
    <x v="364"/>
    <n v="19"/>
    <n v="19"/>
    <x v="364"/>
    <x v="364"/>
    <n v="771.12"/>
    <n v="669.33216000000004"/>
    <x v="191"/>
    <x v="191"/>
    <n v="11038.625982720001"/>
    <n v="-471.9540172800007"/>
    <n v="0"/>
    <s v="Jun-2023"/>
    <s v="Q2-2023"/>
    <s v="High Price"/>
    <x v="2"/>
    <x v="9"/>
    <x v="1"/>
  </r>
  <r>
    <x v="364"/>
    <x v="309"/>
    <d v="2025-04-09T00:00:00"/>
    <x v="6"/>
    <x v="1"/>
    <x v="2"/>
    <x v="27"/>
    <s v="Small Business"/>
    <x v="3"/>
    <x v="6"/>
    <x v="0"/>
    <x v="365"/>
    <n v="18"/>
    <n v="18"/>
    <x v="365"/>
    <x v="365"/>
    <n v="1210.04"/>
    <n v="1199.1496399999999"/>
    <x v="99"/>
    <x v="99"/>
    <n v="21390.431278319997"/>
    <n v="2392.3312783199945"/>
    <n v="0.11184118951097129"/>
    <s v="Mar-2025"/>
    <s v="Q1-2025"/>
    <s v="High Price"/>
    <x v="0"/>
    <x v="0"/>
    <x v="2"/>
  </r>
  <r>
    <x v="365"/>
    <x v="101"/>
    <d v="2024-06-15T00:00:00"/>
    <x v="19"/>
    <x v="0"/>
    <x v="0"/>
    <x v="13"/>
    <s v="Education"/>
    <x v="1"/>
    <x v="7"/>
    <x v="3"/>
    <x v="366"/>
    <n v="8"/>
    <n v="8"/>
    <x v="366"/>
    <x v="366"/>
    <n v="3024.03"/>
    <n v="2443.4162400000005"/>
    <x v="98"/>
    <x v="98"/>
    <n v="15794.242575360004"/>
    <n v="5432.8025753600032"/>
    <n v="0.34397360616934625"/>
    <s v="Jun-2024"/>
    <s v="Q2-2024"/>
    <s v="Medium Price"/>
    <x v="2"/>
    <x v="9"/>
    <x v="0"/>
  </r>
  <r>
    <x v="366"/>
    <x v="310"/>
    <d v="2025-03-29T00:00:00"/>
    <x v="16"/>
    <x v="1"/>
    <x v="4"/>
    <x v="29"/>
    <s v="Enterprise"/>
    <x v="4"/>
    <x v="0"/>
    <x v="0"/>
    <x v="367"/>
    <n v="9"/>
    <n v="9"/>
    <x v="367"/>
    <x v="367"/>
    <n v="2303.46"/>
    <n v="2061.5967000000001"/>
    <x v="52"/>
    <x v="52"/>
    <n v="16606.1614185"/>
    <n v="8183.6914184999987"/>
    <n v="0.49281054256060669"/>
    <s v="Mar-2025"/>
    <s v="Q1-2025"/>
    <s v="Medium Price"/>
    <x v="0"/>
    <x v="0"/>
    <x v="2"/>
  </r>
  <r>
    <x v="367"/>
    <x v="199"/>
    <d v="2023-10-09T00:00:00"/>
    <x v="16"/>
    <x v="2"/>
    <x v="10"/>
    <x v="39"/>
    <s v="Small Business"/>
    <x v="2"/>
    <x v="1"/>
    <x v="4"/>
    <x v="368"/>
    <n v="5"/>
    <n v="5"/>
    <x v="368"/>
    <x v="368"/>
    <n v="3083.8"/>
    <n v="2756.9172000000003"/>
    <x v="192"/>
    <x v="192"/>
    <n v="12323.419884000003"/>
    <n v="5925.6198840000034"/>
    <n v="0.4808421639267097"/>
    <s v="Sep-2023"/>
    <s v="Q3-2023"/>
    <s v="Medium Price"/>
    <x v="3"/>
    <x v="6"/>
    <x v="1"/>
  </r>
  <r>
    <x v="368"/>
    <x v="35"/>
    <d v="2025-07-23T00:00:00"/>
    <x v="10"/>
    <x v="2"/>
    <x v="3"/>
    <x v="26"/>
    <s v="Non-Profit"/>
    <x v="2"/>
    <x v="2"/>
    <x v="1"/>
    <x v="369"/>
    <n v="16"/>
    <n v="16"/>
    <x v="369"/>
    <x v="369"/>
    <n v="322.70999999999998"/>
    <n v="285.59834999999998"/>
    <x v="158"/>
    <x v="158"/>
    <n v="4044.0726359999999"/>
    <n v="-42.327364000000216"/>
    <n v="0"/>
    <s v="Jun-2025"/>
    <s v="Q2-2025"/>
    <s v="Low Price"/>
    <x v="2"/>
    <x v="9"/>
    <x v="2"/>
  </r>
  <r>
    <x v="369"/>
    <x v="311"/>
    <d v="2024-01-03T00:00:00"/>
    <x v="11"/>
    <x v="3"/>
    <x v="7"/>
    <x v="17"/>
    <s v="Small Business"/>
    <x v="0"/>
    <x v="12"/>
    <x v="4"/>
    <x v="370"/>
    <n v="6"/>
    <n v="6"/>
    <x v="370"/>
    <x v="370"/>
    <n v="731.29"/>
    <n v="688.87517999999989"/>
    <x v="193"/>
    <x v="193"/>
    <n v="3893.5225173599993"/>
    <n v="937.02251735999926"/>
    <n v="0.24066189759584256"/>
    <s v="Dec-2023"/>
    <s v="Q4-2023"/>
    <s v="High Price"/>
    <x v="1"/>
    <x v="3"/>
    <x v="1"/>
  </r>
  <r>
    <x v="370"/>
    <x v="312"/>
    <d v="2023-02-28T00:00:00"/>
    <x v="21"/>
    <x v="2"/>
    <x v="10"/>
    <x v="36"/>
    <s v="Non-Profit"/>
    <x v="3"/>
    <x v="4"/>
    <x v="3"/>
    <x v="371"/>
    <n v="11"/>
    <n v="11"/>
    <x v="371"/>
    <x v="371"/>
    <n v="1533.95"/>
    <n v="1533.95"/>
    <x v="5"/>
    <x v="5"/>
    <n v="16873.45"/>
    <n v="3514.0600000000013"/>
    <n v="0.20825972163369086"/>
    <s v="Feb-2023"/>
    <s v="Q1-2023"/>
    <s v="High Price"/>
    <x v="0"/>
    <x v="2"/>
    <x v="1"/>
  </r>
  <r>
    <x v="371"/>
    <x v="89"/>
    <d v="2023-04-08T00:00:00"/>
    <x v="25"/>
    <x v="0"/>
    <x v="1"/>
    <x v="7"/>
    <s v="Small Business"/>
    <x v="2"/>
    <x v="11"/>
    <x v="5"/>
    <x v="372"/>
    <n v="23"/>
    <n v="23"/>
    <x v="372"/>
    <x v="372"/>
    <n v="1571.66"/>
    <n v="1403.4923800000001"/>
    <x v="105"/>
    <x v="105"/>
    <n v="28826.329992820003"/>
    <n v="12258.279992820004"/>
    <n v="0.42524594687819323"/>
    <s v="Apr-2023"/>
    <s v="Q2-2023"/>
    <s v="High Price"/>
    <x v="2"/>
    <x v="7"/>
    <x v="1"/>
  </r>
  <r>
    <x v="372"/>
    <x v="254"/>
    <d v="2025-04-10T00:00:00"/>
    <x v="31"/>
    <x v="3"/>
    <x v="8"/>
    <x v="12"/>
    <s v="Non-Profit"/>
    <x v="4"/>
    <x v="13"/>
    <x v="1"/>
    <x v="373"/>
    <n v="17"/>
    <n v="17"/>
    <x v="373"/>
    <x v="373"/>
    <n v="250.73"/>
    <n v="242.20517999999998"/>
    <x v="76"/>
    <x v="76"/>
    <n v="3977.4934659599999"/>
    <n v="-954.88653404000024"/>
    <n v="0"/>
    <s v="Apr-2025"/>
    <s v="Q2-2025"/>
    <s v="Low Price"/>
    <x v="2"/>
    <x v="7"/>
    <x v="2"/>
  </r>
  <r>
    <x v="373"/>
    <x v="313"/>
    <d v="2024-05-27T00:00:00"/>
    <x v="24"/>
    <x v="2"/>
    <x v="10"/>
    <x v="36"/>
    <s v="Non-Profit"/>
    <x v="1"/>
    <x v="0"/>
    <x v="3"/>
    <x v="374"/>
    <n v="12"/>
    <n v="12"/>
    <x v="374"/>
    <x v="374"/>
    <n v="3472.81"/>
    <n v="2583.7706399999997"/>
    <x v="194"/>
    <x v="194"/>
    <n v="23067.904273919998"/>
    <n v="5257.1442739199956"/>
    <n v="0.22789865136832535"/>
    <s v="May-2024"/>
    <s v="Q2-2024"/>
    <s v="Medium Price"/>
    <x v="2"/>
    <x v="5"/>
    <x v="0"/>
  </r>
  <r>
    <x v="374"/>
    <x v="314"/>
    <d v="2024-03-19T00:00:00"/>
    <x v="12"/>
    <x v="1"/>
    <x v="9"/>
    <x v="38"/>
    <s v="Consumer"/>
    <x v="3"/>
    <x v="3"/>
    <x v="3"/>
    <x v="375"/>
    <n v="34"/>
    <n v="34"/>
    <x v="375"/>
    <x v="375"/>
    <n v="1206.04"/>
    <n v="1130.0594800000001"/>
    <x v="96"/>
    <x v="96"/>
    <n v="36001.434913840007"/>
    <n v="2381.2149138400055"/>
    <n v="6.6142222373603135E-2"/>
    <s v="Mar-2024"/>
    <s v="Q1-2024"/>
    <s v="High Price"/>
    <x v="0"/>
    <x v="0"/>
    <x v="0"/>
  </r>
  <r>
    <x v="375"/>
    <x v="232"/>
    <d v="2025-07-11T00:00:00"/>
    <x v="16"/>
    <x v="1"/>
    <x v="9"/>
    <x v="23"/>
    <s v="Small Business"/>
    <x v="2"/>
    <x v="4"/>
    <x v="2"/>
    <x v="376"/>
    <n v="22"/>
    <n v="22"/>
    <x v="376"/>
    <x v="376"/>
    <n v="2197.23"/>
    <n v="1979.7042300000001"/>
    <x v="74"/>
    <x v="74"/>
    <n v="39241.697247060001"/>
    <n v="12232.29724706"/>
    <n v="0.31171682432712428"/>
    <s v="Jun-2025"/>
    <s v="Q2-2025"/>
    <s v="Medium Price"/>
    <x v="2"/>
    <x v="9"/>
    <x v="2"/>
  </r>
  <r>
    <x v="376"/>
    <x v="315"/>
    <d v="2023-04-04T00:00:00"/>
    <x v="22"/>
    <x v="0"/>
    <x v="11"/>
    <x v="25"/>
    <s v="Small Business"/>
    <x v="0"/>
    <x v="8"/>
    <x v="0"/>
    <x v="377"/>
    <n v="11"/>
    <n v="11"/>
    <x v="377"/>
    <x v="377"/>
    <n v="1620.6"/>
    <n v="1395.3365999999999"/>
    <x v="23"/>
    <x v="23"/>
    <n v="13215.232938599998"/>
    <n v="964.53293859999758"/>
    <n v="7.2986450036966105E-2"/>
    <s v="Mar-2023"/>
    <s v="Q1-2023"/>
    <s v="High Price"/>
    <x v="0"/>
    <x v="0"/>
    <x v="1"/>
  </r>
  <r>
    <x v="377"/>
    <x v="316"/>
    <d v="2025-01-20T00:00:00"/>
    <x v="19"/>
    <x v="0"/>
    <x v="11"/>
    <x v="33"/>
    <s v="Corporate"/>
    <x v="4"/>
    <x v="11"/>
    <x v="2"/>
    <x v="378"/>
    <n v="7"/>
    <n v="7"/>
    <x v="378"/>
    <x v="378"/>
    <n v="1034.6600000000001"/>
    <n v="939.47128000000009"/>
    <x v="77"/>
    <x v="77"/>
    <n v="5971.2794556800009"/>
    <n v="2946.369455680001"/>
    <n v="0.49342347440754181"/>
    <s v="Jan-2025"/>
    <s v="Q1-2025"/>
    <s v="High Price"/>
    <x v="0"/>
    <x v="4"/>
    <x v="2"/>
  </r>
  <r>
    <x v="378"/>
    <x v="317"/>
    <d v="2025-02-15T00:00:00"/>
    <x v="27"/>
    <x v="2"/>
    <x v="5"/>
    <x v="8"/>
    <s v="Non-Profit"/>
    <x v="3"/>
    <x v="9"/>
    <x v="2"/>
    <x v="379"/>
    <n v="18"/>
    <n v="18"/>
    <x v="379"/>
    <x v="379"/>
    <n v="1905.42"/>
    <n v="1844.4465600000001"/>
    <x v="195"/>
    <x v="195"/>
    <n v="32137.636861440002"/>
    <n v="17064.616861440001"/>
    <n v="0.53098542792717895"/>
    <s v="Feb-2025"/>
    <s v="Q1-2025"/>
    <s v="Medium Price"/>
    <x v="0"/>
    <x v="2"/>
    <x v="2"/>
  </r>
  <r>
    <x v="379"/>
    <x v="318"/>
    <d v="2025-02-17T00:00:00"/>
    <x v="13"/>
    <x v="3"/>
    <x v="8"/>
    <x v="21"/>
    <s v="Enterprise"/>
    <x v="0"/>
    <x v="10"/>
    <x v="0"/>
    <x v="78"/>
    <n v="25"/>
    <n v="25"/>
    <x v="380"/>
    <x v="380"/>
    <n v="541.55999999999995"/>
    <n v="453.28571999999991"/>
    <x v="196"/>
    <x v="196"/>
    <n v="9485.0036909999981"/>
    <n v="28.503690999998071"/>
    <n v="3.0051323044865304E-3"/>
    <s v="Jan-2025"/>
    <s v="Q1-2025"/>
    <s v="Low Price"/>
    <x v="0"/>
    <x v="4"/>
    <x v="2"/>
  </r>
  <r>
    <x v="380"/>
    <x v="83"/>
    <d v="2025-09-06T00:00:00"/>
    <x v="17"/>
    <x v="2"/>
    <x v="3"/>
    <x v="19"/>
    <s v="Education"/>
    <x v="4"/>
    <x v="12"/>
    <x v="2"/>
    <x v="380"/>
    <n v="14"/>
    <n v="14"/>
    <x v="381"/>
    <x v="381"/>
    <n v="1116.5999999999999"/>
    <n v="920.07839999999999"/>
    <x v="166"/>
    <x v="166"/>
    <n v="10614.024422400002"/>
    <n v="-1058.1955775999995"/>
    <n v="0"/>
    <s v="Aug-2025"/>
    <s v="Q3-2025"/>
    <s v="High Price"/>
    <x v="3"/>
    <x v="11"/>
    <x v="2"/>
  </r>
  <r>
    <x v="381"/>
    <x v="319"/>
    <d v="2025-08-17T00:00:00"/>
    <x v="2"/>
    <x v="3"/>
    <x v="8"/>
    <x v="12"/>
    <s v="Education"/>
    <x v="1"/>
    <x v="2"/>
    <x v="1"/>
    <x v="381"/>
    <n v="28"/>
    <n v="28"/>
    <x v="382"/>
    <x v="382"/>
    <n v="1455"/>
    <n v="1341.51"/>
    <x v="117"/>
    <x v="117"/>
    <n v="34632.422160000002"/>
    <n v="2654.7421600000016"/>
    <n v="7.6654822112505724E-2"/>
    <s v="Jul-2025"/>
    <s v="Q3-2025"/>
    <s v="High Price"/>
    <x v="3"/>
    <x v="8"/>
    <x v="2"/>
  </r>
  <r>
    <x v="382"/>
    <x v="264"/>
    <d v="2023-07-08T00:00:00"/>
    <x v="5"/>
    <x v="2"/>
    <x v="10"/>
    <x v="39"/>
    <s v="Consumer"/>
    <x v="2"/>
    <x v="7"/>
    <x v="2"/>
    <x v="382"/>
    <n v="41"/>
    <n v="41"/>
    <x v="383"/>
    <x v="383"/>
    <n v="1278.3"/>
    <n v="1163.2529999999999"/>
    <x v="168"/>
    <x v="168"/>
    <n v="43400.969430000005"/>
    <n v="-3565.7605699999913"/>
    <n v="0"/>
    <s v="Jun-2023"/>
    <s v="Q2-2023"/>
    <s v="High Price"/>
    <x v="2"/>
    <x v="9"/>
    <x v="1"/>
  </r>
  <r>
    <x v="383"/>
    <x v="320"/>
    <d v="2024-08-07T00:00:00"/>
    <x v="8"/>
    <x v="3"/>
    <x v="7"/>
    <x v="11"/>
    <s v="Corporate"/>
    <x v="0"/>
    <x v="9"/>
    <x v="5"/>
    <x v="383"/>
    <n v="18"/>
    <n v="18"/>
    <x v="384"/>
    <x v="384"/>
    <n v="899.83"/>
    <n v="847.63986"/>
    <x v="193"/>
    <x v="193"/>
    <n v="14372.581466159998"/>
    <n v="-2571.7185338400013"/>
    <n v="0"/>
    <s v="Jul-2024"/>
    <s v="Q3-2024"/>
    <s v="High Price"/>
    <x v="3"/>
    <x v="8"/>
    <x v="0"/>
  </r>
  <r>
    <x v="384"/>
    <x v="72"/>
    <d v="2023-06-19T00:00:00"/>
    <x v="17"/>
    <x v="1"/>
    <x v="4"/>
    <x v="18"/>
    <s v="Non-Profit"/>
    <x v="2"/>
    <x v="10"/>
    <x v="4"/>
    <x v="384"/>
    <n v="31"/>
    <n v="31"/>
    <x v="385"/>
    <x v="385"/>
    <n v="878.73"/>
    <n v="711.77130000000011"/>
    <x v="197"/>
    <x v="197"/>
    <n v="17872.577343000004"/>
    <n v="-18124.622657"/>
    <n v="0"/>
    <s v="May-2023"/>
    <s v="Q2-2023"/>
    <s v="High Price"/>
    <x v="2"/>
    <x v="5"/>
    <x v="1"/>
  </r>
  <r>
    <x v="385"/>
    <x v="321"/>
    <d v="2025-05-26T00:00:00"/>
    <x v="16"/>
    <x v="1"/>
    <x v="4"/>
    <x v="34"/>
    <s v="Corporate"/>
    <x v="2"/>
    <x v="3"/>
    <x v="1"/>
    <x v="385"/>
    <n v="18"/>
    <n v="18"/>
    <x v="386"/>
    <x v="386"/>
    <n v="594.41999999999996"/>
    <n v="532.60032000000001"/>
    <x v="67"/>
    <x v="67"/>
    <n v="8589.7779609600002"/>
    <n v="2827.6179609600003"/>
    <n v="0.32918405735414186"/>
    <s v="May-2025"/>
    <s v="Q2-2025"/>
    <s v="High Price"/>
    <x v="2"/>
    <x v="5"/>
    <x v="2"/>
  </r>
  <r>
    <x v="386"/>
    <x v="322"/>
    <d v="2024-05-12T00:00:00"/>
    <x v="15"/>
    <x v="0"/>
    <x v="1"/>
    <x v="7"/>
    <s v="Non-Profit"/>
    <x v="3"/>
    <x v="4"/>
    <x v="4"/>
    <x v="386"/>
    <n v="14"/>
    <n v="14"/>
    <x v="387"/>
    <x v="387"/>
    <n v="1617.85"/>
    <n v="1412.3830499999999"/>
    <x v="110"/>
    <x v="110"/>
    <n v="17262.145637099999"/>
    <n v="966.28563709999798"/>
    <n v="5.5977145449592661E-2"/>
    <s v="May-2024"/>
    <s v="Q2-2024"/>
    <s v="High Price"/>
    <x v="2"/>
    <x v="5"/>
    <x v="0"/>
  </r>
  <r>
    <x v="387"/>
    <x v="323"/>
    <d v="2023-10-03T00:00:00"/>
    <x v="4"/>
    <x v="1"/>
    <x v="9"/>
    <x v="38"/>
    <s v="Non-Profit"/>
    <x v="0"/>
    <x v="1"/>
    <x v="4"/>
    <x v="387"/>
    <n v="17"/>
    <n v="17"/>
    <x v="388"/>
    <x v="388"/>
    <n v="972.91"/>
    <n v="829.89222999999993"/>
    <x v="6"/>
    <x v="6"/>
    <n v="12034.267227229999"/>
    <n v="-5294.8527727700002"/>
    <n v="0"/>
    <s v="Sep-2023"/>
    <s v="Q3-2023"/>
    <s v="High Price"/>
    <x v="3"/>
    <x v="6"/>
    <x v="1"/>
  </r>
  <r>
    <x v="388"/>
    <x v="324"/>
    <d v="2023-11-05T00:00:00"/>
    <x v="24"/>
    <x v="0"/>
    <x v="11"/>
    <x v="33"/>
    <s v="Non-Profit"/>
    <x v="1"/>
    <x v="2"/>
    <x v="4"/>
    <x v="388"/>
    <n v="11"/>
    <n v="11"/>
    <x v="389"/>
    <x v="389"/>
    <n v="42.56"/>
    <n v="39.495680000000007"/>
    <x v="3"/>
    <x v="3"/>
    <n v="403.17190144000006"/>
    <n v="178.99190144000008"/>
    <n v="0.44395926601208741"/>
    <s v="Oct-2023"/>
    <s v="Q4-2023"/>
    <s v="Low Price"/>
    <x v="1"/>
    <x v="1"/>
    <x v="1"/>
  </r>
  <r>
    <x v="389"/>
    <x v="325"/>
    <d v="2025-06-30T00:00:00"/>
    <x v="14"/>
    <x v="0"/>
    <x v="11"/>
    <x v="20"/>
    <s v="Small Business"/>
    <x v="4"/>
    <x v="0"/>
    <x v="5"/>
    <x v="389"/>
    <n v="11"/>
    <n v="11"/>
    <x v="390"/>
    <x v="390"/>
    <n v="1480.83"/>
    <n v="1467.50253"/>
    <x v="99"/>
    <x v="99"/>
    <n v="15997.245079529999"/>
    <n v="-366.24492047000058"/>
    <n v="0"/>
    <s v="Jun-2025"/>
    <s v="Q2-2025"/>
    <s v="High Price"/>
    <x v="2"/>
    <x v="9"/>
    <x v="2"/>
  </r>
  <r>
    <x v="390"/>
    <x v="326"/>
    <d v="2024-09-07T00:00:00"/>
    <x v="28"/>
    <x v="3"/>
    <x v="7"/>
    <x v="11"/>
    <s v="Non-Profit"/>
    <x v="4"/>
    <x v="9"/>
    <x v="1"/>
    <x v="390"/>
    <n v="5"/>
    <n v="5"/>
    <x v="391"/>
    <x v="391"/>
    <n v="564.26"/>
    <n v="505.0127"/>
    <x v="52"/>
    <x v="52"/>
    <n v="2259.9318325000004"/>
    <n v="1110.1318325000004"/>
    <n v="0.49122359202841143"/>
    <s v="Aug-2024"/>
    <s v="Q3-2024"/>
    <s v="Low Price"/>
    <x v="3"/>
    <x v="11"/>
    <x v="0"/>
  </r>
  <r>
    <x v="391"/>
    <x v="327"/>
    <d v="2023-10-26T00:00:00"/>
    <x v="13"/>
    <x v="1"/>
    <x v="9"/>
    <x v="23"/>
    <s v="Consumer"/>
    <x v="2"/>
    <x v="0"/>
    <x v="0"/>
    <x v="391"/>
    <n v="35"/>
    <n v="35"/>
    <x v="392"/>
    <x v="392"/>
    <n v="2137.21"/>
    <n v="1374.22603"/>
    <x v="198"/>
    <x v="198"/>
    <n v="30926.956805149999"/>
    <n v="-8694.0931948499965"/>
    <n v="0"/>
    <s v="Oct-2023"/>
    <s v="Q4-2023"/>
    <s v="High Price"/>
    <x v="1"/>
    <x v="1"/>
    <x v="1"/>
  </r>
  <r>
    <x v="392"/>
    <x v="307"/>
    <d v="2024-03-26T00:00:00"/>
    <x v="13"/>
    <x v="2"/>
    <x v="10"/>
    <x v="24"/>
    <s v="Education"/>
    <x v="4"/>
    <x v="2"/>
    <x v="3"/>
    <x v="392"/>
    <n v="9"/>
    <n v="9"/>
    <x v="393"/>
    <x v="393"/>
    <n v="1680.93"/>
    <n v="1253.97378"/>
    <x v="116"/>
    <x v="116"/>
    <n v="8419.17995892"/>
    <n v="-1817.5100410800005"/>
    <n v="0"/>
    <s v="Mar-2024"/>
    <s v="Q1-2024"/>
    <s v="High Price"/>
    <x v="0"/>
    <x v="0"/>
    <x v="0"/>
  </r>
  <r>
    <x v="393"/>
    <x v="328"/>
    <d v="2023-06-20T00:00:00"/>
    <x v="22"/>
    <x v="3"/>
    <x v="8"/>
    <x v="21"/>
    <s v="Small Business"/>
    <x v="4"/>
    <x v="11"/>
    <x v="0"/>
    <x v="393"/>
    <n v="8"/>
    <n v="8"/>
    <x v="394"/>
    <x v="394"/>
    <n v="2905.06"/>
    <n v="2475.11112"/>
    <x v="135"/>
    <x v="135"/>
    <n v="16870.35739392"/>
    <n v="6507.2373939199988"/>
    <n v="0.38572018612155651"/>
    <s v="May-2023"/>
    <s v="Q2-2023"/>
    <s v="Medium Price"/>
    <x v="2"/>
    <x v="5"/>
    <x v="1"/>
  </r>
  <r>
    <x v="394"/>
    <x v="329"/>
    <d v="2025-06-08T00:00:00"/>
    <x v="7"/>
    <x v="1"/>
    <x v="2"/>
    <x v="4"/>
    <s v="Corporate"/>
    <x v="0"/>
    <x v="10"/>
    <x v="6"/>
    <x v="394"/>
    <n v="19"/>
    <n v="19"/>
    <x v="395"/>
    <x v="395"/>
    <n v="842.09"/>
    <n v="759.56518000000005"/>
    <x v="199"/>
    <x v="199"/>
    <n v="13017.428054840002"/>
    <n v="599.02805484000237"/>
    <n v="4.6017389327324E-2"/>
    <s v="May-2025"/>
    <s v="Q2-2025"/>
    <s v="High Price"/>
    <x v="2"/>
    <x v="5"/>
    <x v="2"/>
  </r>
  <r>
    <x v="395"/>
    <x v="164"/>
    <d v="2025-09-14T00:00:00"/>
    <x v="9"/>
    <x v="3"/>
    <x v="6"/>
    <x v="9"/>
    <s v="Non-Profit"/>
    <x v="1"/>
    <x v="8"/>
    <x v="5"/>
    <x v="395"/>
    <n v="20"/>
    <n v="20"/>
    <x v="396"/>
    <x v="396"/>
    <n v="3131.37"/>
    <n v="2808.83889"/>
    <x v="172"/>
    <x v="172"/>
    <n v="50390.5696866"/>
    <n v="22437.169686599998"/>
    <n v="0.44526525153706592"/>
    <s v="Aug-2025"/>
    <s v="Q3-2025"/>
    <s v="Medium Price"/>
    <x v="3"/>
    <x v="11"/>
    <x v="2"/>
  </r>
  <r>
    <x v="396"/>
    <x v="330"/>
    <d v="2024-12-20T00:00:00"/>
    <x v="11"/>
    <x v="1"/>
    <x v="2"/>
    <x v="27"/>
    <s v="Corporate"/>
    <x v="0"/>
    <x v="5"/>
    <x v="4"/>
    <x v="396"/>
    <n v="17"/>
    <n v="17"/>
    <x v="397"/>
    <x v="397"/>
    <n v="1444.72"/>
    <n v="1096.5424800000001"/>
    <x v="65"/>
    <x v="65"/>
    <n v="14148.687619440001"/>
    <n v="-6293.3023805600005"/>
    <n v="0"/>
    <s v="Dec-2024"/>
    <s v="Q4-2024"/>
    <s v="High Price"/>
    <x v="1"/>
    <x v="3"/>
    <x v="0"/>
  </r>
  <r>
    <x v="397"/>
    <x v="284"/>
    <d v="2025-09-23T00:00:00"/>
    <x v="27"/>
    <x v="0"/>
    <x v="11"/>
    <x v="25"/>
    <s v="Non-Profit"/>
    <x v="1"/>
    <x v="14"/>
    <x v="0"/>
    <x v="397"/>
    <n v="5"/>
    <n v="5"/>
    <x v="398"/>
    <x v="398"/>
    <n v="2875.8"/>
    <n v="2637.1086000000005"/>
    <x v="200"/>
    <x v="200"/>
    <n v="12091.142931000002"/>
    <n v="5539.6429310000021"/>
    <n v="0.45815709586867354"/>
    <s v="Sep-2025"/>
    <s v="Q3-2025"/>
    <s v="Medium Price"/>
    <x v="3"/>
    <x v="6"/>
    <x v="2"/>
  </r>
  <r>
    <x v="398"/>
    <x v="331"/>
    <d v="2024-10-04T00:00:00"/>
    <x v="28"/>
    <x v="0"/>
    <x v="11"/>
    <x v="33"/>
    <s v="Corporate"/>
    <x v="2"/>
    <x v="14"/>
    <x v="5"/>
    <x v="398"/>
    <n v="9"/>
    <n v="9"/>
    <x v="399"/>
    <x v="399"/>
    <n v="1641.61"/>
    <n v="1441.33358"/>
    <x v="153"/>
    <x v="153"/>
    <n v="11389.417949159999"/>
    <n v="821.88794915999824"/>
    <n v="7.2162418907510087E-2"/>
    <s v="Sep-2024"/>
    <s v="Q3-2024"/>
    <s v="High Price"/>
    <x v="3"/>
    <x v="6"/>
    <x v="0"/>
  </r>
  <r>
    <x v="399"/>
    <x v="332"/>
    <d v="2025-04-30T00:00:00"/>
    <x v="5"/>
    <x v="0"/>
    <x v="0"/>
    <x v="0"/>
    <s v="Corporate"/>
    <x v="2"/>
    <x v="9"/>
    <x v="2"/>
    <x v="399"/>
    <n v="14"/>
    <n v="14"/>
    <x v="400"/>
    <x v="400"/>
    <n v="1299.02"/>
    <n v="1266.5445"/>
    <x v="109"/>
    <x v="109"/>
    <n v="17288.332425000001"/>
    <n v="1621.772425000001"/>
    <n v="9.3807336944471145E-2"/>
    <s v="Apr-2025"/>
    <s v="Q2-2025"/>
    <s v="High Price"/>
    <x v="2"/>
    <x v="7"/>
    <x v="2"/>
  </r>
  <r>
    <x v="400"/>
    <x v="175"/>
    <d v="2024-08-15T00:00:00"/>
    <x v="4"/>
    <x v="2"/>
    <x v="10"/>
    <x v="15"/>
    <s v="Corporate"/>
    <x v="2"/>
    <x v="14"/>
    <x v="1"/>
    <x v="400"/>
    <n v="19"/>
    <n v="19"/>
    <x v="401"/>
    <x v="401"/>
    <n v="1118.56"/>
    <n v="917.2192"/>
    <x v="79"/>
    <x v="79"/>
    <n v="14290.275136000002"/>
    <n v="-1873.0248639999991"/>
    <n v="0"/>
    <s v="Aug-2024"/>
    <s v="Q3-2024"/>
    <s v="High Price"/>
    <x v="3"/>
    <x v="11"/>
    <x v="0"/>
  </r>
  <r>
    <x v="401"/>
    <x v="333"/>
    <d v="2024-11-08T00:00:00"/>
    <x v="4"/>
    <x v="2"/>
    <x v="3"/>
    <x v="5"/>
    <s v="Education"/>
    <x v="2"/>
    <x v="7"/>
    <x v="0"/>
    <x v="401"/>
    <n v="16"/>
    <n v="16"/>
    <x v="402"/>
    <x v="402"/>
    <n v="1184.71"/>
    <n v="1059.1307400000001"/>
    <x v="192"/>
    <x v="192"/>
    <n v="15149.806104960002"/>
    <n v="-1176.5938950399977"/>
    <n v="0"/>
    <s v="Nov-2024"/>
    <s v="Q4-2024"/>
    <s v="High Price"/>
    <x v="1"/>
    <x v="10"/>
    <x v="0"/>
  </r>
  <r>
    <x v="402"/>
    <x v="334"/>
    <d v="2024-08-08T00:00:00"/>
    <x v="14"/>
    <x v="3"/>
    <x v="7"/>
    <x v="11"/>
    <s v="Enterprise"/>
    <x v="2"/>
    <x v="10"/>
    <x v="4"/>
    <x v="402"/>
    <n v="5"/>
    <n v="5"/>
    <x v="403"/>
    <x v="403"/>
    <n v="1201.47"/>
    <n v="1050.0847799999999"/>
    <x v="38"/>
    <x v="38"/>
    <n v="4588.8704885999996"/>
    <n v="2081.3704885999996"/>
    <n v="0.453569237521671"/>
    <s v="Jul-2024"/>
    <s v="Q3-2024"/>
    <s v="High Price"/>
    <x v="3"/>
    <x v="8"/>
    <x v="0"/>
  </r>
  <r>
    <x v="403"/>
    <x v="335"/>
    <d v="2025-02-03T00:00:00"/>
    <x v="16"/>
    <x v="2"/>
    <x v="5"/>
    <x v="10"/>
    <s v="Enterprise"/>
    <x v="2"/>
    <x v="9"/>
    <x v="0"/>
    <x v="403"/>
    <n v="10"/>
    <n v="10"/>
    <x v="404"/>
    <x v="404"/>
    <n v="880.99"/>
    <n v="783.20011"/>
    <x v="95"/>
    <x v="95"/>
    <n v="6962.6489778999994"/>
    <n v="-2778.451022100001"/>
    <n v="0"/>
    <s v="Jan-2025"/>
    <s v="Q1-2025"/>
    <s v="High Price"/>
    <x v="0"/>
    <x v="4"/>
    <x v="2"/>
  </r>
  <r>
    <x v="404"/>
    <x v="336"/>
    <d v="2023-04-04T00:00:00"/>
    <x v="10"/>
    <x v="1"/>
    <x v="9"/>
    <x v="38"/>
    <s v="Small Business"/>
    <x v="4"/>
    <x v="0"/>
    <x v="5"/>
    <x v="404"/>
    <n v="7"/>
    <n v="7"/>
    <x v="405"/>
    <x v="405"/>
    <n v="2050.87"/>
    <n v="1919.6143199999997"/>
    <x v="201"/>
    <x v="201"/>
    <n v="12577.313024639998"/>
    <n v="4693.2830246399981"/>
    <n v="0.37315466470823044"/>
    <s v="Mar-2023"/>
    <s v="Q1-2023"/>
    <s v="Medium Price"/>
    <x v="0"/>
    <x v="0"/>
    <x v="1"/>
  </r>
  <r>
    <x v="405"/>
    <x v="337"/>
    <d v="2025-01-14T00:00:00"/>
    <x v="2"/>
    <x v="1"/>
    <x v="4"/>
    <x v="18"/>
    <s v="Small Business"/>
    <x v="0"/>
    <x v="12"/>
    <x v="1"/>
    <x v="405"/>
    <n v="14"/>
    <n v="14"/>
    <x v="406"/>
    <x v="406"/>
    <n v="1737.9"/>
    <n v="1604.0817000000002"/>
    <x v="202"/>
    <x v="202"/>
    <n v="20727.943727400005"/>
    <n v="1669.1837274000063"/>
    <n v="8.0528186941839955E-2"/>
    <s v="Dec-2024"/>
    <s v="Q4-2024"/>
    <s v="High Price"/>
    <x v="1"/>
    <x v="3"/>
    <x v="0"/>
  </r>
  <r>
    <x v="406"/>
    <x v="338"/>
    <d v="2025-03-21T00:00:00"/>
    <x v="28"/>
    <x v="0"/>
    <x v="1"/>
    <x v="7"/>
    <s v="Enterprise"/>
    <x v="2"/>
    <x v="2"/>
    <x v="3"/>
    <x v="406"/>
    <n v="18"/>
    <n v="18"/>
    <x v="407"/>
    <x v="407"/>
    <n v="1388.31"/>
    <n v="1196.7232199999999"/>
    <x v="159"/>
    <x v="159"/>
    <n v="18568.357481519997"/>
    <n v="-7304.6625184800032"/>
    <n v="0"/>
    <s v="Feb-2025"/>
    <s v="Q1-2025"/>
    <s v="High Price"/>
    <x v="0"/>
    <x v="2"/>
    <x v="2"/>
  </r>
  <r>
    <x v="407"/>
    <x v="339"/>
    <d v="2025-03-15T00:00:00"/>
    <x v="20"/>
    <x v="1"/>
    <x v="4"/>
    <x v="6"/>
    <s v="Corporate"/>
    <x v="3"/>
    <x v="11"/>
    <x v="4"/>
    <x v="407"/>
    <n v="11"/>
    <n v="11"/>
    <x v="408"/>
    <x v="408"/>
    <n v="529.14"/>
    <n v="425.42856"/>
    <x v="124"/>
    <x v="124"/>
    <n v="3762.4901846399998"/>
    <n v="-1469.7698153600004"/>
    <n v="0"/>
    <s v="Mar-2025"/>
    <s v="Q1-2025"/>
    <s v="Low Price"/>
    <x v="0"/>
    <x v="0"/>
    <x v="2"/>
  </r>
  <r>
    <x v="408"/>
    <x v="340"/>
    <d v="2023-12-19T00:00:00"/>
    <x v="4"/>
    <x v="1"/>
    <x v="9"/>
    <x v="38"/>
    <s v="Education"/>
    <x v="0"/>
    <x v="8"/>
    <x v="6"/>
    <x v="408"/>
    <n v="12"/>
    <n v="12"/>
    <x v="409"/>
    <x v="409"/>
    <n v="1972.38"/>
    <n v="1972.38"/>
    <x v="5"/>
    <x v="5"/>
    <n v="23668.560000000001"/>
    <n v="6687.9600000000028"/>
    <n v="0.28256725377462771"/>
    <s v="Dec-2023"/>
    <s v="Q4-2023"/>
    <s v="Medium Price"/>
    <x v="1"/>
    <x v="3"/>
    <x v="1"/>
  </r>
  <r>
    <x v="409"/>
    <x v="341"/>
    <d v="2024-09-05T00:00:00"/>
    <x v="31"/>
    <x v="1"/>
    <x v="2"/>
    <x v="32"/>
    <s v="Education"/>
    <x v="1"/>
    <x v="13"/>
    <x v="4"/>
    <x v="409"/>
    <n v="8"/>
    <n v="8"/>
    <x v="410"/>
    <x v="410"/>
    <n v="876.81"/>
    <n v="665.49878999999999"/>
    <x v="65"/>
    <x v="65"/>
    <n v="4040.9086528799999"/>
    <n v="311.62865287999966"/>
    <n v="7.7118460140864237E-2"/>
    <s v="Aug-2024"/>
    <s v="Q3-2024"/>
    <s v="High Price"/>
    <x v="3"/>
    <x v="11"/>
    <x v="0"/>
  </r>
  <r>
    <x v="410"/>
    <x v="22"/>
    <d v="2024-05-21T00:00:00"/>
    <x v="4"/>
    <x v="3"/>
    <x v="7"/>
    <x v="11"/>
    <s v="Non-Profit"/>
    <x v="2"/>
    <x v="14"/>
    <x v="1"/>
    <x v="410"/>
    <n v="11"/>
    <n v="11"/>
    <x v="411"/>
    <x v="411"/>
    <n v="824.26"/>
    <n v="627.26185999999996"/>
    <x v="177"/>
    <x v="177"/>
    <n v="5250.8090300599997"/>
    <n v="-2049.4509699399996"/>
    <n v="0"/>
    <s v="May-2024"/>
    <s v="Q2-2024"/>
    <s v="High Price"/>
    <x v="2"/>
    <x v="5"/>
    <x v="0"/>
  </r>
  <r>
    <x v="411"/>
    <x v="342"/>
    <d v="2023-04-06T00:00:00"/>
    <x v="8"/>
    <x v="3"/>
    <x v="6"/>
    <x v="22"/>
    <s v="Consumer"/>
    <x v="0"/>
    <x v="7"/>
    <x v="3"/>
    <x v="411"/>
    <n v="2"/>
    <n v="2"/>
    <x v="412"/>
    <x v="412"/>
    <n v="1159.3499999999999"/>
    <n v="1029.5028"/>
    <x v="0"/>
    <x v="0"/>
    <n v="1828.3969728"/>
    <n v="444.03697280000006"/>
    <n v="0.24285588928754545"/>
    <s v="Mar-2023"/>
    <s v="Q1-2023"/>
    <s v="High Price"/>
    <x v="0"/>
    <x v="0"/>
    <x v="1"/>
  </r>
  <r>
    <x v="412"/>
    <x v="343"/>
    <d v="2023-09-16T00:00:00"/>
    <x v="22"/>
    <x v="0"/>
    <x v="1"/>
    <x v="7"/>
    <s v="Corporate"/>
    <x v="2"/>
    <x v="4"/>
    <x v="3"/>
    <x v="412"/>
    <n v="7"/>
    <n v="7"/>
    <x v="413"/>
    <x v="413"/>
    <n v="2513.5100000000002"/>
    <n v="2304.8886700000003"/>
    <x v="200"/>
    <x v="200"/>
    <n v="14795.080372730004"/>
    <n v="6417.270372730005"/>
    <n v="0.43374352900158547"/>
    <s v="Aug-2023"/>
    <s v="Q3-2023"/>
    <s v="Medium Price"/>
    <x v="3"/>
    <x v="11"/>
    <x v="1"/>
  </r>
  <r>
    <x v="413"/>
    <x v="344"/>
    <d v="2024-06-24T00:00:00"/>
    <x v="5"/>
    <x v="1"/>
    <x v="4"/>
    <x v="6"/>
    <s v="Small Business"/>
    <x v="4"/>
    <x v="10"/>
    <x v="2"/>
    <x v="413"/>
    <n v="11"/>
    <n v="11"/>
    <x v="414"/>
    <x v="414"/>
    <n v="3087.13"/>
    <n v="2864.8566400000004"/>
    <x v="3"/>
    <x v="3"/>
    <n v="29244.456581120008"/>
    <n v="15458.706581120008"/>
    <n v="0.52860296918972427"/>
    <s v="Jun-2024"/>
    <s v="Q2-2024"/>
    <s v="Medium Price"/>
    <x v="2"/>
    <x v="9"/>
    <x v="0"/>
  </r>
  <r>
    <x v="414"/>
    <x v="345"/>
    <d v="2023-09-13T00:00:00"/>
    <x v="14"/>
    <x v="2"/>
    <x v="3"/>
    <x v="26"/>
    <s v="Small Business"/>
    <x v="2"/>
    <x v="7"/>
    <x v="1"/>
    <x v="414"/>
    <n v="7"/>
    <n v="7"/>
    <x v="415"/>
    <x v="415"/>
    <n v="2717.15"/>
    <n v="2630.2012"/>
    <x v="195"/>
    <x v="195"/>
    <n v="17822.243331199999"/>
    <n v="8808.763331199998"/>
    <n v="0.49425670873762501"/>
    <s v="Aug-2023"/>
    <s v="Q3-2023"/>
    <s v="Medium Price"/>
    <x v="3"/>
    <x v="11"/>
    <x v="1"/>
  </r>
  <r>
    <x v="415"/>
    <x v="25"/>
    <d v="2024-12-10T00:00:00"/>
    <x v="24"/>
    <x v="1"/>
    <x v="4"/>
    <x v="34"/>
    <s v="Small Business"/>
    <x v="0"/>
    <x v="9"/>
    <x v="6"/>
    <x v="415"/>
    <n v="16"/>
    <n v="16"/>
    <x v="416"/>
    <x v="416"/>
    <n v="901.79"/>
    <n v="680.85145"/>
    <x v="103"/>
    <x v="103"/>
    <n v="8224.6855159999996"/>
    <n v="-5399.1544840000006"/>
    <n v="0"/>
    <s v="Nov-2024"/>
    <s v="Q4-2024"/>
    <s v="High Price"/>
    <x v="1"/>
    <x v="10"/>
    <x v="0"/>
  </r>
  <r>
    <x v="416"/>
    <x v="346"/>
    <d v="2025-06-14T00:00:00"/>
    <x v="27"/>
    <x v="1"/>
    <x v="4"/>
    <x v="18"/>
    <s v="Non-Profit"/>
    <x v="0"/>
    <x v="8"/>
    <x v="6"/>
    <x v="416"/>
    <n v="11"/>
    <n v="11"/>
    <x v="417"/>
    <x v="417"/>
    <n v="796.15"/>
    <n v="724.49649999999997"/>
    <x v="168"/>
    <x v="168"/>
    <n v="7252.209965"/>
    <n v="446.61996499999987"/>
    <n v="6.1583981593947117E-2"/>
    <s v="Jun-2025"/>
    <s v="Q2-2025"/>
    <s v="High Price"/>
    <x v="2"/>
    <x v="9"/>
    <x v="2"/>
  </r>
  <r>
    <x v="417"/>
    <x v="252"/>
    <d v="2025-04-08T00:00:00"/>
    <x v="2"/>
    <x v="1"/>
    <x v="9"/>
    <x v="35"/>
    <s v="Corporate"/>
    <x v="3"/>
    <x v="14"/>
    <x v="1"/>
    <x v="417"/>
    <n v="6"/>
    <n v="6"/>
    <x v="418"/>
    <x v="418"/>
    <n v="157.82"/>
    <n v="123.57306"/>
    <x v="203"/>
    <x v="203"/>
    <n v="580.54623588000004"/>
    <n v="97.00623588000002"/>
    <n v="0.16709476331881926"/>
    <s v="Mar-2025"/>
    <s v="Q1-2025"/>
    <s v="Low Price"/>
    <x v="0"/>
    <x v="0"/>
    <x v="2"/>
  </r>
  <r>
    <x v="418"/>
    <x v="347"/>
    <d v="2024-02-11T00:00:00"/>
    <x v="0"/>
    <x v="3"/>
    <x v="6"/>
    <x v="37"/>
    <s v="Non-Profit"/>
    <x v="3"/>
    <x v="6"/>
    <x v="5"/>
    <x v="418"/>
    <n v="15"/>
    <n v="15"/>
    <x v="419"/>
    <x v="419"/>
    <n v="819.06"/>
    <n v="633.95244000000002"/>
    <x v="204"/>
    <x v="204"/>
    <n v="7360.1878284000013"/>
    <n v="-213.76217159999851"/>
    <n v="0"/>
    <s v="Jan-2024"/>
    <s v="Q1-2024"/>
    <s v="High Price"/>
    <x v="0"/>
    <x v="4"/>
    <x v="0"/>
  </r>
  <r>
    <x v="419"/>
    <x v="348"/>
    <d v="2023-10-29T00:00:00"/>
    <x v="13"/>
    <x v="1"/>
    <x v="2"/>
    <x v="32"/>
    <s v="Non-Profit"/>
    <x v="4"/>
    <x v="10"/>
    <x v="3"/>
    <x v="419"/>
    <n v="10"/>
    <n v="10"/>
    <x v="420"/>
    <x v="420"/>
    <n v="1711.16"/>
    <n v="1452.77484"/>
    <x v="102"/>
    <x v="102"/>
    <n v="12334.0583916"/>
    <n v="1312.1583915999981"/>
    <n v="0.10638496672706138"/>
    <s v="Oct-2023"/>
    <s v="Q4-2023"/>
    <s v="High Price"/>
    <x v="1"/>
    <x v="1"/>
    <x v="1"/>
  </r>
  <r>
    <x v="420"/>
    <x v="349"/>
    <d v="2025-03-17T00:00:00"/>
    <x v="8"/>
    <x v="2"/>
    <x v="10"/>
    <x v="24"/>
    <s v="Non-Profit"/>
    <x v="2"/>
    <x v="10"/>
    <x v="3"/>
    <x v="420"/>
    <n v="6"/>
    <n v="6"/>
    <x v="421"/>
    <x v="421"/>
    <n v="1696.35"/>
    <n v="1664.1193499999999"/>
    <x v="205"/>
    <x v="205"/>
    <n v="9795.0064941000001"/>
    <n v="2563.4464941000006"/>
    <n v="0.26170952470976783"/>
    <s v="Feb-2025"/>
    <s v="Q1-2025"/>
    <s v="High Price"/>
    <x v="0"/>
    <x v="2"/>
    <x v="2"/>
  </r>
  <r>
    <x v="421"/>
    <x v="350"/>
    <d v="2025-07-06T00:00:00"/>
    <x v="4"/>
    <x v="0"/>
    <x v="1"/>
    <x v="3"/>
    <s v="Consumer"/>
    <x v="1"/>
    <x v="15"/>
    <x v="4"/>
    <x v="421"/>
    <n v="42"/>
    <n v="42"/>
    <x v="422"/>
    <x v="422"/>
    <n v="2884.34"/>
    <n v="2431.4986199999998"/>
    <x v="87"/>
    <x v="87"/>
    <n v="86089.640139719981"/>
    <n v="30931.040139719982"/>
    <n v="0.35928876098819978"/>
    <s v="Jul-2025"/>
    <s v="Q3-2025"/>
    <s v="Medium Price"/>
    <x v="3"/>
    <x v="8"/>
    <x v="2"/>
  </r>
  <r>
    <x v="422"/>
    <x v="165"/>
    <d v="2025-09-25T00:00:00"/>
    <x v="24"/>
    <x v="1"/>
    <x v="4"/>
    <x v="18"/>
    <s v="Consumer"/>
    <x v="0"/>
    <x v="8"/>
    <x v="3"/>
    <x v="422"/>
    <n v="24"/>
    <n v="24"/>
    <x v="423"/>
    <x v="423"/>
    <n v="1483.74"/>
    <n v="1234.4716799999999"/>
    <x v="21"/>
    <x v="21"/>
    <n v="24649.930506239994"/>
    <n v="-11083.909493760009"/>
    <n v="0"/>
    <s v="Sep-2025"/>
    <s v="Q3-2025"/>
    <s v="High Price"/>
    <x v="3"/>
    <x v="6"/>
    <x v="2"/>
  </r>
  <r>
    <x v="423"/>
    <x v="351"/>
    <d v="2024-03-06T00:00:00"/>
    <x v="12"/>
    <x v="1"/>
    <x v="9"/>
    <x v="38"/>
    <s v="Education"/>
    <x v="2"/>
    <x v="7"/>
    <x v="1"/>
    <x v="423"/>
    <n v="24"/>
    <n v="24"/>
    <x v="424"/>
    <x v="424"/>
    <n v="3197.47"/>
    <n v="2420.48479"/>
    <x v="28"/>
    <x v="28"/>
    <n v="43975.367664719997"/>
    <n v="8507.207664720001"/>
    <n v="0.19345392924469068"/>
    <s v="Feb-2024"/>
    <s v="Q1-2024"/>
    <s v="Medium Price"/>
    <x v="0"/>
    <x v="2"/>
    <x v="0"/>
  </r>
  <r>
    <x v="424"/>
    <x v="352"/>
    <d v="2024-03-26T00:00:00"/>
    <x v="28"/>
    <x v="1"/>
    <x v="4"/>
    <x v="29"/>
    <s v="Education"/>
    <x v="2"/>
    <x v="3"/>
    <x v="4"/>
    <x v="424"/>
    <n v="8"/>
    <n v="8"/>
    <x v="425"/>
    <x v="425"/>
    <n v="2322.6999999999998"/>
    <n v="1920.8728999999998"/>
    <x v="122"/>
    <x v="122"/>
    <n v="12708.495106399998"/>
    <n v="4426.9751063999975"/>
    <n v="0.34834770516381386"/>
    <s v="Feb-2024"/>
    <s v="Q1-2024"/>
    <s v="Medium Price"/>
    <x v="0"/>
    <x v="2"/>
    <x v="0"/>
  </r>
  <r>
    <x v="425"/>
    <x v="257"/>
    <d v="2025-09-05T00:00:00"/>
    <x v="11"/>
    <x v="0"/>
    <x v="1"/>
    <x v="1"/>
    <s v="Small Business"/>
    <x v="2"/>
    <x v="6"/>
    <x v="4"/>
    <x v="425"/>
    <n v="21"/>
    <n v="21"/>
    <x v="426"/>
    <x v="426"/>
    <n v="1932.42"/>
    <n v="1449.3150000000001"/>
    <x v="11"/>
    <x v="11"/>
    <n v="22826.71125"/>
    <n v="-3866.3887499999983"/>
    <n v="0"/>
    <s v="Aug-2025"/>
    <s v="Q3-2025"/>
    <s v="High Price"/>
    <x v="3"/>
    <x v="11"/>
    <x v="2"/>
  </r>
  <r>
    <x v="426"/>
    <x v="353"/>
    <d v="2024-09-12T00:00:00"/>
    <x v="2"/>
    <x v="1"/>
    <x v="4"/>
    <x v="29"/>
    <s v="Consumer"/>
    <x v="2"/>
    <x v="0"/>
    <x v="3"/>
    <x v="426"/>
    <n v="18"/>
    <n v="18"/>
    <x v="427"/>
    <x v="427"/>
    <n v="1590.36"/>
    <n v="1090.98696"/>
    <x v="206"/>
    <x v="206"/>
    <n v="13471.506982079998"/>
    <n v="-7301.0330179200027"/>
    <n v="0"/>
    <s v="Aug-2024"/>
    <s v="Q3-2024"/>
    <s v="High Price"/>
    <x v="3"/>
    <x v="11"/>
    <x v="0"/>
  </r>
  <r>
    <x v="427"/>
    <x v="354"/>
    <d v="2024-03-09T00:00:00"/>
    <x v="19"/>
    <x v="3"/>
    <x v="7"/>
    <x v="11"/>
    <s v="Small Business"/>
    <x v="3"/>
    <x v="6"/>
    <x v="5"/>
    <x v="427"/>
    <n v="34"/>
    <n v="34"/>
    <x v="428"/>
    <x v="428"/>
    <n v="395.61"/>
    <n v="395.61"/>
    <x v="5"/>
    <x v="5"/>
    <n v="13450.74"/>
    <n v="2487.7800000000007"/>
    <n v="0.18495487980586947"/>
    <s v="Feb-2024"/>
    <s v="Q1-2024"/>
    <s v="Low Price"/>
    <x v="0"/>
    <x v="2"/>
    <x v="0"/>
  </r>
  <r>
    <x v="428"/>
    <x v="355"/>
    <d v="2025-05-13T00:00:00"/>
    <x v="31"/>
    <x v="1"/>
    <x v="4"/>
    <x v="6"/>
    <s v="Enterprise"/>
    <x v="4"/>
    <x v="1"/>
    <x v="3"/>
    <x v="428"/>
    <n v="24"/>
    <n v="24"/>
    <x v="429"/>
    <x v="429"/>
    <n v="2077.69"/>
    <n v="1714.0942499999999"/>
    <x v="30"/>
    <x v="30"/>
    <n v="33939.066149999991"/>
    <n v="11475.546149999991"/>
    <n v="0.33812203610086644"/>
    <s v="May-2025"/>
    <s v="Q2-2025"/>
    <s v="Medium Price"/>
    <x v="2"/>
    <x v="5"/>
    <x v="2"/>
  </r>
  <r>
    <x v="429"/>
    <x v="356"/>
    <d v="2024-11-12T00:00:00"/>
    <x v="23"/>
    <x v="3"/>
    <x v="6"/>
    <x v="37"/>
    <s v="Consumer"/>
    <x v="1"/>
    <x v="5"/>
    <x v="1"/>
    <x v="429"/>
    <n v="11"/>
    <n v="11"/>
    <x v="430"/>
    <x v="430"/>
    <n v="1330.85"/>
    <n v="1177.80225"/>
    <x v="158"/>
    <x v="158"/>
    <n v="11465.904903750001"/>
    <n v="4867.6649037500001"/>
    <n v="0.42453386318928893"/>
    <s v="Nov-2024"/>
    <s v="Q4-2024"/>
    <s v="High Price"/>
    <x v="1"/>
    <x v="10"/>
    <x v="0"/>
  </r>
  <r>
    <x v="430"/>
    <x v="357"/>
    <d v="2025-01-08T00:00:00"/>
    <x v="23"/>
    <x v="1"/>
    <x v="9"/>
    <x v="14"/>
    <s v="Enterprise"/>
    <x v="1"/>
    <x v="11"/>
    <x v="4"/>
    <x v="430"/>
    <n v="21"/>
    <n v="21"/>
    <x v="431"/>
    <x v="431"/>
    <n v="2764.65"/>
    <n v="2764.65"/>
    <x v="5"/>
    <x v="5"/>
    <n v="58057.65"/>
    <n v="32830.14"/>
    <n v="0.56547483406579491"/>
    <s v="Dec-2024"/>
    <s v="Q4-2024"/>
    <s v="Medium Price"/>
    <x v="1"/>
    <x v="3"/>
    <x v="0"/>
  </r>
  <r>
    <x v="431"/>
    <x v="259"/>
    <d v="2023-10-21T00:00:00"/>
    <x v="18"/>
    <x v="3"/>
    <x v="8"/>
    <x v="31"/>
    <s v="Enterprise"/>
    <x v="3"/>
    <x v="1"/>
    <x v="5"/>
    <x v="431"/>
    <n v="10"/>
    <n v="10"/>
    <x v="432"/>
    <x v="432"/>
    <n v="278.35000000000002"/>
    <n v="262.76240000000001"/>
    <x v="121"/>
    <x v="121"/>
    <n v="2480.4770560000002"/>
    <n v="-1361.4229439999999"/>
    <n v="0"/>
    <s v="Oct-2023"/>
    <s v="Q4-2023"/>
    <s v="Low Price"/>
    <x v="1"/>
    <x v="1"/>
    <x v="1"/>
  </r>
  <r>
    <x v="432"/>
    <x v="16"/>
    <d v="2024-12-19T00:00:00"/>
    <x v="27"/>
    <x v="0"/>
    <x v="1"/>
    <x v="3"/>
    <s v="Corporate"/>
    <x v="0"/>
    <x v="7"/>
    <x v="5"/>
    <x v="432"/>
    <n v="14"/>
    <n v="14"/>
    <x v="433"/>
    <x v="433"/>
    <n v="984.36"/>
    <n v="926.28276000000005"/>
    <x v="163"/>
    <x v="163"/>
    <n v="12202.849080240001"/>
    <n v="5361.3290802400006"/>
    <n v="0.43935060123963737"/>
    <s v="Dec-2024"/>
    <s v="Q4-2024"/>
    <s v="High Price"/>
    <x v="1"/>
    <x v="3"/>
    <x v="0"/>
  </r>
  <r>
    <x v="433"/>
    <x v="255"/>
    <d v="2024-09-18T00:00:00"/>
    <x v="23"/>
    <x v="1"/>
    <x v="9"/>
    <x v="38"/>
    <s v="Consumer"/>
    <x v="3"/>
    <x v="7"/>
    <x v="2"/>
    <x v="433"/>
    <n v="13"/>
    <n v="13"/>
    <x v="434"/>
    <x v="434"/>
    <n v="190.84"/>
    <n v="150.00024000000002"/>
    <x v="207"/>
    <x v="207"/>
    <n v="1532.7024523200002"/>
    <n v="-829.91754767999964"/>
    <n v="0"/>
    <s v="Sep-2024"/>
    <s v="Q3-2024"/>
    <s v="Low Price"/>
    <x v="3"/>
    <x v="6"/>
    <x v="0"/>
  </r>
  <r>
    <x v="434"/>
    <x v="358"/>
    <d v="2023-10-20T00:00:00"/>
    <x v="25"/>
    <x v="0"/>
    <x v="0"/>
    <x v="0"/>
    <s v="Consumer"/>
    <x v="0"/>
    <x v="1"/>
    <x v="3"/>
    <x v="434"/>
    <n v="30"/>
    <n v="30"/>
    <x v="435"/>
    <x v="435"/>
    <n v="908.3"/>
    <n v="908.3"/>
    <x v="5"/>
    <x v="5"/>
    <n v="27249"/>
    <n v="4025.4000000000015"/>
    <n v="0.14772652207420461"/>
    <s v="Oct-2023"/>
    <s v="Q4-2023"/>
    <s v="High Price"/>
    <x v="1"/>
    <x v="1"/>
    <x v="1"/>
  </r>
  <r>
    <x v="435"/>
    <x v="359"/>
    <d v="2025-01-13T00:00:00"/>
    <x v="8"/>
    <x v="1"/>
    <x v="4"/>
    <x v="6"/>
    <s v="Corporate"/>
    <x v="2"/>
    <x v="14"/>
    <x v="2"/>
    <x v="435"/>
    <n v="22"/>
    <n v="22"/>
    <x v="436"/>
    <x v="436"/>
    <n v="284.23"/>
    <n v="252.11201000000003"/>
    <x v="139"/>
    <x v="139"/>
    <n v="4919.7137631400001"/>
    <n v="2144.4137631399999"/>
    <n v="0.43588181475243609"/>
    <s v="Dec-2024"/>
    <s v="Q4-2024"/>
    <s v="Low Price"/>
    <x v="1"/>
    <x v="3"/>
    <x v="0"/>
  </r>
  <r>
    <x v="436"/>
    <x v="67"/>
    <d v="2023-04-19T00:00:00"/>
    <x v="1"/>
    <x v="1"/>
    <x v="2"/>
    <x v="32"/>
    <s v="Small Business"/>
    <x v="4"/>
    <x v="12"/>
    <x v="0"/>
    <x v="436"/>
    <n v="7"/>
    <n v="7"/>
    <x v="437"/>
    <x v="437"/>
    <n v="1229.3399999999999"/>
    <n v="1048.6270199999999"/>
    <x v="6"/>
    <x v="6"/>
    <n v="6261.3519364199992"/>
    <n v="2012.0719364199995"/>
    <n v="0.32134784258276738"/>
    <s v="Apr-2023"/>
    <s v="Q2-2023"/>
    <s v="High Price"/>
    <x v="2"/>
    <x v="7"/>
    <x v="1"/>
  </r>
  <r>
    <x v="437"/>
    <x v="360"/>
    <d v="2024-01-08T00:00:00"/>
    <x v="27"/>
    <x v="3"/>
    <x v="7"/>
    <x v="11"/>
    <s v="Consumer"/>
    <x v="2"/>
    <x v="4"/>
    <x v="6"/>
    <x v="437"/>
    <n v="24"/>
    <n v="24"/>
    <x v="438"/>
    <x v="438"/>
    <n v="1224.72"/>
    <n v="1011.6187200000001"/>
    <x v="155"/>
    <x v="155"/>
    <n v="20054.329505280002"/>
    <n v="-612.07049471999926"/>
    <n v="0"/>
    <s v="Dec-2023"/>
    <s v="Q4-2023"/>
    <s v="High Price"/>
    <x v="1"/>
    <x v="3"/>
    <x v="1"/>
  </r>
  <r>
    <x v="438"/>
    <x v="361"/>
    <d v="2023-03-12T00:00:00"/>
    <x v="6"/>
    <x v="0"/>
    <x v="0"/>
    <x v="16"/>
    <s v="Corporate"/>
    <x v="1"/>
    <x v="9"/>
    <x v="2"/>
    <x v="438"/>
    <n v="6"/>
    <n v="6"/>
    <x v="439"/>
    <x v="439"/>
    <n v="485.86"/>
    <n v="465.93973999999997"/>
    <x v="208"/>
    <x v="208"/>
    <n v="2681.0172639599996"/>
    <n v="565.11726395999995"/>
    <n v="0.21078464191808033"/>
    <s v="Feb-2023"/>
    <s v="Q1-2023"/>
    <s v="Low Price"/>
    <x v="0"/>
    <x v="2"/>
    <x v="1"/>
  </r>
  <r>
    <x v="439"/>
    <x v="362"/>
    <d v="2023-06-03T00:00:00"/>
    <x v="13"/>
    <x v="1"/>
    <x v="9"/>
    <x v="38"/>
    <s v="Non-Profit"/>
    <x v="3"/>
    <x v="12"/>
    <x v="1"/>
    <x v="439"/>
    <n v="11"/>
    <n v="11"/>
    <x v="440"/>
    <x v="440"/>
    <n v="2210.94"/>
    <n v="1879.299"/>
    <x v="209"/>
    <x v="209"/>
    <n v="17571.445649999998"/>
    <n v="6795.9556499999981"/>
    <n v="0.38676132774539235"/>
    <s v="May-2023"/>
    <s v="Q2-2023"/>
    <s v="Medium Price"/>
    <x v="2"/>
    <x v="5"/>
    <x v="1"/>
  </r>
  <r>
    <x v="440"/>
    <x v="363"/>
    <d v="2024-03-26T00:00:00"/>
    <x v="4"/>
    <x v="1"/>
    <x v="4"/>
    <x v="6"/>
    <s v="Education"/>
    <x v="4"/>
    <x v="3"/>
    <x v="3"/>
    <x v="440"/>
    <n v="26"/>
    <n v="26"/>
    <x v="441"/>
    <x v="441"/>
    <n v="571.89"/>
    <n v="487.25027999999998"/>
    <x v="135"/>
    <x v="135"/>
    <n v="10793.568202559998"/>
    <n v="856.10820255999897"/>
    <n v="7.9316513917700435E-2"/>
    <s v="Mar-2024"/>
    <s v="Q1-2024"/>
    <s v="Low Price"/>
    <x v="0"/>
    <x v="0"/>
    <x v="0"/>
  </r>
  <r>
    <x v="441"/>
    <x v="364"/>
    <d v="2023-09-28T00:00:00"/>
    <x v="11"/>
    <x v="1"/>
    <x v="4"/>
    <x v="35"/>
    <s v="Corporate"/>
    <x v="5"/>
    <x v="5"/>
    <x v="6"/>
    <x v="441"/>
    <n v="11"/>
    <n v="11"/>
    <x v="442"/>
    <x v="442"/>
    <n v="3398.37"/>
    <n v="2864.82591"/>
    <x v="87"/>
    <x v="87"/>
    <n v="26565.53066343"/>
    <n v="11582.87066343"/>
    <n v="0.43601126625996339"/>
    <s v="Sep-2023"/>
    <s v="Q3-2023"/>
    <s v="Medium Price"/>
    <x v="3"/>
    <x v="6"/>
    <x v="1"/>
  </r>
  <r>
    <x v="442"/>
    <x v="365"/>
    <d v="2024-09-04T00:00:00"/>
    <x v="19"/>
    <x v="3"/>
    <x v="6"/>
    <x v="37"/>
    <s v="Non-Profit"/>
    <x v="0"/>
    <x v="4"/>
    <x v="1"/>
    <x v="442"/>
    <n v="32"/>
    <n v="32"/>
    <x v="443"/>
    <x v="443"/>
    <n v="194.62"/>
    <n v="186.25134"/>
    <x v="89"/>
    <x v="89"/>
    <n v="5703.76103616"/>
    <n v="2822.4810361599998"/>
    <n v="0.494845597188659"/>
    <s v="Aug-2024"/>
    <s v="Q3-2024"/>
    <s v="Low Price"/>
    <x v="3"/>
    <x v="11"/>
    <x v="0"/>
  </r>
  <r>
    <x v="443"/>
    <x v="366"/>
    <d v="2024-10-03T00:00:00"/>
    <x v="11"/>
    <x v="2"/>
    <x v="3"/>
    <x v="5"/>
    <s v="Consumer"/>
    <x v="1"/>
    <x v="6"/>
    <x v="1"/>
    <x v="443"/>
    <n v="21"/>
    <n v="21"/>
    <x v="444"/>
    <x v="444"/>
    <n v="1031.6400000000001"/>
    <n v="1031.6400000000001"/>
    <x v="5"/>
    <x v="5"/>
    <n v="21664.440000000002"/>
    <n v="9942.4500000000007"/>
    <n v="0.45892947152107322"/>
    <s v="Sep-2024"/>
    <s v="Q3-2024"/>
    <s v="High Price"/>
    <x v="3"/>
    <x v="6"/>
    <x v="0"/>
  </r>
  <r>
    <x v="444"/>
    <x v="367"/>
    <d v="2023-06-24T00:00:00"/>
    <x v="23"/>
    <x v="2"/>
    <x v="3"/>
    <x v="5"/>
    <s v="Corporate"/>
    <x v="1"/>
    <x v="0"/>
    <x v="1"/>
    <x v="444"/>
    <n v="4"/>
    <n v="4"/>
    <x v="445"/>
    <x v="445"/>
    <n v="495.19"/>
    <n v="481.32468"/>
    <x v="179"/>
    <x v="179"/>
    <n v="1871.39035584"/>
    <n v="883.11035584000001"/>
    <n v="0.47190066630625732"/>
    <s v="Jun-2023"/>
    <s v="Q2-2023"/>
    <s v="Low Price"/>
    <x v="2"/>
    <x v="9"/>
    <x v="1"/>
  </r>
  <r>
    <x v="445"/>
    <x v="240"/>
    <d v="2024-01-13T00:00:00"/>
    <x v="8"/>
    <x v="1"/>
    <x v="2"/>
    <x v="32"/>
    <s v="Education"/>
    <x v="4"/>
    <x v="5"/>
    <x v="4"/>
    <x v="445"/>
    <n v="8"/>
    <n v="8"/>
    <x v="446"/>
    <x v="446"/>
    <n v="1319.04"/>
    <n v="1221.4310399999999"/>
    <x v="13"/>
    <x v="13"/>
    <n v="9048.3611443200007"/>
    <n v="4045.4011443200006"/>
    <n v="0.44708661378524356"/>
    <s v="Dec-2023"/>
    <s v="Q4-2023"/>
    <s v="High Price"/>
    <x v="1"/>
    <x v="3"/>
    <x v="1"/>
  </r>
  <r>
    <x v="446"/>
    <x v="258"/>
    <d v="2025-04-29T00:00:00"/>
    <x v="17"/>
    <x v="0"/>
    <x v="11"/>
    <x v="25"/>
    <s v="Consumer"/>
    <x v="2"/>
    <x v="1"/>
    <x v="5"/>
    <x v="446"/>
    <n v="25"/>
    <n v="25"/>
    <x v="447"/>
    <x v="447"/>
    <n v="314.87"/>
    <n v="222.61309000000003"/>
    <x v="210"/>
    <x v="210"/>
    <n v="3934.6863657500007"/>
    <n v="-930.31363424999927"/>
    <n v="0"/>
    <s v="Mar-2025"/>
    <s v="Q1-2025"/>
    <s v="Low Price"/>
    <x v="0"/>
    <x v="0"/>
    <x v="2"/>
  </r>
  <r>
    <x v="447"/>
    <x v="368"/>
    <d v="2024-06-24T00:00:00"/>
    <x v="29"/>
    <x v="2"/>
    <x v="3"/>
    <x v="5"/>
    <s v="Small Business"/>
    <x v="4"/>
    <x v="3"/>
    <x v="5"/>
    <x v="447"/>
    <n v="23"/>
    <n v="23"/>
    <x v="448"/>
    <x v="448"/>
    <n v="2210.17"/>
    <n v="1980.31232"/>
    <x v="67"/>
    <x v="67"/>
    <n v="40810.276290559996"/>
    <n v="13083.776290559996"/>
    <n v="0.32060004194547592"/>
    <s v="Jun-2024"/>
    <s v="Q2-2024"/>
    <s v="Medium Price"/>
    <x v="2"/>
    <x v="9"/>
    <x v="0"/>
  </r>
  <r>
    <x v="448"/>
    <x v="369"/>
    <d v="2024-07-09T00:00:00"/>
    <x v="28"/>
    <x v="0"/>
    <x v="1"/>
    <x v="1"/>
    <s v="Corporate"/>
    <x v="2"/>
    <x v="2"/>
    <x v="3"/>
    <x v="448"/>
    <n v="15"/>
    <n v="15"/>
    <x v="449"/>
    <x v="449"/>
    <n v="1045"/>
    <n v="819.28000000000009"/>
    <x v="154"/>
    <x v="154"/>
    <n v="9634.7328000000016"/>
    <n v="-3798.367199999997"/>
    <n v="0"/>
    <s v="Jun-2024"/>
    <s v="Q2-2024"/>
    <s v="High Price"/>
    <x v="2"/>
    <x v="9"/>
    <x v="0"/>
  </r>
  <r>
    <x v="449"/>
    <x v="370"/>
    <d v="2023-07-21T00:00:00"/>
    <x v="1"/>
    <x v="1"/>
    <x v="4"/>
    <x v="18"/>
    <s v="Small Business"/>
    <x v="3"/>
    <x v="6"/>
    <x v="1"/>
    <x v="449"/>
    <n v="7"/>
    <n v="7"/>
    <x v="450"/>
    <x v="450"/>
    <n v="2132.19"/>
    <n v="1780.3786499999999"/>
    <x v="211"/>
    <x v="211"/>
    <n v="10406.313209249998"/>
    <n v="3777.3832092499979"/>
    <n v="0.36298957501032592"/>
    <s v="Jul-2023"/>
    <s v="Q3-2023"/>
    <s v="Medium Price"/>
    <x v="3"/>
    <x v="8"/>
    <x v="1"/>
  </r>
  <r>
    <x v="450"/>
    <x v="371"/>
    <d v="2023-02-03T00:00:00"/>
    <x v="14"/>
    <x v="3"/>
    <x v="8"/>
    <x v="21"/>
    <s v="Enterprise"/>
    <x v="3"/>
    <x v="3"/>
    <x v="6"/>
    <x v="450"/>
    <n v="10"/>
    <n v="10"/>
    <x v="451"/>
    <x v="451"/>
    <n v="2101.5500000000002"/>
    <n v="1962.8477"/>
    <x v="72"/>
    <x v="72"/>
    <n v="18332.997518"/>
    <n v="9602.3975180000016"/>
    <n v="0.52377673146860027"/>
    <s v="Jan-2023"/>
    <s v="Q1-2023"/>
    <s v="Medium Price"/>
    <x v="0"/>
    <x v="4"/>
    <x v="1"/>
  </r>
  <r>
    <x v="451"/>
    <x v="372"/>
    <d v="2024-05-16T00:00:00"/>
    <x v="14"/>
    <x v="1"/>
    <x v="4"/>
    <x v="6"/>
    <s v="Small Business"/>
    <x v="0"/>
    <x v="4"/>
    <x v="0"/>
    <x v="451"/>
    <n v="12"/>
    <n v="12"/>
    <x v="452"/>
    <x v="452"/>
    <n v="2125.44"/>
    <n v="1974.5337600000003"/>
    <x v="88"/>
    <x v="88"/>
    <n v="22012.102356480005"/>
    <n v="11197.822356480005"/>
    <n v="0.50871207916146854"/>
    <s v="May-2024"/>
    <s v="Q2-2024"/>
    <s v="Medium Price"/>
    <x v="2"/>
    <x v="5"/>
    <x v="0"/>
  </r>
  <r>
    <x v="452"/>
    <x v="56"/>
    <d v="2025-06-24T00:00:00"/>
    <x v="14"/>
    <x v="1"/>
    <x v="2"/>
    <x v="32"/>
    <s v="Corporate"/>
    <x v="4"/>
    <x v="5"/>
    <x v="3"/>
    <x v="452"/>
    <n v="19"/>
    <n v="19"/>
    <x v="453"/>
    <x v="453"/>
    <n v="712.75"/>
    <n v="630.78375000000005"/>
    <x v="158"/>
    <x v="158"/>
    <n v="10606.628756250002"/>
    <n v="2999.2187562500021"/>
    <n v="0.28276833527172329"/>
    <s v="Jun-2025"/>
    <s v="Q2-2025"/>
    <s v="High Price"/>
    <x v="2"/>
    <x v="9"/>
    <x v="2"/>
  </r>
  <r>
    <x v="453"/>
    <x v="373"/>
    <d v="2023-06-21T00:00:00"/>
    <x v="28"/>
    <x v="2"/>
    <x v="10"/>
    <x v="36"/>
    <s v="Small Business"/>
    <x v="2"/>
    <x v="3"/>
    <x v="5"/>
    <x v="453"/>
    <n v="15"/>
    <n v="15"/>
    <x v="454"/>
    <x v="454"/>
    <n v="1568.83"/>
    <n v="1542.1598899999999"/>
    <x v="212"/>
    <x v="212"/>
    <n v="22739.147578049997"/>
    <n v="10529.597578049996"/>
    <n v="0.46306034744302255"/>
    <s v="May-2023"/>
    <s v="Q2-2023"/>
    <s v="High Price"/>
    <x v="2"/>
    <x v="5"/>
    <x v="1"/>
  </r>
  <r>
    <x v="454"/>
    <x v="6"/>
    <d v="2024-12-29T00:00:00"/>
    <x v="25"/>
    <x v="2"/>
    <x v="3"/>
    <x v="26"/>
    <s v="Enterprise"/>
    <x v="2"/>
    <x v="0"/>
    <x v="6"/>
    <x v="454"/>
    <n v="8"/>
    <n v="8"/>
    <x v="455"/>
    <x v="455"/>
    <n v="2074.34"/>
    <n v="1844.0882600000002"/>
    <x v="95"/>
    <x v="95"/>
    <n v="13115.155705120002"/>
    <n v="3941.3957051200014"/>
    <n v="0.30052221976909715"/>
    <s v="Dec-2024"/>
    <s v="Q4-2024"/>
    <s v="Medium Price"/>
    <x v="1"/>
    <x v="3"/>
    <x v="0"/>
  </r>
  <r>
    <x v="455"/>
    <x v="374"/>
    <d v="2023-12-12T00:00:00"/>
    <x v="20"/>
    <x v="2"/>
    <x v="5"/>
    <x v="10"/>
    <s v="Corporate"/>
    <x v="4"/>
    <x v="9"/>
    <x v="3"/>
    <x v="455"/>
    <n v="42"/>
    <n v="42"/>
    <x v="456"/>
    <x v="456"/>
    <n v="495.19"/>
    <n v="495.19"/>
    <x v="5"/>
    <x v="5"/>
    <n v="20797.98"/>
    <n v="7885.92"/>
    <n v="0.37916759223732305"/>
    <s v="Dec-2023"/>
    <s v="Q4-2023"/>
    <s v="Low Price"/>
    <x v="1"/>
    <x v="3"/>
    <x v="1"/>
  </r>
  <r>
    <x v="456"/>
    <x v="129"/>
    <d v="2023-05-19T00:00:00"/>
    <x v="13"/>
    <x v="1"/>
    <x v="9"/>
    <x v="23"/>
    <s v="Non-Profit"/>
    <x v="4"/>
    <x v="1"/>
    <x v="5"/>
    <x v="456"/>
    <n v="12"/>
    <n v="12"/>
    <x v="457"/>
    <x v="457"/>
    <n v="757.59"/>
    <n v="654.55776000000003"/>
    <x v="29"/>
    <x v="29"/>
    <n v="6786.45485568"/>
    <n v="-1784.9051443200005"/>
    <n v="0"/>
    <s v="May-2023"/>
    <s v="Q2-2023"/>
    <s v="High Price"/>
    <x v="2"/>
    <x v="5"/>
    <x v="1"/>
  </r>
  <r>
    <x v="457"/>
    <x v="134"/>
    <d v="2023-12-10T00:00:00"/>
    <x v="24"/>
    <x v="3"/>
    <x v="6"/>
    <x v="22"/>
    <s v="Small Business"/>
    <x v="4"/>
    <x v="9"/>
    <x v="4"/>
    <x v="457"/>
    <n v="21"/>
    <n v="21"/>
    <x v="458"/>
    <x v="458"/>
    <n v="415.96"/>
    <n v="363.96499999999997"/>
    <x v="22"/>
    <x v="22"/>
    <n v="6687.8568749999995"/>
    <n v="3018.3168749999995"/>
    <n v="0.45131301871647778"/>
    <s v="Nov-2023"/>
    <s v="Q4-2023"/>
    <s v="Low Price"/>
    <x v="1"/>
    <x v="10"/>
    <x v="1"/>
  </r>
  <r>
    <x v="458"/>
    <x v="375"/>
    <d v="2024-05-18T00:00:00"/>
    <x v="19"/>
    <x v="3"/>
    <x v="7"/>
    <x v="11"/>
    <s v="Corporate"/>
    <x v="2"/>
    <x v="8"/>
    <x v="0"/>
    <x v="458"/>
    <n v="13"/>
    <n v="13"/>
    <x v="459"/>
    <x v="459"/>
    <n v="1870.89"/>
    <n v="1870.89"/>
    <x v="5"/>
    <x v="5"/>
    <n v="24321.57"/>
    <n v="7889.0499999999993"/>
    <n v="0.32436433996653996"/>
    <s v="May-2024"/>
    <s v="Q2-2024"/>
    <s v="Medium Price"/>
    <x v="2"/>
    <x v="5"/>
    <x v="0"/>
  </r>
  <r>
    <x v="459"/>
    <x v="376"/>
    <d v="2023-07-19T00:00:00"/>
    <x v="24"/>
    <x v="1"/>
    <x v="2"/>
    <x v="27"/>
    <s v="Enterprise"/>
    <x v="3"/>
    <x v="13"/>
    <x v="0"/>
    <x v="459"/>
    <n v="9"/>
    <n v="9"/>
    <x v="460"/>
    <x v="460"/>
    <n v="206.88"/>
    <n v="184.74384000000001"/>
    <x v="105"/>
    <x v="105"/>
    <n v="1484.78624208"/>
    <n v="213.44624208000005"/>
    <n v="0.14375553600293908"/>
    <s v="Jul-2023"/>
    <s v="Q3-2023"/>
    <s v="Low Price"/>
    <x v="3"/>
    <x v="8"/>
    <x v="1"/>
  </r>
  <r>
    <x v="460"/>
    <x v="362"/>
    <d v="2023-06-15T00:00:00"/>
    <x v="10"/>
    <x v="0"/>
    <x v="11"/>
    <x v="25"/>
    <s v="Enterprise"/>
    <x v="0"/>
    <x v="11"/>
    <x v="6"/>
    <x v="460"/>
    <n v="17"/>
    <n v="17"/>
    <x v="461"/>
    <x v="461"/>
    <n v="62.82"/>
    <n v="54.71622"/>
    <x v="31"/>
    <x v="31"/>
    <n v="810.18306954000002"/>
    <n v="115.05306954000002"/>
    <n v="0.14200873094685135"/>
    <s v="May-2023"/>
    <s v="Q2-2023"/>
    <s v="Low Price"/>
    <x v="2"/>
    <x v="5"/>
    <x v="1"/>
  </r>
  <r>
    <x v="461"/>
    <x v="34"/>
    <d v="2024-04-03T00:00:00"/>
    <x v="30"/>
    <x v="3"/>
    <x v="6"/>
    <x v="37"/>
    <s v="Corporate"/>
    <x v="4"/>
    <x v="12"/>
    <x v="1"/>
    <x v="461"/>
    <n v="5"/>
    <n v="5"/>
    <x v="462"/>
    <x v="462"/>
    <n v="956.49"/>
    <n v="811.10352"/>
    <x v="136"/>
    <x v="136"/>
    <n v="3439.0789248000001"/>
    <n v="-251.72107519999963"/>
    <n v="0"/>
    <s v="Mar-2024"/>
    <s v="Q1-2024"/>
    <s v="High Price"/>
    <x v="0"/>
    <x v="0"/>
    <x v="0"/>
  </r>
  <r>
    <x v="462"/>
    <x v="377"/>
    <d v="2025-04-19T00:00:00"/>
    <x v="27"/>
    <x v="0"/>
    <x v="11"/>
    <x v="25"/>
    <s v="Enterprise"/>
    <x v="5"/>
    <x v="3"/>
    <x v="2"/>
    <x v="462"/>
    <n v="13"/>
    <n v="13"/>
    <x v="463"/>
    <x v="463"/>
    <n v="165.7"/>
    <n v="145.1532"/>
    <x v="213"/>
    <x v="213"/>
    <n v="1653.0046416"/>
    <n v="174.38464160000012"/>
    <n v="0.10549555470770321"/>
    <s v="Apr-2025"/>
    <s v="Q2-2025"/>
    <s v="Low Price"/>
    <x v="2"/>
    <x v="7"/>
    <x v="2"/>
  </r>
  <r>
    <x v="463"/>
    <x v="378"/>
    <d v="2025-08-15T00:00:00"/>
    <x v="6"/>
    <x v="1"/>
    <x v="2"/>
    <x v="27"/>
    <s v="Small Business"/>
    <x v="2"/>
    <x v="1"/>
    <x v="0"/>
    <x v="463"/>
    <n v="4"/>
    <n v="4"/>
    <x v="464"/>
    <x v="464"/>
    <n v="608.36"/>
    <n v="452.01148000000001"/>
    <x v="62"/>
    <x v="62"/>
    <n v="1343.3781185600001"/>
    <n v="241.65811856000005"/>
    <n v="0.17988838378508004"/>
    <s v="Jul-2025"/>
    <s v="Q3-2025"/>
    <s v="Low Price"/>
    <x v="3"/>
    <x v="8"/>
    <x v="2"/>
  </r>
  <r>
    <x v="464"/>
    <x v="379"/>
    <d v="2024-12-15T00:00:00"/>
    <x v="21"/>
    <x v="0"/>
    <x v="0"/>
    <x v="13"/>
    <s v="Non-Profit"/>
    <x v="3"/>
    <x v="0"/>
    <x v="0"/>
    <x v="464"/>
    <n v="40"/>
    <n v="40"/>
    <x v="465"/>
    <x v="465"/>
    <n v="2665.91"/>
    <n v="2103.40299"/>
    <x v="126"/>
    <x v="126"/>
    <n v="66383.398364399996"/>
    <n v="12952.998364399995"/>
    <n v="0.19512406239428701"/>
    <s v="Nov-2024"/>
    <s v="Q4-2024"/>
    <s v="Medium Price"/>
    <x v="1"/>
    <x v="10"/>
    <x v="0"/>
  </r>
  <r>
    <x v="465"/>
    <x v="304"/>
    <d v="2024-06-28T00:00:00"/>
    <x v="15"/>
    <x v="0"/>
    <x v="1"/>
    <x v="1"/>
    <s v="Non-Profit"/>
    <x v="4"/>
    <x v="12"/>
    <x v="6"/>
    <x v="465"/>
    <n v="6"/>
    <n v="6"/>
    <x v="466"/>
    <x v="466"/>
    <n v="587.95000000000005"/>
    <n v="453.30945000000003"/>
    <x v="83"/>
    <x v="83"/>
    <n v="2097.0095157000005"/>
    <n v="643.14951570000039"/>
    <n v="0.30669842501182515"/>
    <s v="Jun-2024"/>
    <s v="Q2-2024"/>
    <s v="Low Price"/>
    <x v="2"/>
    <x v="9"/>
    <x v="0"/>
  </r>
  <r>
    <x v="466"/>
    <x v="380"/>
    <d v="2024-01-14T00:00:00"/>
    <x v="30"/>
    <x v="1"/>
    <x v="4"/>
    <x v="29"/>
    <s v="Consumer"/>
    <x v="3"/>
    <x v="14"/>
    <x v="2"/>
    <x v="466"/>
    <n v="7"/>
    <n v="7"/>
    <x v="467"/>
    <x v="467"/>
    <n v="2193.13"/>
    <n v="2037.4177700000002"/>
    <x v="88"/>
    <x v="88"/>
    <n v="13249.327758310003"/>
    <n v="3391.2277583100022"/>
    <n v="0.25595470352697841"/>
    <s v="Dec-2023"/>
    <s v="Q4-2023"/>
    <s v="Medium Price"/>
    <x v="1"/>
    <x v="3"/>
    <x v="1"/>
  </r>
  <r>
    <x v="467"/>
    <x v="262"/>
    <d v="2025-06-05T00:00:00"/>
    <x v="3"/>
    <x v="3"/>
    <x v="6"/>
    <x v="22"/>
    <s v="Enterprise"/>
    <x v="4"/>
    <x v="12"/>
    <x v="0"/>
    <x v="467"/>
    <n v="15"/>
    <n v="15"/>
    <x v="468"/>
    <x v="468"/>
    <n v="2187.8000000000002"/>
    <n v="1684.6060000000002"/>
    <x v="214"/>
    <x v="214"/>
    <n v="19457.199300000004"/>
    <n v="1885.8993000000009"/>
    <n v="9.6925527200618256E-2"/>
    <s v="Jun-2025"/>
    <s v="Q2-2025"/>
    <s v="High Price"/>
    <x v="2"/>
    <x v="9"/>
    <x v="2"/>
  </r>
  <r>
    <x v="468"/>
    <x v="381"/>
    <d v="2025-04-02T00:00:00"/>
    <x v="24"/>
    <x v="3"/>
    <x v="6"/>
    <x v="9"/>
    <s v="Enterprise"/>
    <x v="1"/>
    <x v="6"/>
    <x v="1"/>
    <x v="468"/>
    <n v="17"/>
    <n v="17"/>
    <x v="469"/>
    <x v="469"/>
    <n v="1002.11"/>
    <n v="956.01293999999996"/>
    <x v="215"/>
    <x v="215"/>
    <n v="15504.617860919998"/>
    <n v="4223.247860919997"/>
    <n v="0.27238645278480939"/>
    <s v="Mar-2025"/>
    <s v="Q1-2025"/>
    <s v="High Price"/>
    <x v="0"/>
    <x v="0"/>
    <x v="2"/>
  </r>
  <r>
    <x v="469"/>
    <x v="382"/>
    <d v="2023-05-22T00:00:00"/>
    <x v="11"/>
    <x v="0"/>
    <x v="0"/>
    <x v="13"/>
    <s v="Small Business"/>
    <x v="3"/>
    <x v="9"/>
    <x v="1"/>
    <x v="469"/>
    <n v="12"/>
    <n v="12"/>
    <x v="470"/>
    <x v="470"/>
    <n v="913.78"/>
    <n v="869.00477999999998"/>
    <x v="216"/>
    <x v="216"/>
    <n v="9917.0825493599987"/>
    <n v="4732.9625493599988"/>
    <n v="0.47725351945017758"/>
    <s v="May-2023"/>
    <s v="Q2-2023"/>
    <s v="High Price"/>
    <x v="2"/>
    <x v="5"/>
    <x v="1"/>
  </r>
  <r>
    <x v="470"/>
    <x v="345"/>
    <d v="2023-09-19T00:00:00"/>
    <x v="29"/>
    <x v="3"/>
    <x v="7"/>
    <x v="17"/>
    <s v="Small Business"/>
    <x v="4"/>
    <x v="5"/>
    <x v="1"/>
    <x v="470"/>
    <n v="23"/>
    <n v="23"/>
    <x v="471"/>
    <x v="471"/>
    <n v="1843.51"/>
    <n v="1589.10562"/>
    <x v="159"/>
    <x v="159"/>
    <n v="31505.608022119999"/>
    <n v="13463.028022119997"/>
    <n v="0.42732163787055444"/>
    <s v="Aug-2023"/>
    <s v="Q3-2023"/>
    <s v="High Price"/>
    <x v="3"/>
    <x v="11"/>
    <x v="1"/>
  </r>
  <r>
    <x v="471"/>
    <x v="350"/>
    <d v="2025-07-23T00:00:00"/>
    <x v="8"/>
    <x v="1"/>
    <x v="9"/>
    <x v="38"/>
    <s v="Small Business"/>
    <x v="1"/>
    <x v="12"/>
    <x v="0"/>
    <x v="471"/>
    <n v="12"/>
    <n v="12"/>
    <x v="472"/>
    <x v="472"/>
    <n v="1383.6"/>
    <n v="1281.2136"/>
    <x v="13"/>
    <x v="13"/>
    <n v="14236.845523200001"/>
    <n v="6468.5255232000018"/>
    <n v="0.45435103672783811"/>
    <s v="Jul-2025"/>
    <s v="Q3-2025"/>
    <s v="High Price"/>
    <x v="3"/>
    <x v="8"/>
    <x v="2"/>
  </r>
  <r>
    <x v="472"/>
    <x v="383"/>
    <d v="2024-02-28T00:00:00"/>
    <x v="22"/>
    <x v="0"/>
    <x v="0"/>
    <x v="0"/>
    <s v="Non-Profit"/>
    <x v="1"/>
    <x v="11"/>
    <x v="5"/>
    <x v="472"/>
    <n v="6"/>
    <n v="6"/>
    <x v="473"/>
    <x v="473"/>
    <n v="1588.53"/>
    <n v="1388.3752199999999"/>
    <x v="38"/>
    <x v="38"/>
    <n v="7280.6396536800003"/>
    <n v="2271.0596536800003"/>
    <n v="0.31193133594135414"/>
    <s v="Feb-2024"/>
    <s v="Q1-2024"/>
    <s v="High Price"/>
    <x v="0"/>
    <x v="2"/>
    <x v="0"/>
  </r>
  <r>
    <x v="473"/>
    <x v="384"/>
    <d v="2025-09-03T00:00:00"/>
    <x v="29"/>
    <x v="3"/>
    <x v="7"/>
    <x v="28"/>
    <s v="Education"/>
    <x v="0"/>
    <x v="2"/>
    <x v="3"/>
    <x v="473"/>
    <n v="18"/>
    <n v="18"/>
    <x v="474"/>
    <x v="474"/>
    <n v="1344.05"/>
    <n v="1068.5197499999999"/>
    <x v="44"/>
    <x v="44"/>
    <n v="15290.5176225"/>
    <n v="4428.0576224999986"/>
    <n v="0.28959501122343373"/>
    <s v="Aug-2025"/>
    <s v="Q3-2025"/>
    <s v="High Price"/>
    <x v="3"/>
    <x v="11"/>
    <x v="2"/>
  </r>
  <r>
    <x v="474"/>
    <x v="207"/>
    <d v="2023-05-25T00:00:00"/>
    <x v="25"/>
    <x v="2"/>
    <x v="5"/>
    <x v="30"/>
    <s v="Enterprise"/>
    <x v="0"/>
    <x v="12"/>
    <x v="1"/>
    <x v="474"/>
    <n v="22"/>
    <n v="22"/>
    <x v="475"/>
    <x v="475"/>
    <n v="1290.29"/>
    <n v="1236.09782"/>
    <x v="174"/>
    <x v="174"/>
    <n v="26051.997654319999"/>
    <n v="10861.217654319998"/>
    <n v="0.41690536742847312"/>
    <s v="May-2023"/>
    <s v="Q2-2023"/>
    <s v="High Price"/>
    <x v="2"/>
    <x v="5"/>
    <x v="1"/>
  </r>
  <r>
    <x v="475"/>
    <x v="385"/>
    <d v="2024-05-16T00:00:00"/>
    <x v="31"/>
    <x v="3"/>
    <x v="8"/>
    <x v="12"/>
    <s v="Non-Profit"/>
    <x v="4"/>
    <x v="3"/>
    <x v="4"/>
    <x v="475"/>
    <n v="5"/>
    <n v="5"/>
    <x v="476"/>
    <x v="476"/>
    <n v="221.58"/>
    <n v="201.85938000000002"/>
    <x v="25"/>
    <x v="25"/>
    <n v="919.46947590000013"/>
    <n v="-134.33052409999982"/>
    <n v="0"/>
    <s v="May-2024"/>
    <s v="Q2-2024"/>
    <s v="Low Price"/>
    <x v="2"/>
    <x v="5"/>
    <x v="0"/>
  </r>
  <r>
    <x v="476"/>
    <x v="211"/>
    <d v="2023-03-18T00:00:00"/>
    <x v="3"/>
    <x v="3"/>
    <x v="6"/>
    <x v="37"/>
    <s v="Enterprise"/>
    <x v="4"/>
    <x v="8"/>
    <x v="0"/>
    <x v="476"/>
    <n v="14"/>
    <n v="14"/>
    <x v="477"/>
    <x v="477"/>
    <n v="360.34"/>
    <n v="300.88389999999998"/>
    <x v="211"/>
    <x v="211"/>
    <n v="3517.3327909999998"/>
    <n v="-3095.2872090000001"/>
    <n v="0"/>
    <s v="Mar-2023"/>
    <s v="Q1-2023"/>
    <s v="Low Price"/>
    <x v="0"/>
    <x v="0"/>
    <x v="1"/>
  </r>
  <r>
    <x v="477"/>
    <x v="386"/>
    <d v="2023-08-13T00:00:00"/>
    <x v="28"/>
    <x v="3"/>
    <x v="8"/>
    <x v="31"/>
    <s v="Non-Profit"/>
    <x v="1"/>
    <x v="1"/>
    <x v="4"/>
    <x v="477"/>
    <n v="21"/>
    <n v="21"/>
    <x v="478"/>
    <x v="478"/>
    <n v="2545.81"/>
    <n v="1995.9150400000001"/>
    <x v="154"/>
    <x v="154"/>
    <n v="32860.745218560005"/>
    <n v="11041.115218560004"/>
    <n v="0.33599710369087721"/>
    <s v="Jul-2023"/>
    <s v="Q3-2023"/>
    <s v="Medium Price"/>
    <x v="3"/>
    <x v="8"/>
    <x v="1"/>
  </r>
  <r>
    <x v="478"/>
    <x v="387"/>
    <d v="2023-04-19T00:00:00"/>
    <x v="4"/>
    <x v="3"/>
    <x v="6"/>
    <x v="22"/>
    <s v="Corporate"/>
    <x v="4"/>
    <x v="5"/>
    <x v="6"/>
    <x v="478"/>
    <n v="33"/>
    <n v="33"/>
    <x v="479"/>
    <x v="479"/>
    <n v="699.47"/>
    <n v="685.48059999999998"/>
    <x v="113"/>
    <x v="113"/>
    <n v="22168.442604"/>
    <n v="3899.3126039999988"/>
    <n v="0.17589474703542862"/>
    <s v="Apr-2023"/>
    <s v="Q2-2023"/>
    <s v="High Price"/>
    <x v="2"/>
    <x v="7"/>
    <x v="1"/>
  </r>
  <r>
    <x v="479"/>
    <x v="279"/>
    <d v="2024-01-15T00:00:00"/>
    <x v="19"/>
    <x v="1"/>
    <x v="2"/>
    <x v="32"/>
    <s v="Small Business"/>
    <x v="2"/>
    <x v="3"/>
    <x v="2"/>
    <x v="479"/>
    <n v="16"/>
    <n v="16"/>
    <x v="480"/>
    <x v="480"/>
    <n v="2738.69"/>
    <n v="2530.5495600000004"/>
    <x v="171"/>
    <x v="171"/>
    <n v="37411.644695040006"/>
    <n v="17906.684695040007"/>
    <n v="0.47863933384928292"/>
    <s v="Jan-2024"/>
    <s v="Q1-2024"/>
    <s v="Medium Price"/>
    <x v="0"/>
    <x v="4"/>
    <x v="0"/>
  </r>
  <r>
    <x v="480"/>
    <x v="209"/>
    <d v="2024-09-07T00:00:00"/>
    <x v="3"/>
    <x v="1"/>
    <x v="2"/>
    <x v="27"/>
    <s v="Small Business"/>
    <x v="3"/>
    <x v="13"/>
    <x v="1"/>
    <x v="480"/>
    <n v="55"/>
    <n v="55"/>
    <x v="481"/>
    <x v="481"/>
    <n v="94.78"/>
    <n v="86.155020000000007"/>
    <x v="119"/>
    <x v="119"/>
    <n v="4307.3202249000005"/>
    <n v="1929.6702249000009"/>
    <n v="0.44799785577697571"/>
    <s v="Sep-2024"/>
    <s v="Q3-2024"/>
    <s v="Low Price"/>
    <x v="3"/>
    <x v="6"/>
    <x v="0"/>
  </r>
  <r>
    <x v="481"/>
    <x v="388"/>
    <d v="2025-09-03T00:00:00"/>
    <x v="3"/>
    <x v="3"/>
    <x v="7"/>
    <x v="11"/>
    <s v="Small Business"/>
    <x v="2"/>
    <x v="1"/>
    <x v="4"/>
    <x v="481"/>
    <n v="15"/>
    <n v="15"/>
    <x v="482"/>
    <x v="482"/>
    <n v="2777.35"/>
    <n v="2410.7397999999998"/>
    <x v="191"/>
    <x v="191"/>
    <n v="31387.832195999996"/>
    <n v="12089.432195999998"/>
    <n v="0.38516301860249691"/>
    <s v="Aug-2025"/>
    <s v="Q3-2025"/>
    <s v="Medium Price"/>
    <x v="3"/>
    <x v="11"/>
    <x v="2"/>
  </r>
  <r>
    <x v="482"/>
    <x v="86"/>
    <d v="2025-05-19T00:00:00"/>
    <x v="29"/>
    <x v="3"/>
    <x v="6"/>
    <x v="9"/>
    <s v="Corporate"/>
    <x v="3"/>
    <x v="5"/>
    <x v="3"/>
    <x v="482"/>
    <n v="11"/>
    <n v="11"/>
    <x v="483"/>
    <x v="483"/>
    <n v="492.18"/>
    <n v="466.09445999999997"/>
    <x v="114"/>
    <x v="114"/>
    <n v="4855.305989819999"/>
    <n v="996.94598981999934"/>
    <n v="0.20533123801265493"/>
    <s v="Apr-2025"/>
    <s v="Q2-2025"/>
    <s v="Low Price"/>
    <x v="2"/>
    <x v="7"/>
    <x v="2"/>
  </r>
  <r>
    <x v="483"/>
    <x v="389"/>
    <d v="2023-08-15T00:00:00"/>
    <x v="15"/>
    <x v="2"/>
    <x v="5"/>
    <x v="8"/>
    <s v="Education"/>
    <x v="4"/>
    <x v="3"/>
    <x v="2"/>
    <x v="483"/>
    <n v="13"/>
    <n v="13"/>
    <x v="484"/>
    <x v="484"/>
    <n v="1921.65"/>
    <n v="1685.2870500000001"/>
    <x v="82"/>
    <x v="82"/>
    <n v="19213.957657050003"/>
    <n v="2216.1976570500046"/>
    <n v="0.11534311132599147"/>
    <s v="Aug-2023"/>
    <s v="Q3-2023"/>
    <s v="Medium Price"/>
    <x v="3"/>
    <x v="11"/>
    <x v="1"/>
  </r>
  <r>
    <x v="484"/>
    <x v="390"/>
    <d v="2024-12-08T00:00:00"/>
    <x v="18"/>
    <x v="3"/>
    <x v="7"/>
    <x v="17"/>
    <s v="Enterprise"/>
    <x v="0"/>
    <x v="10"/>
    <x v="0"/>
    <x v="484"/>
    <n v="23"/>
    <n v="23"/>
    <x v="485"/>
    <x v="485"/>
    <n v="290.33"/>
    <n v="263.61964"/>
    <x v="77"/>
    <x v="77"/>
    <n v="5505.4325617600007"/>
    <n v="-415.68743823999921"/>
    <n v="0"/>
    <s v="Dec-2024"/>
    <s v="Q4-2024"/>
    <s v="Low Price"/>
    <x v="1"/>
    <x v="3"/>
    <x v="0"/>
  </r>
  <r>
    <x v="485"/>
    <x v="391"/>
    <d v="2023-11-24T00:00:00"/>
    <x v="17"/>
    <x v="3"/>
    <x v="7"/>
    <x v="28"/>
    <s v="Enterprise"/>
    <x v="3"/>
    <x v="0"/>
    <x v="3"/>
    <x v="485"/>
    <n v="11"/>
    <n v="11"/>
    <x v="486"/>
    <x v="486"/>
    <n v="602.91999999999996"/>
    <n v="469.07175999999998"/>
    <x v="217"/>
    <x v="217"/>
    <n v="4014.3161220800002"/>
    <n v="847.96612207999988"/>
    <n v="0.21123551217501774"/>
    <s v="Oct-2023"/>
    <s v="Q4-2023"/>
    <s v="Low Price"/>
    <x v="1"/>
    <x v="1"/>
    <x v="1"/>
  </r>
  <r>
    <x v="486"/>
    <x v="392"/>
    <d v="2024-11-28T00:00:00"/>
    <x v="23"/>
    <x v="2"/>
    <x v="3"/>
    <x v="35"/>
    <s v="Consumer"/>
    <x v="3"/>
    <x v="8"/>
    <x v="1"/>
    <x v="486"/>
    <n v="15"/>
    <n v="15"/>
    <x v="487"/>
    <x v="487"/>
    <n v="2077.5"/>
    <n v="1923.7650000000001"/>
    <x v="13"/>
    <x v="13"/>
    <n v="26721.095850000002"/>
    <n v="11598.695850000002"/>
    <n v="0.4340651264869439"/>
    <s v="Nov-2024"/>
    <s v="Q4-2024"/>
    <s v="Medium Price"/>
    <x v="1"/>
    <x v="10"/>
    <x v="0"/>
  </r>
  <r>
    <x v="487"/>
    <x v="393"/>
    <d v="2024-05-24T00:00:00"/>
    <x v="7"/>
    <x v="3"/>
    <x v="8"/>
    <x v="31"/>
    <s v="Education"/>
    <x v="2"/>
    <x v="11"/>
    <x v="1"/>
    <x v="487"/>
    <n v="29"/>
    <n v="29"/>
    <x v="488"/>
    <x v="488"/>
    <n v="172.88"/>
    <n v="138.82263999999998"/>
    <x v="115"/>
    <x v="115"/>
    <n v="3232.762817679999"/>
    <n v="13.182817679999062"/>
    <n v="4.0778796414949322E-3"/>
    <s v="May-2024"/>
    <s v="Q2-2024"/>
    <s v="Low Price"/>
    <x v="2"/>
    <x v="5"/>
    <x v="0"/>
  </r>
  <r>
    <x v="488"/>
    <x v="394"/>
    <d v="2025-06-05T00:00:00"/>
    <x v="29"/>
    <x v="1"/>
    <x v="2"/>
    <x v="4"/>
    <s v="Enterprise"/>
    <x v="4"/>
    <x v="10"/>
    <x v="3"/>
    <x v="488"/>
    <n v="4"/>
    <n v="4"/>
    <x v="489"/>
    <x v="489"/>
    <n v="2778.74"/>
    <n v="2403.6100999999999"/>
    <x v="157"/>
    <x v="157"/>
    <n v="8316.4909459999999"/>
    <n v="2450.4909459999999"/>
    <n v="0.29465443561609572"/>
    <s v="May-2025"/>
    <s v="Q2-2025"/>
    <s v="Medium Price"/>
    <x v="2"/>
    <x v="5"/>
    <x v="2"/>
  </r>
  <r>
    <x v="489"/>
    <x v="395"/>
    <d v="2024-05-19T00:00:00"/>
    <x v="28"/>
    <x v="0"/>
    <x v="1"/>
    <x v="3"/>
    <s v="Corporate"/>
    <x v="3"/>
    <x v="8"/>
    <x v="6"/>
    <x v="489"/>
    <n v="5"/>
    <n v="5"/>
    <x v="490"/>
    <x v="490"/>
    <n v="309.47000000000003"/>
    <n v="309.47000000000003"/>
    <x v="5"/>
    <x v="5"/>
    <n v="1547.3500000000001"/>
    <n v="611.25000000000011"/>
    <n v="0.39503021294471197"/>
    <s v="Apr-2024"/>
    <s v="Q2-2024"/>
    <s v="Low Price"/>
    <x v="2"/>
    <x v="7"/>
    <x v="0"/>
  </r>
  <r>
    <x v="490"/>
    <x v="396"/>
    <d v="2024-09-07T00:00:00"/>
    <x v="6"/>
    <x v="3"/>
    <x v="7"/>
    <x v="17"/>
    <s v="Corporate"/>
    <x v="4"/>
    <x v="1"/>
    <x v="0"/>
    <x v="490"/>
    <n v="10"/>
    <n v="10"/>
    <x v="491"/>
    <x v="491"/>
    <n v="666.41"/>
    <n v="666.41"/>
    <x v="5"/>
    <x v="5"/>
    <n v="6664.0999999999995"/>
    <n v="3688.2"/>
    <n v="0.55344307558409989"/>
    <s v="Aug-2024"/>
    <s v="Q3-2024"/>
    <s v="High Price"/>
    <x v="3"/>
    <x v="11"/>
    <x v="0"/>
  </r>
  <r>
    <x v="491"/>
    <x v="319"/>
    <d v="2025-08-19T00:00:00"/>
    <x v="30"/>
    <x v="1"/>
    <x v="2"/>
    <x v="32"/>
    <s v="Consumer"/>
    <x v="2"/>
    <x v="5"/>
    <x v="6"/>
    <x v="491"/>
    <n v="11"/>
    <n v="11"/>
    <x v="492"/>
    <x v="492"/>
    <n v="744.27"/>
    <n v="682.49558999999999"/>
    <x v="200"/>
    <x v="200"/>
    <n v="6884.3330163299997"/>
    <n v="-2972.65698367"/>
    <n v="0"/>
    <s v="Jul-2025"/>
    <s v="Q3-2025"/>
    <s v="High Price"/>
    <x v="3"/>
    <x v="8"/>
    <x v="2"/>
  </r>
  <r>
    <x v="492"/>
    <x v="397"/>
    <d v="2024-02-29T00:00:00"/>
    <x v="1"/>
    <x v="2"/>
    <x v="5"/>
    <x v="8"/>
    <s v="Non-Profit"/>
    <x v="4"/>
    <x v="2"/>
    <x v="3"/>
    <x v="492"/>
    <n v="10"/>
    <n v="10"/>
    <x v="493"/>
    <x v="493"/>
    <n v="12.69"/>
    <n v="11.01492"/>
    <x v="191"/>
    <x v="191"/>
    <n v="95.609505600000006"/>
    <n v="42.209505600000007"/>
    <n v="0.44147812850943141"/>
    <s v="Mar-2024"/>
    <s v="Q1-2024"/>
    <s v="Low Price"/>
    <x v="0"/>
    <x v="0"/>
    <x v="0"/>
  </r>
  <r>
    <x v="493"/>
    <x v="398"/>
    <d v="2024-06-17T00:00:00"/>
    <x v="29"/>
    <x v="1"/>
    <x v="4"/>
    <x v="18"/>
    <s v="Small Business"/>
    <x v="1"/>
    <x v="10"/>
    <x v="6"/>
    <x v="493"/>
    <n v="19"/>
    <n v="19"/>
    <x v="494"/>
    <x v="494"/>
    <n v="651.55999999999995"/>
    <n v="624.19447999999988"/>
    <x v="174"/>
    <x v="174"/>
    <n v="11361.587924959997"/>
    <n v="2526.2079249599974"/>
    <n v="0.22234637813348543"/>
    <s v="May-2024"/>
    <s v="Q2-2024"/>
    <s v="High Price"/>
    <x v="2"/>
    <x v="5"/>
    <x v="0"/>
  </r>
  <r>
    <x v="494"/>
    <x v="399"/>
    <d v="2024-08-17T00:00:00"/>
    <x v="19"/>
    <x v="2"/>
    <x v="10"/>
    <x v="36"/>
    <s v="Consumer"/>
    <x v="0"/>
    <x v="14"/>
    <x v="5"/>
    <x v="494"/>
    <n v="7"/>
    <n v="7"/>
    <x v="495"/>
    <x v="495"/>
    <n v="754.22"/>
    <n v="668.99314000000004"/>
    <x v="139"/>
    <x v="139"/>
    <n v="4153.7784062600003"/>
    <n v="1684.2484062600001"/>
    <n v="0.40547382203194421"/>
    <s v="Aug-2024"/>
    <s v="Q3-2024"/>
    <s v="High Price"/>
    <x v="3"/>
    <x v="11"/>
    <x v="0"/>
  </r>
  <r>
    <x v="495"/>
    <x v="264"/>
    <d v="2023-07-04T00:00:00"/>
    <x v="16"/>
    <x v="2"/>
    <x v="5"/>
    <x v="10"/>
    <s v="Non-Profit"/>
    <x v="4"/>
    <x v="0"/>
    <x v="2"/>
    <x v="495"/>
    <n v="12"/>
    <n v="12"/>
    <x v="496"/>
    <x v="496"/>
    <n v="2981.01"/>
    <n v="2557.70658"/>
    <x v="56"/>
    <x v="56"/>
    <n v="26334.146947679998"/>
    <n v="10819.826947679998"/>
    <n v="0.410866809894262"/>
    <s v="Jun-2023"/>
    <s v="Q2-2023"/>
    <s v="Medium Price"/>
    <x v="2"/>
    <x v="9"/>
    <x v="1"/>
  </r>
  <r>
    <x v="496"/>
    <x v="191"/>
    <d v="2024-09-13T00:00:00"/>
    <x v="3"/>
    <x v="3"/>
    <x v="8"/>
    <x v="21"/>
    <s v="Consumer"/>
    <x v="2"/>
    <x v="9"/>
    <x v="2"/>
    <x v="496"/>
    <n v="27"/>
    <n v="27"/>
    <x v="497"/>
    <x v="497"/>
    <n v="976.17"/>
    <n v="935.17085999999995"/>
    <x v="174"/>
    <x v="174"/>
    <n v="24189.129464759997"/>
    <n v="-6404.0305352399992"/>
    <n v="0"/>
    <s v="Sep-2024"/>
    <s v="Q3-2024"/>
    <s v="High Price"/>
    <x v="3"/>
    <x v="6"/>
    <x v="0"/>
  </r>
  <r>
    <x v="497"/>
    <x v="391"/>
    <d v="2023-10-28T00:00:00"/>
    <x v="4"/>
    <x v="2"/>
    <x v="5"/>
    <x v="10"/>
    <s v="Corporate"/>
    <x v="3"/>
    <x v="4"/>
    <x v="6"/>
    <x v="497"/>
    <n v="8"/>
    <n v="8"/>
    <x v="498"/>
    <x v="498"/>
    <n v="1145.9000000000001"/>
    <n v="1080.5837000000001"/>
    <x v="92"/>
    <x v="92"/>
    <n v="8151.9234328000002"/>
    <n v="4077.4434328000002"/>
    <n v="0.50018176279650006"/>
    <s v="Oct-2023"/>
    <s v="Q4-2023"/>
    <s v="High Price"/>
    <x v="1"/>
    <x v="1"/>
    <x v="1"/>
  </r>
  <r>
    <x v="498"/>
    <x v="17"/>
    <d v="2025-10-05T00:00:00"/>
    <x v="30"/>
    <x v="2"/>
    <x v="5"/>
    <x v="30"/>
    <s v="Education"/>
    <x v="1"/>
    <x v="0"/>
    <x v="5"/>
    <x v="498"/>
    <n v="13"/>
    <n v="13"/>
    <x v="499"/>
    <x v="499"/>
    <n v="1630.39"/>
    <n v="1274.9649800000002"/>
    <x v="218"/>
    <x v="218"/>
    <n v="12961.293986680002"/>
    <n v="4371.1539866800031"/>
    <n v="0.33724672792486066"/>
    <s v="Sep-2025"/>
    <s v="Q3-2025"/>
    <s v="High Price"/>
    <x v="3"/>
    <x v="6"/>
    <x v="2"/>
  </r>
  <r>
    <x v="499"/>
    <x v="129"/>
    <d v="2023-05-16T00:00:00"/>
    <x v="16"/>
    <x v="1"/>
    <x v="4"/>
    <x v="6"/>
    <s v="Non-Profit"/>
    <x v="0"/>
    <x v="4"/>
    <x v="5"/>
    <x v="499"/>
    <n v="22"/>
    <n v="22"/>
    <x v="500"/>
    <x v="500"/>
    <n v="963.73"/>
    <n v="924.21707000000004"/>
    <x v="208"/>
    <x v="208"/>
    <n v="19499.131742859998"/>
    <n v="9040.9917428599983"/>
    <n v="0.46366124718196955"/>
    <s v="May-2023"/>
    <s v="Q2-2023"/>
    <s v="High Price"/>
    <x v="2"/>
    <x v="5"/>
    <x v="1"/>
  </r>
  <r>
    <x v="500"/>
    <x v="400"/>
    <d v="2024-04-24T00:00:00"/>
    <x v="1"/>
    <x v="3"/>
    <x v="8"/>
    <x v="21"/>
    <s v="Non-Profit"/>
    <x v="3"/>
    <x v="13"/>
    <x v="3"/>
    <x v="500"/>
    <n v="10"/>
    <n v="10"/>
    <x v="501"/>
    <x v="501"/>
    <n v="891.73"/>
    <n v="742.81109000000004"/>
    <x v="150"/>
    <x v="150"/>
    <n v="6187.6163797000008"/>
    <n v="-6140.0836202999999"/>
    <n v="0"/>
    <s v="Apr-2024"/>
    <s v="Q2-2024"/>
    <s v="High Price"/>
    <x v="2"/>
    <x v="7"/>
    <x v="0"/>
  </r>
  <r>
    <x v="501"/>
    <x v="29"/>
    <d v="2023-03-18T00:00:00"/>
    <x v="21"/>
    <x v="1"/>
    <x v="9"/>
    <x v="38"/>
    <s v="Education"/>
    <x v="3"/>
    <x v="11"/>
    <x v="1"/>
    <x v="501"/>
    <n v="7"/>
    <n v="7"/>
    <x v="502"/>
    <x v="502"/>
    <n v="1667.82"/>
    <n v="1552.7404200000001"/>
    <x v="90"/>
    <x v="90"/>
    <n v="10119.209317140001"/>
    <n v="4728.4393171400006"/>
    <n v="0.46727359509511585"/>
    <s v="Feb-2023"/>
    <s v="Q1-2023"/>
    <s v="High Price"/>
    <x v="0"/>
    <x v="2"/>
    <x v="1"/>
  </r>
  <r>
    <x v="502"/>
    <x v="401"/>
    <d v="2025-03-25T00:00:00"/>
    <x v="26"/>
    <x v="1"/>
    <x v="9"/>
    <x v="38"/>
    <s v="Non-Profit"/>
    <x v="1"/>
    <x v="3"/>
    <x v="2"/>
    <x v="502"/>
    <n v="5"/>
    <n v="5"/>
    <x v="503"/>
    <x v="503"/>
    <n v="1921.51"/>
    <n v="1727.43749"/>
    <x v="27"/>
    <x v="27"/>
    <n v="7764.8315175500002"/>
    <n v="2099.6815175500005"/>
    <n v="0.27040915347671357"/>
    <s v="Mar-2025"/>
    <s v="Q1-2025"/>
    <s v="Medium Price"/>
    <x v="0"/>
    <x v="0"/>
    <x v="2"/>
  </r>
  <r>
    <x v="503"/>
    <x v="402"/>
    <d v="2025-03-27T00:00:00"/>
    <x v="13"/>
    <x v="2"/>
    <x v="5"/>
    <x v="30"/>
    <s v="Enterprise"/>
    <x v="4"/>
    <x v="9"/>
    <x v="2"/>
    <x v="503"/>
    <n v="9"/>
    <n v="9"/>
    <x v="504"/>
    <x v="504"/>
    <n v="1217.43"/>
    <n v="1132.2099000000001"/>
    <x v="68"/>
    <x v="68"/>
    <n v="9476.5968629999988"/>
    <n v="506.02686299999914"/>
    <n v="5.3397529758357432E-2"/>
    <s v="Mar-2025"/>
    <s v="Q1-2025"/>
    <s v="High Price"/>
    <x v="0"/>
    <x v="0"/>
    <x v="2"/>
  </r>
  <r>
    <x v="504"/>
    <x v="403"/>
    <d v="2024-04-09T00:00:00"/>
    <x v="3"/>
    <x v="0"/>
    <x v="1"/>
    <x v="3"/>
    <s v="Non-Profit"/>
    <x v="4"/>
    <x v="11"/>
    <x v="0"/>
    <x v="504"/>
    <n v="38"/>
    <n v="38"/>
    <x v="505"/>
    <x v="505"/>
    <n v="970.27"/>
    <n v="850.92678999999998"/>
    <x v="82"/>
    <x v="82"/>
    <n v="28357.98620354"/>
    <n v="13345.32620354"/>
    <n v="0.47060204161725944"/>
    <s v="Apr-2024"/>
    <s v="Q2-2024"/>
    <s v="High Price"/>
    <x v="2"/>
    <x v="7"/>
    <x v="0"/>
  </r>
  <r>
    <x v="505"/>
    <x v="60"/>
    <d v="2025-05-17T00:00:00"/>
    <x v="8"/>
    <x v="2"/>
    <x v="10"/>
    <x v="36"/>
    <s v="Corporate"/>
    <x v="4"/>
    <x v="13"/>
    <x v="3"/>
    <x v="505"/>
    <n v="28"/>
    <n v="28"/>
    <x v="506"/>
    <x v="506"/>
    <n v="1624.67"/>
    <n v="1242.87255"/>
    <x v="146"/>
    <x v="146"/>
    <n v="26622.330021000002"/>
    <n v="519.05002100000274"/>
    <n v="1.9496791625322429E-2"/>
    <s v="Apr-2025"/>
    <s v="Q2-2025"/>
    <s v="High Price"/>
    <x v="2"/>
    <x v="7"/>
    <x v="2"/>
  </r>
  <r>
    <x v="506"/>
    <x v="404"/>
    <d v="2024-10-28T00:00:00"/>
    <x v="3"/>
    <x v="1"/>
    <x v="9"/>
    <x v="23"/>
    <s v="Small Business"/>
    <x v="3"/>
    <x v="2"/>
    <x v="2"/>
    <x v="506"/>
    <n v="6"/>
    <n v="6"/>
    <x v="507"/>
    <x v="507"/>
    <n v="2606.11"/>
    <n v="2553.9877999999999"/>
    <x v="113"/>
    <x v="113"/>
    <n v="15017.448263999999"/>
    <n v="7026.8282639999989"/>
    <n v="0.4679109353647512"/>
    <s v="Oct-2024"/>
    <s v="Q4-2024"/>
    <s v="Medium Price"/>
    <x v="1"/>
    <x v="1"/>
    <x v="0"/>
  </r>
  <r>
    <x v="507"/>
    <x v="290"/>
    <d v="2023-04-20T00:00:00"/>
    <x v="20"/>
    <x v="3"/>
    <x v="7"/>
    <x v="17"/>
    <s v="Small Business"/>
    <x v="1"/>
    <x v="8"/>
    <x v="4"/>
    <x v="507"/>
    <n v="10"/>
    <n v="10"/>
    <x v="508"/>
    <x v="508"/>
    <n v="434.72"/>
    <n v="392.11744000000004"/>
    <x v="199"/>
    <x v="199"/>
    <n v="3536.8993088000007"/>
    <n v="1266.6993088000004"/>
    <n v="0.35813835741616468"/>
    <s v="Apr-2023"/>
    <s v="Q2-2023"/>
    <s v="Low Price"/>
    <x v="2"/>
    <x v="7"/>
    <x v="1"/>
  </r>
  <r>
    <x v="508"/>
    <x v="405"/>
    <d v="2024-11-21T00:00:00"/>
    <x v="27"/>
    <x v="1"/>
    <x v="4"/>
    <x v="29"/>
    <s v="Corporate"/>
    <x v="4"/>
    <x v="10"/>
    <x v="4"/>
    <x v="508"/>
    <n v="5"/>
    <n v="5"/>
    <x v="509"/>
    <x v="509"/>
    <n v="1860.41"/>
    <n v="1659.4857200000001"/>
    <x v="86"/>
    <x v="86"/>
    <n v="7401.3063112000009"/>
    <n v="2884.2563112000007"/>
    <n v="0.38969557398744731"/>
    <s v="Nov-2024"/>
    <s v="Q4-2024"/>
    <s v="High Price"/>
    <x v="1"/>
    <x v="10"/>
    <x v="0"/>
  </r>
  <r>
    <x v="509"/>
    <x v="406"/>
    <d v="2023-05-14T00:00:00"/>
    <x v="3"/>
    <x v="1"/>
    <x v="4"/>
    <x v="18"/>
    <s v="Non-Profit"/>
    <x v="3"/>
    <x v="0"/>
    <x v="5"/>
    <x v="509"/>
    <n v="14"/>
    <n v="14"/>
    <x v="510"/>
    <x v="510"/>
    <n v="833.69"/>
    <n v="659.44879000000003"/>
    <x v="219"/>
    <x v="219"/>
    <n v="7302.7359004600012"/>
    <n v="-1413.6640995399985"/>
    <n v="0"/>
    <s v="May-2023"/>
    <s v="Q2-2023"/>
    <s v="High Price"/>
    <x v="2"/>
    <x v="5"/>
    <x v="1"/>
  </r>
  <r>
    <x v="510"/>
    <x v="263"/>
    <d v="2024-03-23T00:00:00"/>
    <x v="29"/>
    <x v="2"/>
    <x v="10"/>
    <x v="15"/>
    <s v="Small Business"/>
    <x v="1"/>
    <x v="9"/>
    <x v="0"/>
    <x v="510"/>
    <n v="12"/>
    <n v="12"/>
    <x v="511"/>
    <x v="511"/>
    <n v="333.48"/>
    <n v="293.79588000000001"/>
    <x v="45"/>
    <x v="45"/>
    <n v="3106.0100433600001"/>
    <n v="405.89004336000016"/>
    <n v="0.13067892173359458"/>
    <s v="Mar-2024"/>
    <s v="Q1-2024"/>
    <s v="Low Price"/>
    <x v="0"/>
    <x v="0"/>
    <x v="0"/>
  </r>
  <r>
    <x v="511"/>
    <x v="407"/>
    <d v="2024-10-11T00:00:00"/>
    <x v="26"/>
    <x v="3"/>
    <x v="8"/>
    <x v="31"/>
    <s v="Non-Profit"/>
    <x v="3"/>
    <x v="4"/>
    <x v="0"/>
    <x v="511"/>
    <n v="33"/>
    <n v="33"/>
    <x v="512"/>
    <x v="512"/>
    <n v="1784.7"/>
    <n v="1524.1338000000001"/>
    <x v="34"/>
    <x v="34"/>
    <n v="42953.138751599996"/>
    <n v="-2899.0412484000044"/>
    <n v="0"/>
    <s v="Oct-2024"/>
    <s v="Q4-2024"/>
    <s v="High Price"/>
    <x v="1"/>
    <x v="1"/>
    <x v="0"/>
  </r>
  <r>
    <x v="512"/>
    <x v="408"/>
    <d v="2023-06-08T00:00:00"/>
    <x v="20"/>
    <x v="3"/>
    <x v="6"/>
    <x v="37"/>
    <s v="Consumer"/>
    <x v="1"/>
    <x v="8"/>
    <x v="3"/>
    <x v="512"/>
    <n v="5"/>
    <n v="5"/>
    <x v="513"/>
    <x v="513"/>
    <n v="1072.29"/>
    <n v="1037.9767199999999"/>
    <x v="195"/>
    <x v="195"/>
    <n v="5023.8073247999992"/>
    <n v="1002.9573247999992"/>
    <n v="0.1996408818962673"/>
    <s v="Jun-2023"/>
    <s v="Q2-2023"/>
    <s v="High Price"/>
    <x v="2"/>
    <x v="9"/>
    <x v="1"/>
  </r>
  <r>
    <x v="513"/>
    <x v="409"/>
    <d v="2025-01-05T00:00:00"/>
    <x v="26"/>
    <x v="1"/>
    <x v="4"/>
    <x v="18"/>
    <s v="Education"/>
    <x v="0"/>
    <x v="2"/>
    <x v="0"/>
    <x v="513"/>
    <n v="11"/>
    <n v="11"/>
    <x v="514"/>
    <x v="514"/>
    <n v="3028.05"/>
    <n v="3028.05"/>
    <x v="5"/>
    <x v="5"/>
    <n v="33308.550000000003"/>
    <n v="17596.920000000006"/>
    <n v="0.52830039134096207"/>
    <s v="Jan-2025"/>
    <s v="Q1-2025"/>
    <s v="Medium Price"/>
    <x v="0"/>
    <x v="4"/>
    <x v="2"/>
  </r>
  <r>
    <x v="514"/>
    <x v="117"/>
    <d v="2025-08-28T00:00:00"/>
    <x v="21"/>
    <x v="1"/>
    <x v="4"/>
    <x v="29"/>
    <s v="Non-Profit"/>
    <x v="3"/>
    <x v="13"/>
    <x v="4"/>
    <x v="514"/>
    <n v="11"/>
    <n v="11"/>
    <x v="515"/>
    <x v="515"/>
    <n v="987.24"/>
    <n v="987.24"/>
    <x v="5"/>
    <x v="5"/>
    <n v="10859.64"/>
    <n v="3835.7"/>
    <n v="0.35320692030306716"/>
    <s v="Aug-2025"/>
    <s v="Q3-2025"/>
    <s v="High Price"/>
    <x v="3"/>
    <x v="11"/>
    <x v="2"/>
  </r>
  <r>
    <x v="515"/>
    <x v="323"/>
    <d v="2023-10-30T00:00:00"/>
    <x v="17"/>
    <x v="1"/>
    <x v="2"/>
    <x v="27"/>
    <s v="Enterprise"/>
    <x v="1"/>
    <x v="14"/>
    <x v="1"/>
    <x v="515"/>
    <n v="27"/>
    <n v="27"/>
    <x v="516"/>
    <x v="516"/>
    <n v="975.43"/>
    <n v="822.28748999999993"/>
    <x v="87"/>
    <x v="87"/>
    <n v="18716.085559889998"/>
    <n v="1189.5755598899996"/>
    <n v="6.3558993470266612E-2"/>
    <s v="Sep-2023"/>
    <s v="Q3-2023"/>
    <s v="High Price"/>
    <x v="3"/>
    <x v="6"/>
    <x v="1"/>
  </r>
  <r>
    <x v="516"/>
    <x v="253"/>
    <d v="2025-05-30T00:00:00"/>
    <x v="19"/>
    <x v="0"/>
    <x v="1"/>
    <x v="3"/>
    <s v="Consumer"/>
    <x v="3"/>
    <x v="9"/>
    <x v="6"/>
    <x v="516"/>
    <n v="8"/>
    <n v="8"/>
    <x v="517"/>
    <x v="517"/>
    <n v="141.43"/>
    <n v="126.29699000000001"/>
    <x v="105"/>
    <x v="105"/>
    <n v="902.26569656000004"/>
    <n v="371.06569655999999"/>
    <n v="0.41125989603143953"/>
    <s v="May-2025"/>
    <s v="Q2-2025"/>
    <s v="Low Price"/>
    <x v="2"/>
    <x v="5"/>
    <x v="2"/>
  </r>
  <r>
    <x v="517"/>
    <x v="372"/>
    <d v="2024-05-26T00:00:00"/>
    <x v="2"/>
    <x v="3"/>
    <x v="6"/>
    <x v="9"/>
    <s v="Non-Profit"/>
    <x v="0"/>
    <x v="5"/>
    <x v="2"/>
    <x v="517"/>
    <n v="7"/>
    <n v="7"/>
    <x v="518"/>
    <x v="518"/>
    <n v="1625.42"/>
    <n v="1401.11204"/>
    <x v="159"/>
    <x v="159"/>
    <n v="8454.3100493599995"/>
    <n v="1939.3400493599993"/>
    <n v="0.22939069398180037"/>
    <s v="May-2024"/>
    <s v="Q2-2024"/>
    <s v="High Price"/>
    <x v="2"/>
    <x v="5"/>
    <x v="0"/>
  </r>
  <r>
    <x v="518"/>
    <x v="410"/>
    <d v="2023-05-18T00:00:00"/>
    <x v="13"/>
    <x v="0"/>
    <x v="1"/>
    <x v="1"/>
    <s v="Corporate"/>
    <x v="4"/>
    <x v="9"/>
    <x v="0"/>
    <x v="518"/>
    <n v="3"/>
    <n v="3"/>
    <x v="519"/>
    <x v="519"/>
    <n v="299.94"/>
    <n v="285.24293999999998"/>
    <x v="216"/>
    <x v="216"/>
    <n v="813.79810781999981"/>
    <n v="-170.11189218000027"/>
    <n v="0"/>
    <s v="May-2023"/>
    <s v="Q2-2023"/>
    <s v="Low Price"/>
    <x v="2"/>
    <x v="5"/>
    <x v="1"/>
  </r>
  <r>
    <x v="519"/>
    <x v="411"/>
    <d v="2024-08-08T00:00:00"/>
    <x v="17"/>
    <x v="3"/>
    <x v="7"/>
    <x v="11"/>
    <s v="Corporate"/>
    <x v="4"/>
    <x v="1"/>
    <x v="0"/>
    <x v="519"/>
    <n v="6"/>
    <n v="6"/>
    <x v="520"/>
    <x v="520"/>
    <n v="1503.96"/>
    <n v="1233.2472"/>
    <x v="79"/>
    <x v="79"/>
    <n v="6067.5762240000004"/>
    <n v="-306.70377600000029"/>
    <n v="0"/>
    <s v="Jul-2024"/>
    <s v="Q3-2024"/>
    <s v="High Price"/>
    <x v="3"/>
    <x v="8"/>
    <x v="0"/>
  </r>
  <r>
    <x v="520"/>
    <x v="406"/>
    <d v="2023-05-27T00:00:00"/>
    <x v="13"/>
    <x v="1"/>
    <x v="4"/>
    <x v="29"/>
    <s v="Consumer"/>
    <x v="0"/>
    <x v="12"/>
    <x v="4"/>
    <x v="520"/>
    <n v="23"/>
    <n v="23"/>
    <x v="521"/>
    <x v="521"/>
    <n v="3101.11"/>
    <n v="2790.9990000000003"/>
    <x v="165"/>
    <x v="165"/>
    <n v="57773.679300000003"/>
    <n v="28191.999300000003"/>
    <n v="0.48797306388620471"/>
    <s v="May-2023"/>
    <s v="Q2-2023"/>
    <s v="Medium Price"/>
    <x v="2"/>
    <x v="5"/>
    <x v="1"/>
  </r>
  <r>
    <x v="521"/>
    <x v="411"/>
    <d v="2024-07-12T00:00:00"/>
    <x v="4"/>
    <x v="1"/>
    <x v="9"/>
    <x v="23"/>
    <s v="Small Business"/>
    <x v="0"/>
    <x v="14"/>
    <x v="6"/>
    <x v="521"/>
    <n v="23"/>
    <n v="23"/>
    <x v="522"/>
    <x v="522"/>
    <n v="979.42"/>
    <n v="979.42"/>
    <x v="5"/>
    <x v="5"/>
    <n v="22526.66"/>
    <n v="5313.6899999999987"/>
    <n v="0.23588450307324738"/>
    <s v="Jul-2024"/>
    <s v="Q3-2024"/>
    <s v="High Price"/>
    <x v="3"/>
    <x v="8"/>
    <x v="0"/>
  </r>
  <r>
    <x v="522"/>
    <x v="412"/>
    <d v="2024-05-10T00:00:00"/>
    <x v="12"/>
    <x v="0"/>
    <x v="0"/>
    <x v="0"/>
    <s v="Non-Profit"/>
    <x v="1"/>
    <x v="13"/>
    <x v="5"/>
    <x v="522"/>
    <n v="15"/>
    <n v="15"/>
    <x v="523"/>
    <x v="523"/>
    <n v="1186.26"/>
    <n v="1074.7515599999999"/>
    <x v="12"/>
    <x v="12"/>
    <n v="14605.8737004"/>
    <n v="6906.2237003999999"/>
    <n v="0.47283879362936465"/>
    <s v="Apr-2024"/>
    <s v="Q2-2024"/>
    <s v="High Price"/>
    <x v="2"/>
    <x v="7"/>
    <x v="0"/>
  </r>
  <r>
    <x v="523"/>
    <x v="94"/>
    <d v="2024-01-15T00:00:00"/>
    <x v="25"/>
    <x v="2"/>
    <x v="10"/>
    <x v="24"/>
    <s v="Non-Profit"/>
    <x v="4"/>
    <x v="6"/>
    <x v="0"/>
    <x v="523"/>
    <n v="4"/>
    <n v="4"/>
    <x v="524"/>
    <x v="524"/>
    <n v="1938.33"/>
    <n v="1608.8138999999999"/>
    <x v="189"/>
    <x v="189"/>
    <n v="5341.2621479999989"/>
    <n v="1095.7821479999993"/>
    <n v="0.20515415975422735"/>
    <s v="Jan-2024"/>
    <s v="Q1-2024"/>
    <s v="High Price"/>
    <x v="0"/>
    <x v="4"/>
    <x v="0"/>
  </r>
  <r>
    <x v="524"/>
    <x v="413"/>
    <d v="2024-04-27T00:00:00"/>
    <x v="23"/>
    <x v="0"/>
    <x v="0"/>
    <x v="16"/>
    <s v="Enterprise"/>
    <x v="1"/>
    <x v="14"/>
    <x v="1"/>
    <x v="524"/>
    <n v="13"/>
    <n v="13"/>
    <x v="525"/>
    <x v="525"/>
    <n v="826.47"/>
    <n v="640.51425000000006"/>
    <x v="152"/>
    <x v="152"/>
    <n v="6453.1810687500001"/>
    <n v="1236.2810687499996"/>
    <n v="0.19157699986705484"/>
    <s v="Apr-2024"/>
    <s v="Q2-2024"/>
    <s v="High Price"/>
    <x v="2"/>
    <x v="7"/>
    <x v="0"/>
  </r>
  <r>
    <x v="525"/>
    <x v="414"/>
    <d v="2025-02-16T00:00:00"/>
    <x v="27"/>
    <x v="0"/>
    <x v="1"/>
    <x v="3"/>
    <s v="Small Business"/>
    <x v="3"/>
    <x v="0"/>
    <x v="1"/>
    <x v="525"/>
    <n v="21"/>
    <n v="21"/>
    <x v="526"/>
    <x v="526"/>
    <n v="118.17"/>
    <n v="102.21705"/>
    <x v="157"/>
    <x v="157"/>
    <n v="1856.7727132500002"/>
    <n v="-47.507286750000048"/>
    <n v="0"/>
    <s v="Feb-2025"/>
    <s v="Q1-2025"/>
    <s v="Low Price"/>
    <x v="0"/>
    <x v="2"/>
    <x v="2"/>
  </r>
  <r>
    <x v="526"/>
    <x v="415"/>
    <d v="2023-01-26T00:00:00"/>
    <x v="16"/>
    <x v="1"/>
    <x v="9"/>
    <x v="14"/>
    <s v="Non-Profit"/>
    <x v="0"/>
    <x v="12"/>
    <x v="1"/>
    <x v="526"/>
    <n v="8"/>
    <n v="8"/>
    <x v="527"/>
    <x v="527"/>
    <n v="1425.87"/>
    <n v="1425.87"/>
    <x v="5"/>
    <x v="5"/>
    <n v="11406.96"/>
    <n v="2742.24"/>
    <n v="0.24040059752992909"/>
    <s v="Jan-2023"/>
    <s v="Q1-2023"/>
    <s v="High Price"/>
    <x v="0"/>
    <x v="4"/>
    <x v="1"/>
  </r>
  <r>
    <x v="527"/>
    <x v="416"/>
    <d v="2024-06-23T00:00:00"/>
    <x v="5"/>
    <x v="0"/>
    <x v="0"/>
    <x v="2"/>
    <s v="Consumer"/>
    <x v="3"/>
    <x v="14"/>
    <x v="4"/>
    <x v="527"/>
    <n v="39"/>
    <n v="39"/>
    <x v="528"/>
    <x v="528"/>
    <n v="1594.78"/>
    <n v="1500.6879800000002"/>
    <x v="163"/>
    <x v="163"/>
    <n v="55073.748178020003"/>
    <n v="7932.8881780200027"/>
    <n v="0.1440411891411093"/>
    <s v="Jun-2024"/>
    <s v="Q2-2024"/>
    <s v="High Price"/>
    <x v="2"/>
    <x v="9"/>
    <x v="0"/>
  </r>
  <r>
    <x v="528"/>
    <x v="417"/>
    <d v="2023-09-20T00:00:00"/>
    <x v="30"/>
    <x v="0"/>
    <x v="11"/>
    <x v="25"/>
    <s v="Small Business"/>
    <x v="2"/>
    <x v="12"/>
    <x v="1"/>
    <x v="528"/>
    <n v="10"/>
    <n v="10"/>
    <x v="529"/>
    <x v="529"/>
    <n v="3342.11"/>
    <n v="3342.11"/>
    <x v="5"/>
    <x v="5"/>
    <n v="33421.1"/>
    <n v="19424.699999999997"/>
    <n v="0.58121067229983447"/>
    <s v="Aug-2023"/>
    <s v="Q3-2023"/>
    <s v="Medium Price"/>
    <x v="3"/>
    <x v="11"/>
    <x v="1"/>
  </r>
  <r>
    <x v="529"/>
    <x v="247"/>
    <d v="2024-02-08T00:00:00"/>
    <x v="16"/>
    <x v="1"/>
    <x v="2"/>
    <x v="4"/>
    <s v="Consumer"/>
    <x v="2"/>
    <x v="2"/>
    <x v="2"/>
    <x v="529"/>
    <n v="9"/>
    <n v="9"/>
    <x v="530"/>
    <x v="530"/>
    <n v="1069.77"/>
    <n v="1029.1187399999999"/>
    <x v="16"/>
    <x v="16"/>
    <n v="8910.1100509199987"/>
    <n v="475.67005091999818"/>
    <n v="5.3385429383207637E-2"/>
    <s v="Jan-2024"/>
    <s v="Q1-2024"/>
    <s v="High Price"/>
    <x v="0"/>
    <x v="4"/>
    <x v="0"/>
  </r>
  <r>
    <x v="530"/>
    <x v="418"/>
    <d v="2025-03-26T00:00:00"/>
    <x v="14"/>
    <x v="3"/>
    <x v="6"/>
    <x v="9"/>
    <s v="Small Business"/>
    <x v="1"/>
    <x v="2"/>
    <x v="3"/>
    <x v="530"/>
    <n v="5"/>
    <n v="5"/>
    <x v="531"/>
    <x v="531"/>
    <n v="140.82"/>
    <n v="123.63995999999999"/>
    <x v="153"/>
    <x v="153"/>
    <n v="542.77942439999993"/>
    <n v="-42.070575600000097"/>
    <n v="0"/>
    <s v="Mar-2025"/>
    <s v="Q1-2025"/>
    <s v="Low Price"/>
    <x v="0"/>
    <x v="0"/>
    <x v="2"/>
  </r>
  <r>
    <x v="531"/>
    <x v="222"/>
    <d v="2025-05-12T00:00:00"/>
    <x v="8"/>
    <x v="3"/>
    <x v="7"/>
    <x v="17"/>
    <s v="Enterprise"/>
    <x v="2"/>
    <x v="11"/>
    <x v="5"/>
    <x v="531"/>
    <n v="9"/>
    <n v="9"/>
    <x v="532"/>
    <x v="532"/>
    <n v="67.040000000000006"/>
    <n v="59.397440000000003"/>
    <x v="60"/>
    <x v="60"/>
    <n v="473.63518656000008"/>
    <n v="-61.954813439999953"/>
    <n v="0"/>
    <s v="Apr-2025"/>
    <s v="Q2-2025"/>
    <s v="Low Price"/>
    <x v="2"/>
    <x v="7"/>
    <x v="2"/>
  </r>
  <r>
    <x v="532"/>
    <x v="419"/>
    <d v="2023-09-03T00:00:00"/>
    <x v="13"/>
    <x v="0"/>
    <x v="11"/>
    <x v="25"/>
    <s v="Enterprise"/>
    <x v="0"/>
    <x v="8"/>
    <x v="3"/>
    <x v="532"/>
    <n v="10"/>
    <n v="10"/>
    <x v="533"/>
    <x v="533"/>
    <n v="1276.67"/>
    <n v="1192.40978"/>
    <x v="72"/>
    <x v="72"/>
    <n v="11137.1073452"/>
    <n v="4373.4073452000002"/>
    <n v="0.39268790446604629"/>
    <s v="Aug-2023"/>
    <s v="Q3-2023"/>
    <s v="High Price"/>
    <x v="3"/>
    <x v="11"/>
    <x v="1"/>
  </r>
  <r>
    <x v="533"/>
    <x v="35"/>
    <d v="2025-07-14T00:00:00"/>
    <x v="8"/>
    <x v="0"/>
    <x v="11"/>
    <x v="20"/>
    <s v="Enterprise"/>
    <x v="2"/>
    <x v="1"/>
    <x v="4"/>
    <x v="533"/>
    <n v="20"/>
    <n v="20"/>
    <x v="534"/>
    <x v="534"/>
    <n v="2821.36"/>
    <n v="2121.6627200000003"/>
    <x v="220"/>
    <x v="220"/>
    <n v="31909.807308800006"/>
    <n v="8888.6073088000085"/>
    <n v="0.27855408911694463"/>
    <s v="Jun-2025"/>
    <s v="Q2-2025"/>
    <s v="Medium Price"/>
    <x v="2"/>
    <x v="9"/>
    <x v="2"/>
  </r>
  <r>
    <x v="534"/>
    <x v="420"/>
    <d v="2025-02-06T00:00:00"/>
    <x v="30"/>
    <x v="2"/>
    <x v="5"/>
    <x v="10"/>
    <s v="Non-Profit"/>
    <x v="0"/>
    <x v="5"/>
    <x v="4"/>
    <x v="534"/>
    <n v="12"/>
    <n v="12"/>
    <x v="535"/>
    <x v="535"/>
    <n v="1559.19"/>
    <n v="1262.9439000000002"/>
    <x v="197"/>
    <x v="197"/>
    <n v="12275.814708000002"/>
    <n v="3568.3747080000012"/>
    <n v="0.29068333083217152"/>
    <s v="Jan-2025"/>
    <s v="Q1-2025"/>
    <s v="High Price"/>
    <x v="0"/>
    <x v="4"/>
    <x v="2"/>
  </r>
  <r>
    <x v="535"/>
    <x v="306"/>
    <d v="2023-07-11T00:00:00"/>
    <x v="24"/>
    <x v="3"/>
    <x v="7"/>
    <x v="28"/>
    <s v="Corporate"/>
    <x v="4"/>
    <x v="9"/>
    <x v="2"/>
    <x v="535"/>
    <n v="14"/>
    <n v="14"/>
    <x v="536"/>
    <x v="536"/>
    <n v="656.66"/>
    <n v="558.81765999999993"/>
    <x v="9"/>
    <x v="9"/>
    <n v="6657.7536012399987"/>
    <n v="-55.246398760001284"/>
    <n v="0"/>
    <s v="Jul-2023"/>
    <s v="Q3-2023"/>
    <s v="High Price"/>
    <x v="3"/>
    <x v="8"/>
    <x v="1"/>
  </r>
  <r>
    <x v="536"/>
    <x v="421"/>
    <d v="2024-08-26T00:00:00"/>
    <x v="24"/>
    <x v="2"/>
    <x v="10"/>
    <x v="15"/>
    <s v="Corporate"/>
    <x v="3"/>
    <x v="4"/>
    <x v="4"/>
    <x v="387"/>
    <n v="21"/>
    <n v="21"/>
    <x v="537"/>
    <x v="537"/>
    <n v="2657.84"/>
    <n v="2426.6079200000004"/>
    <x v="24"/>
    <x v="24"/>
    <n v="46525.35365016001"/>
    <n v="19399.653650160009"/>
    <n v="0.41696950432730973"/>
    <s v="Aug-2024"/>
    <s v="Q3-2024"/>
    <s v="Medium Price"/>
    <x v="3"/>
    <x v="11"/>
    <x v="0"/>
  </r>
  <r>
    <x v="537"/>
    <x v="422"/>
    <d v="2023-07-13T00:00:00"/>
    <x v="31"/>
    <x v="0"/>
    <x v="11"/>
    <x v="33"/>
    <s v="Small Business"/>
    <x v="2"/>
    <x v="5"/>
    <x v="6"/>
    <x v="536"/>
    <n v="15"/>
    <n v="15"/>
    <x v="538"/>
    <x v="538"/>
    <n v="1424.74"/>
    <n v="1362.05144"/>
    <x v="221"/>
    <x v="221"/>
    <n v="19531.817649599998"/>
    <n v="10342.967649599997"/>
    <n v="0.52954455315692628"/>
    <s v="Jul-2023"/>
    <s v="Q3-2023"/>
    <s v="High Price"/>
    <x v="3"/>
    <x v="8"/>
    <x v="1"/>
  </r>
  <r>
    <x v="538"/>
    <x v="423"/>
    <d v="2024-01-01T00:00:00"/>
    <x v="3"/>
    <x v="0"/>
    <x v="11"/>
    <x v="33"/>
    <s v="Education"/>
    <x v="3"/>
    <x v="8"/>
    <x v="1"/>
    <x v="537"/>
    <n v="32"/>
    <n v="32"/>
    <x v="539"/>
    <x v="539"/>
    <n v="2318.7399999999998"/>
    <n v="2070.6348199999998"/>
    <x v="105"/>
    <x v="105"/>
    <n v="59170.460616319993"/>
    <n v="22632.860616319995"/>
    <n v="0.38250269442853641"/>
    <s v="Dec-2023"/>
    <s v="Q4-2023"/>
    <s v="Medium Price"/>
    <x v="1"/>
    <x v="3"/>
    <x v="1"/>
  </r>
  <r>
    <x v="539"/>
    <x v="424"/>
    <d v="2023-02-15T00:00:00"/>
    <x v="8"/>
    <x v="3"/>
    <x v="6"/>
    <x v="9"/>
    <s v="Small Business"/>
    <x v="1"/>
    <x v="7"/>
    <x v="2"/>
    <x v="538"/>
    <n v="10"/>
    <n v="10"/>
    <x v="540"/>
    <x v="540"/>
    <n v="366.7"/>
    <n v="334.06369999999998"/>
    <x v="25"/>
    <x v="25"/>
    <n v="3043.320307"/>
    <n v="-1882.8796929999999"/>
    <n v="0"/>
    <s v="Jan-2023"/>
    <s v="Q1-2023"/>
    <s v="Low Price"/>
    <x v="0"/>
    <x v="4"/>
    <x v="1"/>
  </r>
  <r>
    <x v="540"/>
    <x v="425"/>
    <d v="2023-07-09T00:00:00"/>
    <x v="26"/>
    <x v="0"/>
    <x v="0"/>
    <x v="2"/>
    <s v="Consumer"/>
    <x v="1"/>
    <x v="14"/>
    <x v="4"/>
    <x v="539"/>
    <n v="7"/>
    <n v="7"/>
    <x v="541"/>
    <x v="541"/>
    <n v="2797.41"/>
    <n v="2797.41"/>
    <x v="5"/>
    <x v="5"/>
    <n v="19581.87"/>
    <n v="10770.829999999998"/>
    <n v="0.55004093071805704"/>
    <s v="Jul-2023"/>
    <s v="Q3-2023"/>
    <s v="Medium Price"/>
    <x v="3"/>
    <x v="8"/>
    <x v="1"/>
  </r>
  <r>
    <x v="541"/>
    <x v="116"/>
    <d v="2024-06-09T00:00:00"/>
    <x v="25"/>
    <x v="1"/>
    <x v="9"/>
    <x v="23"/>
    <s v="Corporate"/>
    <x v="0"/>
    <x v="7"/>
    <x v="5"/>
    <x v="540"/>
    <n v="16"/>
    <n v="16"/>
    <x v="542"/>
    <x v="542"/>
    <n v="2209.66"/>
    <n v="1915.7752199999998"/>
    <x v="112"/>
    <x v="112"/>
    <n v="26575.633851839997"/>
    <n v="4651.1538518399975"/>
    <n v="0.17501572597554316"/>
    <s v="Jun-2024"/>
    <s v="Q2-2024"/>
    <s v="Medium Price"/>
    <x v="2"/>
    <x v="9"/>
    <x v="0"/>
  </r>
  <r>
    <x v="542"/>
    <x v="426"/>
    <d v="2023-02-12T00:00:00"/>
    <x v="26"/>
    <x v="0"/>
    <x v="1"/>
    <x v="1"/>
    <s v="Non-Profit"/>
    <x v="4"/>
    <x v="14"/>
    <x v="6"/>
    <x v="541"/>
    <n v="6"/>
    <n v="6"/>
    <x v="543"/>
    <x v="543"/>
    <n v="839.04"/>
    <n v="789.53664000000003"/>
    <x v="163"/>
    <x v="163"/>
    <n v="4457.7238694400003"/>
    <n v="-1209.9361305599996"/>
    <n v="0"/>
    <s v="Feb-2023"/>
    <s v="Q1-2023"/>
    <s v="High Price"/>
    <x v="0"/>
    <x v="2"/>
    <x v="1"/>
  </r>
  <r>
    <x v="543"/>
    <x v="306"/>
    <d v="2023-07-08T00:00:00"/>
    <x v="20"/>
    <x v="3"/>
    <x v="6"/>
    <x v="37"/>
    <s v="Small Business"/>
    <x v="3"/>
    <x v="13"/>
    <x v="4"/>
    <x v="542"/>
    <n v="14"/>
    <n v="14"/>
    <x v="544"/>
    <x v="544"/>
    <n v="1139.1500000000001"/>
    <n v="1008.1477500000001"/>
    <x v="158"/>
    <x v="158"/>
    <n v="12490.9506225"/>
    <n v="6048.0106225000009"/>
    <n v="0.48419138024656783"/>
    <s v="Jul-2023"/>
    <s v="Q3-2023"/>
    <s v="High Price"/>
    <x v="3"/>
    <x v="8"/>
    <x v="1"/>
  </r>
  <r>
    <x v="544"/>
    <x v="427"/>
    <d v="2025-08-26T00:00:00"/>
    <x v="31"/>
    <x v="2"/>
    <x v="10"/>
    <x v="39"/>
    <s v="Corporate"/>
    <x v="0"/>
    <x v="12"/>
    <x v="2"/>
    <x v="543"/>
    <n v="8"/>
    <n v="8"/>
    <x v="545"/>
    <x v="545"/>
    <n v="1712.03"/>
    <n v="1349.0796399999999"/>
    <x v="123"/>
    <x v="123"/>
    <n v="8504.59805056"/>
    <n v="-1935.0019494400003"/>
    <n v="0"/>
    <s v="Aug-2025"/>
    <s v="Q3-2025"/>
    <s v="High Price"/>
    <x v="3"/>
    <x v="11"/>
    <x v="2"/>
  </r>
  <r>
    <x v="545"/>
    <x v="428"/>
    <d v="2024-03-16T00:00:00"/>
    <x v="7"/>
    <x v="0"/>
    <x v="11"/>
    <x v="20"/>
    <s v="Enterprise"/>
    <x v="3"/>
    <x v="12"/>
    <x v="5"/>
    <x v="544"/>
    <n v="6"/>
    <n v="6"/>
    <x v="546"/>
    <x v="546"/>
    <n v="1054.29"/>
    <n v="804.42327"/>
    <x v="1"/>
    <x v="1"/>
    <n v="3682.6497300599999"/>
    <n v="1036.1697300599999"/>
    <n v="0.28136526849191223"/>
    <s v="Mar-2024"/>
    <s v="Q1-2024"/>
    <s v="High Price"/>
    <x v="0"/>
    <x v="0"/>
    <x v="0"/>
  </r>
  <r>
    <x v="546"/>
    <x v="429"/>
    <d v="2023-10-02T00:00:00"/>
    <x v="9"/>
    <x v="2"/>
    <x v="3"/>
    <x v="5"/>
    <s v="Education"/>
    <x v="4"/>
    <x v="8"/>
    <x v="6"/>
    <x v="545"/>
    <n v="8"/>
    <n v="8"/>
    <x v="547"/>
    <x v="547"/>
    <n v="2451.2199999999998"/>
    <n v="1941.3662399999998"/>
    <x v="222"/>
    <x v="222"/>
    <n v="12300.49649664"/>
    <n v="1908.2564966400005"/>
    <n v="0.15513654242828809"/>
    <s v="Sep-2023"/>
    <s v="Q3-2023"/>
    <s v="Medium Price"/>
    <x v="3"/>
    <x v="6"/>
    <x v="1"/>
  </r>
  <r>
    <x v="547"/>
    <x v="2"/>
    <d v="2023-03-06T00:00:00"/>
    <x v="31"/>
    <x v="3"/>
    <x v="6"/>
    <x v="37"/>
    <s v="Small Business"/>
    <x v="2"/>
    <x v="14"/>
    <x v="1"/>
    <x v="546"/>
    <n v="29"/>
    <n v="29"/>
    <x v="548"/>
    <x v="548"/>
    <n v="1251.21"/>
    <n v="1097.3111699999999"/>
    <x v="82"/>
    <x v="82"/>
    <n v="27907.914986609998"/>
    <n v="2387.3349866099998"/>
    <n v="8.5543294357726993E-2"/>
    <s v="Feb-2023"/>
    <s v="Q1-2023"/>
    <s v="High Price"/>
    <x v="0"/>
    <x v="2"/>
    <x v="1"/>
  </r>
  <r>
    <x v="548"/>
    <x v="293"/>
    <d v="2024-08-03T00:00:00"/>
    <x v="29"/>
    <x v="2"/>
    <x v="5"/>
    <x v="30"/>
    <s v="Corporate"/>
    <x v="2"/>
    <x v="12"/>
    <x v="5"/>
    <x v="547"/>
    <n v="12"/>
    <n v="12"/>
    <x v="549"/>
    <x v="549"/>
    <n v="1104.8"/>
    <n v="911.45999999999992"/>
    <x v="30"/>
    <x v="30"/>
    <n v="9023.4539999999997"/>
    <n v="587.69399999999951"/>
    <n v="6.5129605581188701E-2"/>
    <s v="Jul-2024"/>
    <s v="Q3-2024"/>
    <s v="High Price"/>
    <x v="3"/>
    <x v="8"/>
    <x v="0"/>
  </r>
  <r>
    <x v="549"/>
    <x v="430"/>
    <d v="2024-12-26T00:00:00"/>
    <x v="6"/>
    <x v="3"/>
    <x v="8"/>
    <x v="21"/>
    <s v="Enterprise"/>
    <x v="1"/>
    <x v="14"/>
    <x v="2"/>
    <x v="548"/>
    <n v="15"/>
    <n v="15"/>
    <x v="550"/>
    <x v="550"/>
    <n v="2383.41"/>
    <n v="1978.2302999999997"/>
    <x v="189"/>
    <x v="189"/>
    <n v="24628.967234999996"/>
    <n v="9100.3672349999961"/>
    <n v="0.36949853187784298"/>
    <s v="Dec-2024"/>
    <s v="Q4-2024"/>
    <s v="Medium Price"/>
    <x v="1"/>
    <x v="3"/>
    <x v="0"/>
  </r>
  <r>
    <x v="550"/>
    <x v="431"/>
    <d v="2025-08-23T00:00:00"/>
    <x v="13"/>
    <x v="2"/>
    <x v="5"/>
    <x v="10"/>
    <s v="Consumer"/>
    <x v="3"/>
    <x v="8"/>
    <x v="5"/>
    <x v="549"/>
    <n v="11"/>
    <n v="11"/>
    <x v="551"/>
    <x v="551"/>
    <n v="213.06"/>
    <n v="167.89128000000002"/>
    <x v="123"/>
    <x v="123"/>
    <n v="1455.2816150400004"/>
    <n v="502.2416150400004"/>
    <n v="0.34511644333952202"/>
    <s v="Aug-2025"/>
    <s v="Q3-2025"/>
    <s v="Low Price"/>
    <x v="3"/>
    <x v="11"/>
    <x v="2"/>
  </r>
  <r>
    <x v="551"/>
    <x v="432"/>
    <d v="2023-03-20T00:00:00"/>
    <x v="13"/>
    <x v="1"/>
    <x v="2"/>
    <x v="32"/>
    <s v="Small Business"/>
    <x v="1"/>
    <x v="14"/>
    <x v="2"/>
    <x v="550"/>
    <n v="11"/>
    <n v="11"/>
    <x v="552"/>
    <x v="552"/>
    <n v="2030.64"/>
    <n v="1711.82952"/>
    <x v="87"/>
    <x v="87"/>
    <n v="15873.79513896"/>
    <n v="2990.9251389599995"/>
    <n v="0.18841903355670717"/>
    <s v="Mar-2023"/>
    <s v="Q1-2023"/>
    <s v="Medium Price"/>
    <x v="0"/>
    <x v="0"/>
    <x v="1"/>
  </r>
  <r>
    <x v="552"/>
    <x v="433"/>
    <d v="2025-03-17T00:00:00"/>
    <x v="10"/>
    <x v="3"/>
    <x v="6"/>
    <x v="22"/>
    <s v="Consumer"/>
    <x v="0"/>
    <x v="4"/>
    <x v="6"/>
    <x v="551"/>
    <n v="22"/>
    <n v="22"/>
    <x v="553"/>
    <x v="553"/>
    <n v="956.7"/>
    <n v="916.51859999999999"/>
    <x v="174"/>
    <x v="174"/>
    <n v="19316.5460136"/>
    <n v="3247.3060136000004"/>
    <n v="0.16811007575131204"/>
    <s v="Feb-2025"/>
    <s v="Q1-2025"/>
    <s v="High Price"/>
    <x v="0"/>
    <x v="2"/>
    <x v="2"/>
  </r>
  <r>
    <x v="553"/>
    <x v="146"/>
    <d v="2025-03-01T00:00:00"/>
    <x v="16"/>
    <x v="0"/>
    <x v="0"/>
    <x v="13"/>
    <s v="Education"/>
    <x v="4"/>
    <x v="4"/>
    <x v="6"/>
    <x v="552"/>
    <n v="12"/>
    <n v="12"/>
    <x v="554"/>
    <x v="554"/>
    <n v="1447.68"/>
    <n v="1321.7318400000001"/>
    <x v="24"/>
    <x v="24"/>
    <n v="14480.894039040002"/>
    <n v="526.57403904000239"/>
    <n v="3.6363365246674446E-2"/>
    <s v="Feb-2025"/>
    <s v="Q1-2025"/>
    <s v="High Price"/>
    <x v="0"/>
    <x v="2"/>
    <x v="2"/>
  </r>
  <r>
    <x v="554"/>
    <x v="434"/>
    <d v="2024-09-26T00:00:00"/>
    <x v="0"/>
    <x v="1"/>
    <x v="2"/>
    <x v="27"/>
    <s v="Education"/>
    <x v="1"/>
    <x v="2"/>
    <x v="3"/>
    <x v="553"/>
    <n v="13"/>
    <n v="13"/>
    <x v="555"/>
    <x v="555"/>
    <n v="2949.62"/>
    <n v="2580.9175"/>
    <x v="22"/>
    <x v="22"/>
    <n v="29357.936562499999"/>
    <n v="13900.5465625"/>
    <n v="0.47348513520039731"/>
    <s v="Aug-2024"/>
    <s v="Q3-2024"/>
    <s v="Medium Price"/>
    <x v="3"/>
    <x v="11"/>
    <x v="0"/>
  </r>
  <r>
    <x v="555"/>
    <x v="239"/>
    <d v="2023-05-20T00:00:00"/>
    <x v="19"/>
    <x v="1"/>
    <x v="4"/>
    <x v="29"/>
    <s v="Enterprise"/>
    <x v="0"/>
    <x v="14"/>
    <x v="6"/>
    <x v="554"/>
    <n v="18"/>
    <n v="18"/>
    <x v="556"/>
    <x v="556"/>
    <n v="2580.5700000000002"/>
    <n v="2580.5700000000002"/>
    <x v="5"/>
    <x v="5"/>
    <n v="46450.26"/>
    <n v="20471.22"/>
    <n v="0.4407127107577008"/>
    <s v="May-2023"/>
    <s v="Q2-2023"/>
    <s v="Medium Price"/>
    <x v="2"/>
    <x v="5"/>
    <x v="1"/>
  </r>
  <r>
    <x v="556"/>
    <x v="78"/>
    <d v="2025-05-12T00:00:00"/>
    <x v="1"/>
    <x v="2"/>
    <x v="3"/>
    <x v="26"/>
    <s v="Non-Profit"/>
    <x v="3"/>
    <x v="9"/>
    <x v="1"/>
    <x v="555"/>
    <n v="27"/>
    <n v="27"/>
    <x v="557"/>
    <x v="557"/>
    <n v="1978.91"/>
    <n v="1872.0488599999999"/>
    <x v="223"/>
    <x v="223"/>
    <n v="47815.871982119999"/>
    <n v="23961.371982119999"/>
    <n v="0.50111753668488956"/>
    <s v="May-2025"/>
    <s v="Q2-2025"/>
    <s v="Medium Price"/>
    <x v="2"/>
    <x v="5"/>
    <x v="2"/>
  </r>
  <r>
    <x v="557"/>
    <x v="0"/>
    <d v="2024-03-29T00:00:00"/>
    <x v="5"/>
    <x v="2"/>
    <x v="10"/>
    <x v="39"/>
    <s v="Corporate"/>
    <x v="0"/>
    <x v="12"/>
    <x v="5"/>
    <x v="556"/>
    <n v="9"/>
    <n v="9"/>
    <x v="558"/>
    <x v="558"/>
    <n v="1481.45"/>
    <n v="1168.8640500000001"/>
    <x v="126"/>
    <x v="126"/>
    <n v="8300.1036190500017"/>
    <n v="1901.283619050002"/>
    <n v="0.22906745581901733"/>
    <s v="Mar-2024"/>
    <s v="Q1-2024"/>
    <s v="High Price"/>
    <x v="0"/>
    <x v="0"/>
    <x v="0"/>
  </r>
  <r>
    <x v="558"/>
    <x v="22"/>
    <d v="2024-05-22T00:00:00"/>
    <x v="3"/>
    <x v="0"/>
    <x v="0"/>
    <x v="2"/>
    <s v="Corporate"/>
    <x v="4"/>
    <x v="10"/>
    <x v="6"/>
    <x v="557"/>
    <n v="9"/>
    <n v="9"/>
    <x v="559"/>
    <x v="559"/>
    <n v="1658.92"/>
    <n v="1456.5317600000001"/>
    <x v="153"/>
    <x v="153"/>
    <n v="11509.513967520001"/>
    <n v="3792.733967520001"/>
    <n v="0.32953033275107413"/>
    <s v="May-2024"/>
    <s v="Q2-2024"/>
    <s v="High Price"/>
    <x v="2"/>
    <x v="5"/>
    <x v="0"/>
  </r>
  <r>
    <x v="559"/>
    <x v="435"/>
    <d v="2024-01-12T00:00:00"/>
    <x v="3"/>
    <x v="1"/>
    <x v="4"/>
    <x v="6"/>
    <s v="Corporate"/>
    <x v="4"/>
    <x v="6"/>
    <x v="1"/>
    <x v="558"/>
    <n v="25"/>
    <n v="25"/>
    <x v="560"/>
    <x v="560"/>
    <n v="602.34"/>
    <n v="530.05920000000003"/>
    <x v="18"/>
    <x v="18"/>
    <n v="11661.3024"/>
    <n v="-8396.6975999999995"/>
    <n v="0"/>
    <s v="Jan-2024"/>
    <s v="Q1-2024"/>
    <s v="Low Price"/>
    <x v="0"/>
    <x v="4"/>
    <x v="0"/>
  </r>
  <r>
    <x v="560"/>
    <x v="40"/>
    <d v="2024-11-05T00:00:00"/>
    <x v="23"/>
    <x v="2"/>
    <x v="10"/>
    <x v="39"/>
    <s v="Corporate"/>
    <x v="3"/>
    <x v="13"/>
    <x v="0"/>
    <x v="559"/>
    <n v="15"/>
    <n v="15"/>
    <x v="561"/>
    <x v="561"/>
    <n v="527.64"/>
    <n v="451.13219999999995"/>
    <x v="180"/>
    <x v="180"/>
    <n v="5785.7704649999987"/>
    <n v="-914.12953500000185"/>
    <n v="0"/>
    <s v="Oct-2024"/>
    <s v="Q4-2024"/>
    <s v="Low Price"/>
    <x v="1"/>
    <x v="1"/>
    <x v="0"/>
  </r>
  <r>
    <x v="561"/>
    <x v="25"/>
    <d v="2024-12-19T00:00:00"/>
    <x v="6"/>
    <x v="0"/>
    <x v="0"/>
    <x v="0"/>
    <s v="Corporate"/>
    <x v="1"/>
    <x v="4"/>
    <x v="3"/>
    <x v="560"/>
    <n v="19"/>
    <n v="19"/>
    <x v="562"/>
    <x v="562"/>
    <n v="1841.9"/>
    <n v="1740.5954999999999"/>
    <x v="133"/>
    <x v="133"/>
    <n v="31252.392202499996"/>
    <n v="8528.7722024999966"/>
    <n v="0.27289981986779716"/>
    <s v="Nov-2024"/>
    <s v="Q4-2024"/>
    <s v="Medium Price"/>
    <x v="1"/>
    <x v="10"/>
    <x v="0"/>
  </r>
  <r>
    <x v="562"/>
    <x v="290"/>
    <d v="2023-05-02T00:00:00"/>
    <x v="6"/>
    <x v="2"/>
    <x v="3"/>
    <x v="19"/>
    <s v="Consumer"/>
    <x v="3"/>
    <x v="6"/>
    <x v="5"/>
    <x v="561"/>
    <n v="6"/>
    <n v="6"/>
    <x v="563"/>
    <x v="563"/>
    <n v="1645.48"/>
    <n v="1420.0492400000001"/>
    <x v="81"/>
    <x v="81"/>
    <n v="7353.0149647199996"/>
    <n v="3326.7149647199999"/>
    <n v="0.45242869498861138"/>
    <s v="Apr-2023"/>
    <s v="Q2-2023"/>
    <s v="High Price"/>
    <x v="2"/>
    <x v="7"/>
    <x v="1"/>
  </r>
  <r>
    <x v="563"/>
    <x v="185"/>
    <d v="2025-02-08T00:00:00"/>
    <x v="3"/>
    <x v="3"/>
    <x v="8"/>
    <x v="31"/>
    <s v="Enterprise"/>
    <x v="2"/>
    <x v="4"/>
    <x v="2"/>
    <x v="562"/>
    <n v="15"/>
    <n v="15"/>
    <x v="564"/>
    <x v="564"/>
    <n v="727.22"/>
    <n v="677.76904000000002"/>
    <x v="55"/>
    <x v="55"/>
    <n v="9475.2111791999996"/>
    <n v="682.06117919999815"/>
    <n v="7.1983744351498999E-2"/>
    <s v="Feb-2025"/>
    <s v="Q1-2025"/>
    <s v="High Price"/>
    <x v="0"/>
    <x v="2"/>
    <x v="2"/>
  </r>
  <r>
    <x v="564"/>
    <x v="436"/>
    <d v="2024-02-04T00:00:00"/>
    <x v="23"/>
    <x v="3"/>
    <x v="8"/>
    <x v="31"/>
    <s v="Consumer"/>
    <x v="0"/>
    <x v="5"/>
    <x v="4"/>
    <x v="563"/>
    <n v="4"/>
    <n v="4"/>
    <x v="565"/>
    <x v="565"/>
    <n v="1233.79"/>
    <n v="1057.3580299999999"/>
    <x v="17"/>
    <x v="17"/>
    <n v="3624.6233268399997"/>
    <n v="1523.2633268399995"/>
    <n v="0.42025424147121049"/>
    <s v="Jan-2024"/>
    <s v="Q1-2024"/>
    <s v="High Price"/>
    <x v="0"/>
    <x v="4"/>
    <x v="0"/>
  </r>
  <r>
    <x v="565"/>
    <x v="437"/>
    <d v="2024-02-09T00:00:00"/>
    <x v="26"/>
    <x v="0"/>
    <x v="0"/>
    <x v="13"/>
    <s v="Corporate"/>
    <x v="4"/>
    <x v="9"/>
    <x v="0"/>
    <x v="564"/>
    <n v="13"/>
    <n v="13"/>
    <x v="566"/>
    <x v="566"/>
    <n v="1543.76"/>
    <n v="1349.2462399999999"/>
    <x v="38"/>
    <x v="38"/>
    <n v="15330.13577888"/>
    <n v="-705.62422112000058"/>
    <n v="0"/>
    <s v="Feb-2024"/>
    <s v="Q1-2024"/>
    <s v="High Price"/>
    <x v="0"/>
    <x v="2"/>
    <x v="0"/>
  </r>
  <r>
    <x v="566"/>
    <x v="438"/>
    <d v="2025-07-11T00:00:00"/>
    <x v="14"/>
    <x v="0"/>
    <x v="1"/>
    <x v="1"/>
    <s v="Small Business"/>
    <x v="1"/>
    <x v="8"/>
    <x v="4"/>
    <x v="565"/>
    <n v="23"/>
    <n v="23"/>
    <x v="567"/>
    <x v="567"/>
    <n v="2115.19"/>
    <n v="1920.5925200000001"/>
    <x v="77"/>
    <x v="77"/>
    <n v="40109.654187680004"/>
    <n v="13196.204187680003"/>
    <n v="0.32900319025271779"/>
    <s v="Jun-2025"/>
    <s v="Q2-2025"/>
    <s v="Medium Price"/>
    <x v="2"/>
    <x v="9"/>
    <x v="2"/>
  </r>
  <r>
    <x v="567"/>
    <x v="273"/>
    <d v="2024-11-07T00:00:00"/>
    <x v="4"/>
    <x v="3"/>
    <x v="7"/>
    <x v="17"/>
    <s v="Corporate"/>
    <x v="1"/>
    <x v="7"/>
    <x v="5"/>
    <x v="566"/>
    <n v="17"/>
    <n v="17"/>
    <x v="568"/>
    <x v="568"/>
    <n v="1837.19"/>
    <n v="1475.2635699999998"/>
    <x v="115"/>
    <x v="115"/>
    <n v="20138.822994069997"/>
    <n v="7547.2629940699971"/>
    <n v="0.37476187145059753"/>
    <s v="Nov-2024"/>
    <s v="Q4-2024"/>
    <s v="High Price"/>
    <x v="1"/>
    <x v="10"/>
    <x v="0"/>
  </r>
  <r>
    <x v="568"/>
    <x v="439"/>
    <d v="2024-02-20T00:00:00"/>
    <x v="18"/>
    <x v="2"/>
    <x v="10"/>
    <x v="39"/>
    <s v="Enterprise"/>
    <x v="1"/>
    <x v="0"/>
    <x v="2"/>
    <x v="567"/>
    <n v="12"/>
    <n v="12"/>
    <x v="569"/>
    <x v="569"/>
    <n v="2858.93"/>
    <n v="2858.93"/>
    <x v="5"/>
    <x v="5"/>
    <n v="34307.159999999996"/>
    <n v="17422.559999999998"/>
    <n v="0.50784034586366222"/>
    <s v="Feb-2024"/>
    <s v="Q1-2024"/>
    <s v="Medium Price"/>
    <x v="0"/>
    <x v="2"/>
    <x v="0"/>
  </r>
  <r>
    <x v="569"/>
    <x v="440"/>
    <d v="2025-04-14T00:00:00"/>
    <x v="26"/>
    <x v="1"/>
    <x v="2"/>
    <x v="4"/>
    <s v="Enterprise"/>
    <x v="1"/>
    <x v="3"/>
    <x v="0"/>
    <x v="568"/>
    <n v="12"/>
    <n v="12"/>
    <x v="570"/>
    <x v="570"/>
    <n v="289.92"/>
    <n v="281.51231999999999"/>
    <x v="134"/>
    <x v="134"/>
    <n v="3280.1815526399996"/>
    <n v="1613.3815526399994"/>
    <n v="0.49185739470472178"/>
    <s v="Apr-2025"/>
    <s v="Q2-2025"/>
    <s v="Low Price"/>
    <x v="2"/>
    <x v="7"/>
    <x v="2"/>
  </r>
  <r>
    <x v="570"/>
    <x v="408"/>
    <d v="2023-06-01T00:00:00"/>
    <x v="18"/>
    <x v="1"/>
    <x v="4"/>
    <x v="6"/>
    <s v="Corporate"/>
    <x v="0"/>
    <x v="6"/>
    <x v="6"/>
    <x v="569"/>
    <n v="5"/>
    <n v="5"/>
    <x v="571"/>
    <x v="571"/>
    <n v="997.2"/>
    <n v="915.42960000000005"/>
    <x v="104"/>
    <x v="104"/>
    <n v="4201.8218640000005"/>
    <n v="854.97186400000055"/>
    <n v="0.20347646608371317"/>
    <s v="Jun-2023"/>
    <s v="Q2-2023"/>
    <s v="High Price"/>
    <x v="2"/>
    <x v="9"/>
    <x v="1"/>
  </r>
  <r>
    <x v="571"/>
    <x v="401"/>
    <d v="2025-04-04T00:00:00"/>
    <x v="23"/>
    <x v="1"/>
    <x v="4"/>
    <x v="29"/>
    <s v="Education"/>
    <x v="2"/>
    <x v="1"/>
    <x v="3"/>
    <x v="570"/>
    <n v="19"/>
    <n v="19"/>
    <x v="572"/>
    <x v="572"/>
    <n v="47.29"/>
    <n v="44.263439999999996"/>
    <x v="201"/>
    <x v="201"/>
    <n v="787.18101695999985"/>
    <n v="334.41101695999987"/>
    <n v="0.42482098749212188"/>
    <s v="Mar-2025"/>
    <s v="Q1-2025"/>
    <s v="Low Price"/>
    <x v="0"/>
    <x v="0"/>
    <x v="2"/>
  </r>
  <r>
    <x v="572"/>
    <x v="279"/>
    <d v="2024-01-02T00:00:00"/>
    <x v="18"/>
    <x v="2"/>
    <x v="3"/>
    <x v="26"/>
    <s v="Education"/>
    <x v="4"/>
    <x v="8"/>
    <x v="4"/>
    <x v="571"/>
    <n v="32"/>
    <n v="32"/>
    <x v="573"/>
    <x v="573"/>
    <n v="754.24"/>
    <n v="598.11232000000007"/>
    <x v="162"/>
    <x v="162"/>
    <n v="15177.698232320003"/>
    <n v="956.57823232000192"/>
    <n v="6.3025250448254772E-2"/>
    <s v="Jan-2024"/>
    <s v="Q1-2024"/>
    <s v="High Price"/>
    <x v="0"/>
    <x v="4"/>
    <x v="0"/>
  </r>
  <r>
    <x v="573"/>
    <x v="202"/>
    <d v="2024-01-01T00:00:00"/>
    <x v="19"/>
    <x v="2"/>
    <x v="3"/>
    <x v="5"/>
    <s v="Enterprise"/>
    <x v="0"/>
    <x v="11"/>
    <x v="5"/>
    <x v="572"/>
    <n v="17"/>
    <n v="17"/>
    <x v="574"/>
    <x v="574"/>
    <n v="901.48"/>
    <n v="850.99712"/>
    <x v="121"/>
    <x v="121"/>
    <n v="13656.801781759999"/>
    <n v="-896.89821824000137"/>
    <n v="0"/>
    <s v="Dec-2023"/>
    <s v="Q4-2023"/>
    <s v="High Price"/>
    <x v="1"/>
    <x v="3"/>
    <x v="1"/>
  </r>
  <r>
    <x v="574"/>
    <x v="441"/>
    <d v="2023-04-26T00:00:00"/>
    <x v="18"/>
    <x v="3"/>
    <x v="7"/>
    <x v="11"/>
    <s v="Consumer"/>
    <x v="4"/>
    <x v="12"/>
    <x v="0"/>
    <x v="573"/>
    <n v="5"/>
    <n v="5"/>
    <x v="575"/>
    <x v="575"/>
    <n v="113.08"/>
    <n v="99.397319999999993"/>
    <x v="173"/>
    <x v="173"/>
    <n v="436.85122139999999"/>
    <n v="29.401221399999997"/>
    <n v="6.7302596306761747E-2"/>
    <s v="Apr-2023"/>
    <s v="Q2-2023"/>
    <s v="Low Price"/>
    <x v="2"/>
    <x v="7"/>
    <x v="1"/>
  </r>
  <r>
    <x v="575"/>
    <x v="442"/>
    <d v="2025-08-16T00:00:00"/>
    <x v="19"/>
    <x v="2"/>
    <x v="3"/>
    <x v="19"/>
    <s v="Enterprise"/>
    <x v="3"/>
    <x v="7"/>
    <x v="2"/>
    <x v="574"/>
    <n v="15"/>
    <n v="15"/>
    <x v="576"/>
    <x v="576"/>
    <n v="868.62"/>
    <n v="806.07936000000007"/>
    <x v="3"/>
    <x v="3"/>
    <n v="11220.624691200001"/>
    <n v="740.72469120000096"/>
    <n v="6.6014567957248332E-2"/>
    <s v="Aug-2025"/>
    <s v="Q3-2025"/>
    <s v="High Price"/>
    <x v="3"/>
    <x v="11"/>
    <x v="2"/>
  </r>
  <r>
    <x v="576"/>
    <x v="443"/>
    <d v="2023-08-19T00:00:00"/>
    <x v="13"/>
    <x v="2"/>
    <x v="3"/>
    <x v="26"/>
    <s v="Corporate"/>
    <x v="1"/>
    <x v="9"/>
    <x v="2"/>
    <x v="575"/>
    <n v="43"/>
    <n v="43"/>
    <x v="577"/>
    <x v="577"/>
    <n v="347.9"/>
    <n v="322.85120000000001"/>
    <x v="3"/>
    <x v="3"/>
    <n v="12883.0542848"/>
    <n v="5341.7142848000003"/>
    <n v="0.41463104685527813"/>
    <s v="Aug-2023"/>
    <s v="Q3-2023"/>
    <s v="Low Price"/>
    <x v="3"/>
    <x v="11"/>
    <x v="1"/>
  </r>
  <r>
    <x v="577"/>
    <x v="251"/>
    <d v="2023-07-12T00:00:00"/>
    <x v="30"/>
    <x v="3"/>
    <x v="8"/>
    <x v="31"/>
    <s v="Consumer"/>
    <x v="4"/>
    <x v="2"/>
    <x v="6"/>
    <x v="576"/>
    <n v="7"/>
    <n v="7"/>
    <x v="578"/>
    <x v="578"/>
    <n v="1111.8800000000001"/>
    <n v="961.77620000000013"/>
    <x v="157"/>
    <x v="157"/>
    <n v="5823.5548910000007"/>
    <n v="564.59489100000064"/>
    <n v="9.6950213669755647E-2"/>
    <s v="Jun-2023"/>
    <s v="Q2-2023"/>
    <s v="High Price"/>
    <x v="2"/>
    <x v="9"/>
    <x v="1"/>
  </r>
  <r>
    <x v="578"/>
    <x v="444"/>
    <d v="2024-11-24T00:00:00"/>
    <x v="19"/>
    <x v="3"/>
    <x v="8"/>
    <x v="21"/>
    <s v="Corporate"/>
    <x v="0"/>
    <x v="6"/>
    <x v="2"/>
    <x v="577"/>
    <n v="14"/>
    <n v="14"/>
    <x v="579"/>
    <x v="579"/>
    <n v="327.72"/>
    <n v="305.76276000000001"/>
    <x v="143"/>
    <x v="143"/>
    <n v="3993.8731711200003"/>
    <n v="1690.4531711200002"/>
    <n v="0.42326160563730347"/>
    <s v="Nov-2024"/>
    <s v="Q4-2024"/>
    <s v="Low Price"/>
    <x v="1"/>
    <x v="10"/>
    <x v="0"/>
  </r>
  <r>
    <x v="579"/>
    <x v="445"/>
    <d v="2025-08-03T00:00:00"/>
    <x v="21"/>
    <x v="0"/>
    <x v="0"/>
    <x v="16"/>
    <s v="Small Business"/>
    <x v="0"/>
    <x v="0"/>
    <x v="3"/>
    <x v="578"/>
    <n v="17"/>
    <n v="17"/>
    <x v="580"/>
    <x v="580"/>
    <n v="486.13"/>
    <n v="421.96084000000002"/>
    <x v="191"/>
    <x v="191"/>
    <n v="6226.4541550399999"/>
    <n v="-402.35584496000047"/>
    <n v="0"/>
    <s v="Jul-2025"/>
    <s v="Q3-2025"/>
    <s v="Low Price"/>
    <x v="3"/>
    <x v="8"/>
    <x v="2"/>
  </r>
  <r>
    <x v="580"/>
    <x v="446"/>
    <d v="2023-07-01T00:00:00"/>
    <x v="28"/>
    <x v="2"/>
    <x v="5"/>
    <x v="10"/>
    <s v="Small Business"/>
    <x v="2"/>
    <x v="8"/>
    <x v="0"/>
    <x v="579"/>
    <n v="3"/>
    <n v="3"/>
    <x v="581"/>
    <x v="581"/>
    <n v="2066.6"/>
    <n v="2045.934"/>
    <x v="19"/>
    <x v="19"/>
    <n v="6076.4239799999996"/>
    <n v="3495.2239799999998"/>
    <n v="0.57521068172731427"/>
    <s v="Jun-2023"/>
    <s v="Q2-2023"/>
    <s v="Medium Price"/>
    <x v="2"/>
    <x v="9"/>
    <x v="1"/>
  </r>
  <r>
    <x v="581"/>
    <x v="171"/>
    <d v="2023-02-06T00:00:00"/>
    <x v="11"/>
    <x v="2"/>
    <x v="5"/>
    <x v="10"/>
    <s v="Corporate"/>
    <x v="2"/>
    <x v="14"/>
    <x v="5"/>
    <x v="580"/>
    <n v="27"/>
    <n v="27"/>
    <x v="582"/>
    <x v="582"/>
    <n v="86.2"/>
    <n v="66.718800000000002"/>
    <x v="204"/>
    <x v="204"/>
    <n v="1394.2894824000002"/>
    <n v="264.60948240000016"/>
    <n v="0.18978087817497269"/>
    <s v="Jan-2023"/>
    <s v="Q1-2023"/>
    <s v="Low Price"/>
    <x v="0"/>
    <x v="4"/>
    <x v="1"/>
  </r>
  <r>
    <x v="582"/>
    <x v="331"/>
    <d v="2024-09-04T00:00:00"/>
    <x v="1"/>
    <x v="1"/>
    <x v="2"/>
    <x v="4"/>
    <s v="Corporate"/>
    <x v="4"/>
    <x v="8"/>
    <x v="4"/>
    <x v="581"/>
    <n v="21"/>
    <n v="21"/>
    <x v="583"/>
    <x v="583"/>
    <n v="2307.75"/>
    <n v="1931.5867499999999"/>
    <x v="196"/>
    <x v="196"/>
    <n v="33951.500304749999"/>
    <n v="5219.9303047499998"/>
    <n v="0.15374667563717953"/>
    <s v="Sep-2024"/>
    <s v="Q3-2024"/>
    <s v="Medium Price"/>
    <x v="3"/>
    <x v="6"/>
    <x v="0"/>
  </r>
  <r>
    <x v="583"/>
    <x v="447"/>
    <d v="2024-08-09T00:00:00"/>
    <x v="31"/>
    <x v="0"/>
    <x v="0"/>
    <x v="13"/>
    <s v="Consumer"/>
    <x v="2"/>
    <x v="10"/>
    <x v="4"/>
    <x v="582"/>
    <n v="4"/>
    <n v="4"/>
    <x v="584"/>
    <x v="584"/>
    <n v="1112.81"/>
    <n v="955.90378999999996"/>
    <x v="169"/>
    <x v="169"/>
    <n v="3284.4854224399996"/>
    <n v="711.64542243999949"/>
    <n v="0.21666877178931968"/>
    <s v="Aug-2024"/>
    <s v="Q3-2024"/>
    <s v="High Price"/>
    <x v="3"/>
    <x v="11"/>
    <x v="0"/>
  </r>
  <r>
    <x v="584"/>
    <x v="448"/>
    <d v="2025-04-17T00:00:00"/>
    <x v="18"/>
    <x v="2"/>
    <x v="5"/>
    <x v="8"/>
    <s v="Corporate"/>
    <x v="3"/>
    <x v="4"/>
    <x v="3"/>
    <x v="583"/>
    <n v="21"/>
    <n v="21"/>
    <x v="585"/>
    <x v="585"/>
    <n v="1125.99"/>
    <n v="1079.8244099999999"/>
    <x v="208"/>
    <x v="208"/>
    <n v="21746.583792989997"/>
    <n v="6638.9737929899984"/>
    <n v="0.30528812507691755"/>
    <s v="Apr-2025"/>
    <s v="Q2-2025"/>
    <s v="High Price"/>
    <x v="2"/>
    <x v="7"/>
    <x v="2"/>
  </r>
  <r>
    <x v="585"/>
    <x v="449"/>
    <d v="2023-05-16T00:00:00"/>
    <x v="19"/>
    <x v="2"/>
    <x v="10"/>
    <x v="39"/>
    <s v="Corporate"/>
    <x v="2"/>
    <x v="4"/>
    <x v="3"/>
    <x v="584"/>
    <n v="3"/>
    <n v="3"/>
    <x v="586"/>
    <x v="586"/>
    <n v="123.62"/>
    <n v="123.62"/>
    <x v="5"/>
    <x v="5"/>
    <n v="370.86"/>
    <n v="177.36"/>
    <n v="0.47823976702798904"/>
    <s v="May-2023"/>
    <s v="Q2-2023"/>
    <s v="Low Price"/>
    <x v="2"/>
    <x v="5"/>
    <x v="1"/>
  </r>
  <r>
    <x v="586"/>
    <x v="450"/>
    <d v="2024-04-06T00:00:00"/>
    <x v="9"/>
    <x v="0"/>
    <x v="1"/>
    <x v="7"/>
    <s v="Consumer"/>
    <x v="3"/>
    <x v="4"/>
    <x v="0"/>
    <x v="585"/>
    <n v="16"/>
    <n v="16"/>
    <x v="587"/>
    <x v="587"/>
    <n v="1731.75"/>
    <n v="1570.6972499999999"/>
    <x v="142"/>
    <x v="142"/>
    <n v="22793.958492000002"/>
    <n v="3069.478492000002"/>
    <n v="0.1346619321552813"/>
    <s v="Mar-2024"/>
    <s v="Q1-2024"/>
    <s v="High Price"/>
    <x v="0"/>
    <x v="0"/>
    <x v="0"/>
  </r>
  <r>
    <x v="587"/>
    <x v="249"/>
    <d v="2024-06-21T00:00:00"/>
    <x v="15"/>
    <x v="1"/>
    <x v="2"/>
    <x v="27"/>
    <s v="Small Business"/>
    <x v="3"/>
    <x v="9"/>
    <x v="3"/>
    <x v="586"/>
    <n v="25"/>
    <n v="25"/>
    <x v="588"/>
    <x v="588"/>
    <n v="3062.01"/>
    <n v="2746.6229700000004"/>
    <x v="172"/>
    <x v="172"/>
    <n v="61593.020102250011"/>
    <n v="27414.770102250011"/>
    <n v="0.44509540296512495"/>
    <s v="Jun-2024"/>
    <s v="Q2-2024"/>
    <s v="Medium Price"/>
    <x v="2"/>
    <x v="9"/>
    <x v="0"/>
  </r>
  <r>
    <x v="588"/>
    <x v="146"/>
    <d v="2025-02-27T00:00:00"/>
    <x v="7"/>
    <x v="3"/>
    <x v="7"/>
    <x v="17"/>
    <s v="Non-Profit"/>
    <x v="4"/>
    <x v="11"/>
    <x v="6"/>
    <x v="587"/>
    <n v="6"/>
    <n v="6"/>
    <x v="589"/>
    <x v="589"/>
    <n v="2200.41"/>
    <n v="2006.7739199999999"/>
    <x v="167"/>
    <x v="167"/>
    <n v="10981.066890239999"/>
    <n v="4817.5068902399998"/>
    <n v="0.43871027636866616"/>
    <s v="Feb-2025"/>
    <s v="Q1-2025"/>
    <s v="Medium Price"/>
    <x v="0"/>
    <x v="2"/>
    <x v="2"/>
  </r>
  <r>
    <x v="589"/>
    <x v="451"/>
    <d v="2023-04-16T00:00:00"/>
    <x v="19"/>
    <x v="3"/>
    <x v="7"/>
    <x v="11"/>
    <s v="Non-Profit"/>
    <x v="2"/>
    <x v="12"/>
    <x v="6"/>
    <x v="588"/>
    <n v="15"/>
    <n v="15"/>
    <x v="590"/>
    <x v="590"/>
    <n v="601.49"/>
    <n v="601.49"/>
    <x v="5"/>
    <x v="5"/>
    <n v="9022.35"/>
    <n v="-2835.7499999999982"/>
    <n v="0"/>
    <s v="Apr-2023"/>
    <s v="Q2-2023"/>
    <s v="High Price"/>
    <x v="2"/>
    <x v="7"/>
    <x v="1"/>
  </r>
  <r>
    <x v="590"/>
    <x v="388"/>
    <d v="2025-09-22T00:00:00"/>
    <x v="21"/>
    <x v="3"/>
    <x v="7"/>
    <x v="11"/>
    <s v="Corporate"/>
    <x v="4"/>
    <x v="6"/>
    <x v="0"/>
    <x v="589"/>
    <n v="15"/>
    <n v="15"/>
    <x v="591"/>
    <x v="591"/>
    <n v="947.77"/>
    <n v="782.85802000000001"/>
    <x v="155"/>
    <x v="155"/>
    <n v="9699.6108678000001"/>
    <n v="-258.88913219999995"/>
    <n v="0"/>
    <s v="Aug-2025"/>
    <s v="Q3-2025"/>
    <s v="High Price"/>
    <x v="3"/>
    <x v="11"/>
    <x v="2"/>
  </r>
  <r>
    <x v="591"/>
    <x v="452"/>
    <d v="2023-02-26T00:00:00"/>
    <x v="1"/>
    <x v="2"/>
    <x v="10"/>
    <x v="24"/>
    <s v="Non-Profit"/>
    <x v="1"/>
    <x v="4"/>
    <x v="2"/>
    <x v="590"/>
    <n v="26"/>
    <n v="26"/>
    <x v="592"/>
    <x v="592"/>
    <n v="2331.48"/>
    <n v="1991.08392"/>
    <x v="34"/>
    <x v="34"/>
    <n v="44210.027359680003"/>
    <n v="17796.367359680004"/>
    <n v="0.40254142380175212"/>
    <s v="Feb-2023"/>
    <s v="Q1-2023"/>
    <s v="Medium Price"/>
    <x v="0"/>
    <x v="2"/>
    <x v="1"/>
  </r>
  <r>
    <x v="592"/>
    <x v="453"/>
    <d v="2024-08-15T00:00:00"/>
    <x v="14"/>
    <x v="1"/>
    <x v="2"/>
    <x v="27"/>
    <s v="Corporate"/>
    <x v="2"/>
    <x v="9"/>
    <x v="5"/>
    <x v="591"/>
    <n v="5"/>
    <n v="5"/>
    <x v="593"/>
    <x v="593"/>
    <n v="1417.24"/>
    <n v="1145.1299200000001"/>
    <x v="98"/>
    <x v="98"/>
    <n v="4626.3248768000003"/>
    <n v="-1636.2751232000001"/>
    <n v="0"/>
    <s v="Jul-2024"/>
    <s v="Q3-2024"/>
    <s v="High Price"/>
    <x v="3"/>
    <x v="8"/>
    <x v="0"/>
  </r>
  <r>
    <x v="593"/>
    <x v="325"/>
    <d v="2025-07-12T00:00:00"/>
    <x v="30"/>
    <x v="3"/>
    <x v="7"/>
    <x v="11"/>
    <s v="Consumer"/>
    <x v="4"/>
    <x v="0"/>
    <x v="6"/>
    <x v="592"/>
    <n v="13"/>
    <n v="13"/>
    <x v="594"/>
    <x v="594"/>
    <n v="699.5"/>
    <n v="643.54000000000008"/>
    <x v="164"/>
    <x v="164"/>
    <n v="7696.7384000000011"/>
    <n v="3551.9484000000011"/>
    <n v="0.46148747890405117"/>
    <s v="Jun-2025"/>
    <s v="Q2-2025"/>
    <s v="High Price"/>
    <x v="2"/>
    <x v="9"/>
    <x v="2"/>
  </r>
  <r>
    <x v="594"/>
    <x v="24"/>
    <d v="2024-07-21T00:00:00"/>
    <x v="29"/>
    <x v="0"/>
    <x v="0"/>
    <x v="0"/>
    <s v="Small Business"/>
    <x v="0"/>
    <x v="11"/>
    <x v="4"/>
    <x v="593"/>
    <n v="9"/>
    <n v="9"/>
    <x v="595"/>
    <x v="595"/>
    <n v="1787.2"/>
    <n v="1656.7344000000001"/>
    <x v="93"/>
    <x v="93"/>
    <n v="13822.135099200001"/>
    <n v="7041.2650992000008"/>
    <n v="0.50941949624031213"/>
    <s v="Jun-2024"/>
    <s v="Q2-2024"/>
    <s v="High Price"/>
    <x v="2"/>
    <x v="9"/>
    <x v="0"/>
  </r>
  <r>
    <x v="595"/>
    <x v="454"/>
    <d v="2025-02-15T00:00:00"/>
    <x v="1"/>
    <x v="2"/>
    <x v="3"/>
    <x v="5"/>
    <s v="Small Business"/>
    <x v="0"/>
    <x v="14"/>
    <x v="0"/>
    <x v="594"/>
    <n v="5"/>
    <n v="5"/>
    <x v="596"/>
    <x v="596"/>
    <n v="1698.75"/>
    <n v="1625.7037499999999"/>
    <x v="89"/>
    <x v="89"/>
    <n v="7778.9924437499994"/>
    <n v="2111.6424437499991"/>
    <n v="0.27145449221339579"/>
    <s v="Feb-2025"/>
    <s v="Q1-2025"/>
    <s v="High Price"/>
    <x v="0"/>
    <x v="2"/>
    <x v="2"/>
  </r>
  <r>
    <x v="596"/>
    <x v="455"/>
    <d v="2023-01-30T00:00:00"/>
    <x v="21"/>
    <x v="0"/>
    <x v="11"/>
    <x v="33"/>
    <s v="Consumer"/>
    <x v="1"/>
    <x v="8"/>
    <x v="1"/>
    <x v="595"/>
    <n v="5"/>
    <n v="5"/>
    <x v="597"/>
    <x v="597"/>
    <n v="724.7"/>
    <n v="623.24200000000008"/>
    <x v="78"/>
    <x v="78"/>
    <n v="2679.9406000000004"/>
    <n v="1184.8406000000004"/>
    <n v="0.44211450059751334"/>
    <s v="Jan-2023"/>
    <s v="Q1-2023"/>
    <s v="High Price"/>
    <x v="0"/>
    <x v="4"/>
    <x v="1"/>
  </r>
  <r>
    <x v="597"/>
    <x v="402"/>
    <d v="2025-04-04T00:00:00"/>
    <x v="2"/>
    <x v="1"/>
    <x v="2"/>
    <x v="4"/>
    <s v="Corporate"/>
    <x v="4"/>
    <x v="10"/>
    <x v="1"/>
    <x v="596"/>
    <n v="4"/>
    <n v="4"/>
    <x v="598"/>
    <x v="598"/>
    <n v="1355.94"/>
    <n v="1102.37922"/>
    <x v="37"/>
    <x v="37"/>
    <n v="3584.9372234399998"/>
    <n v="450.05722343999969"/>
    <n v="0.12554117279859592"/>
    <s v="Mar-2025"/>
    <s v="Q1-2025"/>
    <s v="High Price"/>
    <x v="0"/>
    <x v="0"/>
    <x v="2"/>
  </r>
  <r>
    <x v="598"/>
    <x v="456"/>
    <d v="2024-08-15T00:00:00"/>
    <x v="1"/>
    <x v="2"/>
    <x v="5"/>
    <x v="30"/>
    <s v="Consumer"/>
    <x v="4"/>
    <x v="12"/>
    <x v="5"/>
    <x v="597"/>
    <n v="25"/>
    <n v="25"/>
    <x v="599"/>
    <x v="599"/>
    <n v="275.07"/>
    <n v="238.48569000000001"/>
    <x v="112"/>
    <x v="112"/>
    <n v="5169.1773307499998"/>
    <n v="1036.6773307499998"/>
    <n v="0.20054977115663924"/>
    <s v="Aug-2024"/>
    <s v="Q3-2024"/>
    <s v="Low Price"/>
    <x v="3"/>
    <x v="11"/>
    <x v="0"/>
  </r>
  <r>
    <x v="599"/>
    <x v="307"/>
    <d v="2024-03-22T00:00:00"/>
    <x v="19"/>
    <x v="3"/>
    <x v="8"/>
    <x v="31"/>
    <s v="Consumer"/>
    <x v="1"/>
    <x v="6"/>
    <x v="4"/>
    <x v="598"/>
    <n v="19"/>
    <n v="19"/>
    <x v="600"/>
    <x v="600"/>
    <n v="1802.44"/>
    <n v="1786.21804"/>
    <x v="99"/>
    <x v="99"/>
    <n v="33632.69947516"/>
    <n v="14909.14947516"/>
    <n v="0.44329327433771426"/>
    <s v="Mar-2024"/>
    <s v="Q1-2024"/>
    <s v="Medium Price"/>
    <x v="0"/>
    <x v="0"/>
    <x v="0"/>
  </r>
  <r>
    <x v="600"/>
    <x v="396"/>
    <d v="2024-09-02T00:00:00"/>
    <x v="16"/>
    <x v="2"/>
    <x v="3"/>
    <x v="5"/>
    <s v="Consumer"/>
    <x v="3"/>
    <x v="0"/>
    <x v="1"/>
    <x v="599"/>
    <n v="7"/>
    <n v="7"/>
    <x v="601"/>
    <x v="601"/>
    <n v="1269.78"/>
    <n v="1066.6152"/>
    <x v="75"/>
    <x v="75"/>
    <n v="6271.6973759999992"/>
    <n v="-3087.3726240000005"/>
    <n v="0"/>
    <s v="Aug-2024"/>
    <s v="Q3-2024"/>
    <s v="High Price"/>
    <x v="3"/>
    <x v="11"/>
    <x v="0"/>
  </r>
  <r>
    <x v="601"/>
    <x v="457"/>
    <d v="2025-08-28T00:00:00"/>
    <x v="13"/>
    <x v="3"/>
    <x v="7"/>
    <x v="28"/>
    <s v="Education"/>
    <x v="1"/>
    <x v="9"/>
    <x v="2"/>
    <x v="600"/>
    <n v="2"/>
    <n v="2"/>
    <x v="602"/>
    <x v="602"/>
    <n v="571.9"/>
    <n v="531.29510000000005"/>
    <x v="88"/>
    <x v="88"/>
    <n v="987.14629580000019"/>
    <n v="154.82629580000014"/>
    <n v="0.15684230033454796"/>
    <s v="Aug-2025"/>
    <s v="Q3-2025"/>
    <s v="Low Price"/>
    <x v="3"/>
    <x v="11"/>
    <x v="2"/>
  </r>
  <r>
    <x v="602"/>
    <x v="217"/>
    <d v="2025-05-18T00:00:00"/>
    <x v="25"/>
    <x v="1"/>
    <x v="2"/>
    <x v="27"/>
    <s v="Enterprise"/>
    <x v="0"/>
    <x v="1"/>
    <x v="1"/>
    <x v="601"/>
    <n v="17"/>
    <n v="17"/>
    <x v="603"/>
    <x v="603"/>
    <n v="2755.04"/>
    <n v="2341.7840000000001"/>
    <x v="209"/>
    <x v="209"/>
    <n v="33838.7788"/>
    <n v="14384.318799999997"/>
    <n v="0.4250838626599609"/>
    <s v="May-2025"/>
    <s v="Q2-2025"/>
    <s v="Medium Price"/>
    <x v="2"/>
    <x v="5"/>
    <x v="2"/>
  </r>
  <r>
    <x v="603"/>
    <x v="458"/>
    <d v="2023-04-25T00:00:00"/>
    <x v="14"/>
    <x v="3"/>
    <x v="8"/>
    <x v="21"/>
    <s v="Small Business"/>
    <x v="0"/>
    <x v="14"/>
    <x v="1"/>
    <x v="602"/>
    <n v="7"/>
    <n v="7"/>
    <x v="604"/>
    <x v="604"/>
    <n v="962.51"/>
    <n v="779.63310000000001"/>
    <x v="197"/>
    <x v="197"/>
    <n v="4420.5196770000002"/>
    <n v="1580.8996769999999"/>
    <n v="0.35762756248443678"/>
    <s v="Apr-2023"/>
    <s v="Q2-2023"/>
    <s v="High Price"/>
    <x v="2"/>
    <x v="7"/>
    <x v="1"/>
  </r>
  <r>
    <x v="604"/>
    <x v="459"/>
    <d v="2023-10-02T00:00:00"/>
    <x v="14"/>
    <x v="2"/>
    <x v="5"/>
    <x v="30"/>
    <s v="Small Business"/>
    <x v="0"/>
    <x v="5"/>
    <x v="4"/>
    <x v="603"/>
    <n v="13"/>
    <n v="13"/>
    <x v="605"/>
    <x v="605"/>
    <n v="668.27"/>
    <n v="543.97177999999997"/>
    <x v="63"/>
    <x v="63"/>
    <n v="5756.3093759599997"/>
    <n v="-3204.9806240400012"/>
    <n v="0"/>
    <s v="Sep-2023"/>
    <s v="Q3-2023"/>
    <s v="High Price"/>
    <x v="3"/>
    <x v="6"/>
    <x v="1"/>
  </r>
  <r>
    <x v="605"/>
    <x v="460"/>
    <d v="2023-05-14T00:00:00"/>
    <x v="22"/>
    <x v="1"/>
    <x v="2"/>
    <x v="32"/>
    <s v="Enterprise"/>
    <x v="0"/>
    <x v="8"/>
    <x v="6"/>
    <x v="604"/>
    <n v="11"/>
    <n v="11"/>
    <x v="606"/>
    <x v="606"/>
    <n v="1404.33"/>
    <n v="1259.6840099999999"/>
    <x v="172"/>
    <x v="172"/>
    <n v="12429.302126670002"/>
    <n v="-872.11787332999847"/>
    <n v="0"/>
    <s v="Apr-2023"/>
    <s v="Q2-2023"/>
    <s v="High Price"/>
    <x v="2"/>
    <x v="7"/>
    <x v="1"/>
  </r>
  <r>
    <x v="606"/>
    <x v="111"/>
    <d v="2025-06-21T00:00:00"/>
    <x v="25"/>
    <x v="0"/>
    <x v="11"/>
    <x v="20"/>
    <s v="Small Business"/>
    <x v="5"/>
    <x v="10"/>
    <x v="3"/>
    <x v="605"/>
    <n v="9"/>
    <n v="9"/>
    <x v="607"/>
    <x v="607"/>
    <n v="3589.89"/>
    <n v="3241.67067"/>
    <x v="224"/>
    <x v="224"/>
    <n v="26345.05753509"/>
    <n v="13148.62753509"/>
    <n v="0.49909276218420989"/>
    <s v="Jun-2025"/>
    <s v="Q2-2025"/>
    <s v="Medium Price"/>
    <x v="2"/>
    <x v="9"/>
    <x v="2"/>
  </r>
  <r>
    <x v="607"/>
    <x v="461"/>
    <d v="2024-12-24T00:00:00"/>
    <x v="30"/>
    <x v="0"/>
    <x v="0"/>
    <x v="13"/>
    <s v="Corporate"/>
    <x v="3"/>
    <x v="5"/>
    <x v="1"/>
    <x v="606"/>
    <n v="14"/>
    <n v="14"/>
    <x v="608"/>
    <x v="608"/>
    <n v="233.51"/>
    <n v="195.44786999999999"/>
    <x v="196"/>
    <x v="196"/>
    <n v="2290.2581406599998"/>
    <n v="283.63814065999964"/>
    <n v="0.12384548956488443"/>
    <s v="Nov-2024"/>
    <s v="Q4-2024"/>
    <s v="Low Price"/>
    <x v="1"/>
    <x v="10"/>
    <x v="0"/>
  </r>
  <r>
    <x v="608"/>
    <x v="10"/>
    <d v="2024-01-27T00:00:00"/>
    <x v="1"/>
    <x v="0"/>
    <x v="11"/>
    <x v="33"/>
    <s v="Enterprise"/>
    <x v="4"/>
    <x v="7"/>
    <x v="0"/>
    <x v="607"/>
    <n v="19"/>
    <n v="19"/>
    <x v="609"/>
    <x v="609"/>
    <n v="124.25"/>
    <n v="109.34"/>
    <x v="18"/>
    <x v="18"/>
    <n v="1828.1648"/>
    <n v="-257.08519999999999"/>
    <n v="0"/>
    <s v="Jan-2024"/>
    <s v="Q1-2024"/>
    <s v="Low Price"/>
    <x v="0"/>
    <x v="4"/>
    <x v="0"/>
  </r>
  <r>
    <x v="609"/>
    <x v="387"/>
    <d v="2023-04-23T00:00:00"/>
    <x v="20"/>
    <x v="2"/>
    <x v="10"/>
    <x v="36"/>
    <s v="Corporate"/>
    <x v="3"/>
    <x v="7"/>
    <x v="1"/>
    <x v="608"/>
    <n v="8"/>
    <n v="8"/>
    <x v="610"/>
    <x v="610"/>
    <n v="1431.37"/>
    <n v="1282.5075199999999"/>
    <x v="67"/>
    <x v="67"/>
    <n v="9193.0139033599989"/>
    <n v="399.81390335999822"/>
    <n v="4.3491058271310598E-2"/>
    <s v="Apr-2023"/>
    <s v="Q2-2023"/>
    <s v="High Price"/>
    <x v="2"/>
    <x v="7"/>
    <x v="1"/>
  </r>
  <r>
    <x v="610"/>
    <x v="145"/>
    <d v="2024-02-01T00:00:00"/>
    <x v="18"/>
    <x v="2"/>
    <x v="10"/>
    <x v="36"/>
    <s v="Consumer"/>
    <x v="3"/>
    <x v="10"/>
    <x v="1"/>
    <x v="609"/>
    <n v="14"/>
    <n v="14"/>
    <x v="611"/>
    <x v="611"/>
    <n v="1595.52"/>
    <n v="1285.98912"/>
    <x v="7"/>
    <x v="7"/>
    <n v="14511.101230080001"/>
    <n v="4509.0812300800026"/>
    <n v="0.3107332213170112"/>
    <s v="Feb-2024"/>
    <s v="Q1-2024"/>
    <s v="High Price"/>
    <x v="0"/>
    <x v="2"/>
    <x v="0"/>
  </r>
  <r>
    <x v="611"/>
    <x v="462"/>
    <d v="2024-11-06T00:00:00"/>
    <x v="5"/>
    <x v="2"/>
    <x v="10"/>
    <x v="15"/>
    <s v="Education"/>
    <x v="5"/>
    <x v="0"/>
    <x v="5"/>
    <x v="610"/>
    <n v="9"/>
    <n v="9"/>
    <x v="612"/>
    <x v="612"/>
    <n v="1028.46"/>
    <n v="1028.46"/>
    <x v="5"/>
    <x v="5"/>
    <n v="9256.14"/>
    <n v="777.95999999999913"/>
    <n v="8.4047994088248354E-2"/>
    <s v="Oct-2024"/>
    <s v="Q4-2024"/>
    <s v="High Price"/>
    <x v="1"/>
    <x v="1"/>
    <x v="0"/>
  </r>
  <r>
    <x v="612"/>
    <x v="463"/>
    <d v="2024-06-30T00:00:00"/>
    <x v="15"/>
    <x v="0"/>
    <x v="0"/>
    <x v="0"/>
    <s v="Education"/>
    <x v="4"/>
    <x v="12"/>
    <x v="2"/>
    <x v="611"/>
    <n v="26"/>
    <n v="26"/>
    <x v="613"/>
    <x v="613"/>
    <n v="3230.35"/>
    <n v="3159.2822999999999"/>
    <x v="118"/>
    <x v="118"/>
    <n v="80334.230324399992"/>
    <n v="45921.930324399997"/>
    <n v="0.57163590338715287"/>
    <s v="Jun-2024"/>
    <s v="Q2-2024"/>
    <s v="Medium Price"/>
    <x v="2"/>
    <x v="9"/>
    <x v="0"/>
  </r>
  <r>
    <x v="613"/>
    <x v="203"/>
    <d v="2023-08-19T00:00:00"/>
    <x v="8"/>
    <x v="3"/>
    <x v="7"/>
    <x v="28"/>
    <s v="Enterprise"/>
    <x v="2"/>
    <x v="3"/>
    <x v="2"/>
    <x v="612"/>
    <n v="8"/>
    <n v="8"/>
    <x v="614"/>
    <x v="614"/>
    <n v="2789.61"/>
    <n v="2312.5866900000001"/>
    <x v="225"/>
    <x v="225"/>
    <n v="15337.074928079999"/>
    <n v="3988.9949280799992"/>
    <n v="0.26008837713746302"/>
    <s v="Jul-2023"/>
    <s v="Q3-2023"/>
    <s v="Medium Price"/>
    <x v="3"/>
    <x v="8"/>
    <x v="1"/>
  </r>
  <r>
    <x v="614"/>
    <x v="418"/>
    <d v="2025-03-27T00:00:00"/>
    <x v="12"/>
    <x v="1"/>
    <x v="2"/>
    <x v="27"/>
    <s v="Enterprise"/>
    <x v="3"/>
    <x v="5"/>
    <x v="1"/>
    <x v="613"/>
    <n v="6"/>
    <n v="6"/>
    <x v="615"/>
    <x v="615"/>
    <n v="1897.74"/>
    <n v="1744.02306"/>
    <x v="226"/>
    <x v="226"/>
    <n v="9616.5431528400004"/>
    <n v="1711.0631528400008"/>
    <n v="0.17792912958901266"/>
    <s v="Mar-2025"/>
    <s v="Q1-2025"/>
    <s v="Medium Price"/>
    <x v="0"/>
    <x v="0"/>
    <x v="2"/>
  </r>
  <r>
    <x v="615"/>
    <x v="327"/>
    <d v="2023-10-11T00:00:00"/>
    <x v="25"/>
    <x v="0"/>
    <x v="1"/>
    <x v="1"/>
    <s v="Education"/>
    <x v="2"/>
    <x v="11"/>
    <x v="2"/>
    <x v="614"/>
    <n v="12"/>
    <n v="12"/>
    <x v="616"/>
    <x v="616"/>
    <n v="902.47"/>
    <n v="898.86012000000005"/>
    <x v="140"/>
    <x v="140"/>
    <n v="10743.176154240002"/>
    <n v="6049.2561542400017"/>
    <n v="0.56307893190902825"/>
    <s v="Oct-2023"/>
    <s v="Q4-2023"/>
    <s v="High Price"/>
    <x v="1"/>
    <x v="1"/>
    <x v="1"/>
  </r>
  <r>
    <x v="616"/>
    <x v="55"/>
    <d v="2025-01-16T00:00:00"/>
    <x v="17"/>
    <x v="3"/>
    <x v="8"/>
    <x v="31"/>
    <s v="Corporate"/>
    <x v="0"/>
    <x v="14"/>
    <x v="5"/>
    <x v="615"/>
    <n v="28"/>
    <n v="28"/>
    <x v="617"/>
    <x v="617"/>
    <n v="-33.659999999999997"/>
    <n v="-30.226679999999998"/>
    <x v="4"/>
    <x v="4"/>
    <n v="-760.01964191999991"/>
    <n v="-21000.379641920001"/>
    <n v="0"/>
    <s v="Dec-2024"/>
    <s v="Q4-2024"/>
    <s v="Low Price"/>
    <x v="1"/>
    <x v="3"/>
    <x v="0"/>
  </r>
  <r>
    <x v="617"/>
    <x v="445"/>
    <d v="2025-07-16T00:00:00"/>
    <x v="15"/>
    <x v="3"/>
    <x v="8"/>
    <x v="21"/>
    <s v="Enterprise"/>
    <x v="1"/>
    <x v="11"/>
    <x v="1"/>
    <x v="616"/>
    <n v="26"/>
    <n v="26"/>
    <x v="618"/>
    <x v="618"/>
    <n v="1086.68"/>
    <n v="968.23188000000005"/>
    <x v="14"/>
    <x v="14"/>
    <n v="22430.059732080001"/>
    <n v="-1750.7202679199982"/>
    <n v="0"/>
    <s v="Jul-2025"/>
    <s v="Q3-2025"/>
    <s v="High Price"/>
    <x v="3"/>
    <x v="8"/>
    <x v="2"/>
  </r>
  <r>
    <x v="618"/>
    <x v="464"/>
    <d v="2024-10-24T00:00:00"/>
    <x v="23"/>
    <x v="3"/>
    <x v="7"/>
    <x v="28"/>
    <s v="Education"/>
    <x v="3"/>
    <x v="9"/>
    <x v="0"/>
    <x v="617"/>
    <n v="43"/>
    <n v="43"/>
    <x v="619"/>
    <x v="619"/>
    <n v="1010.75"/>
    <n v="963.24474999999995"/>
    <x v="58"/>
    <x v="58"/>
    <n v="39472.806610250002"/>
    <n v="4354.706610250003"/>
    <n v="0.1103216868576861"/>
    <s v="Oct-2024"/>
    <s v="Q4-2024"/>
    <s v="High Price"/>
    <x v="1"/>
    <x v="1"/>
    <x v="0"/>
  </r>
  <r>
    <x v="619"/>
    <x v="429"/>
    <d v="2023-09-14T00:00:00"/>
    <x v="31"/>
    <x v="0"/>
    <x v="0"/>
    <x v="16"/>
    <s v="Education"/>
    <x v="4"/>
    <x v="2"/>
    <x v="6"/>
    <x v="618"/>
    <n v="3"/>
    <n v="3"/>
    <x v="620"/>
    <x v="620"/>
    <n v="411.48"/>
    <n v="343.58580000000001"/>
    <x v="211"/>
    <x v="211"/>
    <n v="860.68242899999996"/>
    <n v="107.59242899999992"/>
    <n v="0.12500827875039602"/>
    <s v="Sep-2023"/>
    <s v="Q3-2023"/>
    <s v="Low Price"/>
    <x v="3"/>
    <x v="6"/>
    <x v="1"/>
  </r>
  <r>
    <x v="620"/>
    <x v="448"/>
    <d v="2025-05-03T00:00:00"/>
    <x v="12"/>
    <x v="2"/>
    <x v="5"/>
    <x v="30"/>
    <s v="Consumer"/>
    <x v="2"/>
    <x v="1"/>
    <x v="2"/>
    <x v="619"/>
    <n v="7"/>
    <n v="7"/>
    <x v="621"/>
    <x v="621"/>
    <n v="413.34"/>
    <n v="336.45875999999998"/>
    <x v="63"/>
    <x v="63"/>
    <n v="1917.1420144799999"/>
    <n v="736.38201447999995"/>
    <n v="0.38410405119608942"/>
    <s v="Apr-2025"/>
    <s v="Q2-2025"/>
    <s v="Low Price"/>
    <x v="2"/>
    <x v="7"/>
    <x v="2"/>
  </r>
  <r>
    <x v="621"/>
    <x v="465"/>
    <d v="2024-08-23T00:00:00"/>
    <x v="0"/>
    <x v="1"/>
    <x v="4"/>
    <x v="34"/>
    <s v="Corporate"/>
    <x v="0"/>
    <x v="1"/>
    <x v="2"/>
    <x v="620"/>
    <n v="24"/>
    <n v="24"/>
    <x v="622"/>
    <x v="622"/>
    <n v="1558.89"/>
    <n v="1259.5831200000002"/>
    <x v="98"/>
    <x v="98"/>
    <n v="24425.835863040007"/>
    <n v="-7715.9241369599949"/>
    <n v="0"/>
    <s v="Jul-2024"/>
    <s v="Q3-2024"/>
    <s v="High Price"/>
    <x v="3"/>
    <x v="8"/>
    <x v="0"/>
  </r>
  <r>
    <x v="622"/>
    <x v="466"/>
    <d v="2025-07-31T00:00:00"/>
    <x v="7"/>
    <x v="0"/>
    <x v="0"/>
    <x v="2"/>
    <s v="Small Business"/>
    <x v="2"/>
    <x v="7"/>
    <x v="6"/>
    <x v="621"/>
    <n v="14"/>
    <n v="14"/>
    <x v="623"/>
    <x v="623"/>
    <n v="861.16"/>
    <n v="763.84892000000002"/>
    <x v="139"/>
    <x v="139"/>
    <n v="9485.4758885600004"/>
    <n v="810.51588856000126"/>
    <n v="8.5448099608531766E-2"/>
    <s v="Jul-2025"/>
    <s v="Q3-2025"/>
    <s v="High Price"/>
    <x v="3"/>
    <x v="8"/>
    <x v="2"/>
  </r>
  <r>
    <x v="623"/>
    <x v="242"/>
    <d v="2023-08-02T00:00:00"/>
    <x v="1"/>
    <x v="1"/>
    <x v="9"/>
    <x v="23"/>
    <s v="Non-Profit"/>
    <x v="4"/>
    <x v="1"/>
    <x v="2"/>
    <x v="622"/>
    <n v="26"/>
    <n v="26"/>
    <x v="624"/>
    <x v="624"/>
    <n v="2296.25"/>
    <n v="1926.55375"/>
    <x v="64"/>
    <x v="64"/>
    <n v="42025.8435025"/>
    <n v="15454.623502499999"/>
    <n v="0.3677409473430473"/>
    <s v="Aug-2023"/>
    <s v="Q3-2023"/>
    <s v="Medium Price"/>
    <x v="3"/>
    <x v="11"/>
    <x v="1"/>
  </r>
  <r>
    <x v="624"/>
    <x v="112"/>
    <d v="2023-12-12T00:00:00"/>
    <x v="21"/>
    <x v="1"/>
    <x v="4"/>
    <x v="18"/>
    <s v="Small Business"/>
    <x v="4"/>
    <x v="0"/>
    <x v="2"/>
    <x v="623"/>
    <n v="14"/>
    <n v="14"/>
    <x v="625"/>
    <x v="625"/>
    <n v="2636.6"/>
    <n v="2336.0275999999999"/>
    <x v="60"/>
    <x v="60"/>
    <n v="28976.086350400001"/>
    <n v="10089.526350400003"/>
    <n v="0.34820183196550702"/>
    <s v="Nov-2023"/>
    <s v="Q4-2023"/>
    <s v="Medium Price"/>
    <x v="1"/>
    <x v="10"/>
    <x v="1"/>
  </r>
  <r>
    <x v="625"/>
    <x v="81"/>
    <d v="2024-01-16T00:00:00"/>
    <x v="2"/>
    <x v="1"/>
    <x v="4"/>
    <x v="34"/>
    <s v="Small Business"/>
    <x v="0"/>
    <x v="8"/>
    <x v="0"/>
    <x v="624"/>
    <n v="17"/>
    <n v="17"/>
    <x v="626"/>
    <x v="626"/>
    <n v="978.09"/>
    <n v="822.57368999999994"/>
    <x v="129"/>
    <x v="129"/>
    <n v="11760.336045929998"/>
    <n v="-11135.433954070002"/>
    <n v="0"/>
    <s v="Dec-2023"/>
    <s v="Q4-2023"/>
    <s v="High Price"/>
    <x v="1"/>
    <x v="3"/>
    <x v="1"/>
  </r>
  <r>
    <x v="626"/>
    <x v="242"/>
    <d v="2023-08-30T00:00:00"/>
    <x v="30"/>
    <x v="1"/>
    <x v="9"/>
    <x v="23"/>
    <s v="Consumer"/>
    <x v="3"/>
    <x v="13"/>
    <x v="5"/>
    <x v="625"/>
    <n v="11"/>
    <n v="11"/>
    <x v="627"/>
    <x v="627"/>
    <n v="545.72"/>
    <n v="463.31628000000001"/>
    <x v="102"/>
    <x v="102"/>
    <n v="4326.9107389199999"/>
    <n v="1840.4707389199998"/>
    <n v="0.42535445031606606"/>
    <s v="Aug-2023"/>
    <s v="Q3-2023"/>
    <s v="Low Price"/>
    <x v="3"/>
    <x v="11"/>
    <x v="1"/>
  </r>
  <r>
    <x v="627"/>
    <x v="44"/>
    <d v="2023-07-18T00:00:00"/>
    <x v="2"/>
    <x v="2"/>
    <x v="3"/>
    <x v="26"/>
    <s v="Enterprise"/>
    <x v="1"/>
    <x v="13"/>
    <x v="3"/>
    <x v="626"/>
    <n v="23"/>
    <n v="23"/>
    <x v="628"/>
    <x v="628"/>
    <n v="1435.54"/>
    <n v="1435.54"/>
    <x v="5"/>
    <x v="5"/>
    <n v="33017.42"/>
    <n v="14455.96"/>
    <n v="0.43782827368098415"/>
    <s v="Jun-2023"/>
    <s v="Q2-2023"/>
    <s v="High Price"/>
    <x v="2"/>
    <x v="9"/>
    <x v="1"/>
  </r>
  <r>
    <x v="628"/>
    <x v="141"/>
    <d v="2024-01-02T00:00:00"/>
    <x v="0"/>
    <x v="3"/>
    <x v="6"/>
    <x v="37"/>
    <s v="Enterprise"/>
    <x v="3"/>
    <x v="6"/>
    <x v="0"/>
    <x v="627"/>
    <n v="18"/>
    <n v="18"/>
    <x v="629"/>
    <x v="629"/>
    <n v="2397.3000000000002"/>
    <n v="2248.6673999999998"/>
    <x v="227"/>
    <x v="227"/>
    <n v="37966.500381599995"/>
    <n v="18670.680381599996"/>
    <n v="0.49176722094324277"/>
    <s v="Dec-2023"/>
    <s v="Q4-2023"/>
    <s v="Medium Price"/>
    <x v="1"/>
    <x v="3"/>
    <x v="1"/>
  </r>
  <r>
    <x v="629"/>
    <x v="112"/>
    <d v="2023-12-19T00:00:00"/>
    <x v="17"/>
    <x v="1"/>
    <x v="2"/>
    <x v="32"/>
    <s v="Consumer"/>
    <x v="0"/>
    <x v="15"/>
    <x v="3"/>
    <x v="628"/>
    <n v="8"/>
    <n v="8"/>
    <x v="630"/>
    <x v="630"/>
    <n v="1853.86"/>
    <n v="1596.17346"/>
    <x v="23"/>
    <x v="23"/>
    <n v="10994.44279248"/>
    <n v="4537.5627924800001"/>
    <n v="0.41271421190927576"/>
    <s v="Nov-2023"/>
    <s v="Q4-2023"/>
    <s v="High Price"/>
    <x v="1"/>
    <x v="10"/>
    <x v="1"/>
  </r>
  <r>
    <x v="630"/>
    <x v="467"/>
    <d v="2025-03-10T00:00:00"/>
    <x v="24"/>
    <x v="1"/>
    <x v="2"/>
    <x v="4"/>
    <s v="Education"/>
    <x v="3"/>
    <x v="13"/>
    <x v="4"/>
    <x v="629"/>
    <n v="7"/>
    <n v="7"/>
    <x v="631"/>
    <x v="631"/>
    <n v="45.98"/>
    <n v="38.025459999999995"/>
    <x v="122"/>
    <x v="122"/>
    <n v="220.12938793999996"/>
    <n v="-142.89061206000002"/>
    <n v="0"/>
    <s v="Feb-2025"/>
    <s v="Q1-2025"/>
    <s v="Low Price"/>
    <x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6C7A4A-B65A-4AC6-9E80-3E10F747E275}" name="PivotTable1" cacheId="6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9">
  <location ref="X3:AB636" firstHeaderRow="1" firstDataRow="1" firstDataCol="5"/>
  <pivotFields count="32">
    <pivotField axis="axisRow" compact="0" outline="0" showAll="0" defaultSubtotal="0">
      <items count="631">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s>
    </pivotField>
    <pivotField compact="0" numFmtId="165" outline="0" showAll="0" defaultSubtotal="0">
      <items count="468">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s>
    </pivotField>
    <pivotField compact="0" numFmtId="165" outline="0" showAll="0" defaultSubtotal="0"/>
    <pivotField compact="0" outline="0" showAll="0" defaultSubtotal="0"/>
    <pivotField axis="axisRow" compact="0" outline="0" showAll="0" defaultSubtotal="0">
      <items count="4">
        <item x="0"/>
        <item x="2"/>
        <item x="1"/>
        <item x="3"/>
      </items>
    </pivotField>
    <pivotField compact="0" outline="0" showAll="0" defaultSubtotal="0">
      <items count="12">
        <item x="5"/>
        <item x="3"/>
        <item x="9"/>
        <item x="7"/>
        <item x="6"/>
        <item x="4"/>
        <item x="2"/>
        <item x="0"/>
        <item x="1"/>
        <item x="11"/>
        <item x="8"/>
        <item x="10"/>
      </items>
    </pivotField>
    <pivotField compact="0" outline="0" showAll="0" defaultSubtotal="0"/>
    <pivotField compact="0" outline="0" showAll="0" defaultSubtotal="0"/>
    <pivotField compact="0" outline="0" showAll="0" defaultSubtotal="0">
      <items count="6">
        <item x="4"/>
        <item x="3"/>
        <item x="2"/>
        <item x="1"/>
        <item x="0"/>
        <item x="5"/>
      </items>
    </pivotField>
    <pivotField compact="0" outline="0" showAll="0" defaultSubtotal="0">
      <items count="16">
        <item x="8"/>
        <item x="5"/>
        <item x="0"/>
        <item x="14"/>
        <item x="6"/>
        <item x="9"/>
        <item x="3"/>
        <item x="10"/>
        <item x="2"/>
        <item x="1"/>
        <item x="11"/>
        <item x="4"/>
        <item x="12"/>
        <item x="13"/>
        <item x="7"/>
        <item x="15"/>
      </items>
    </pivotField>
    <pivotField compact="0" outline="0" showAll="0" defaultSubtotal="0">
      <items count="7">
        <item x="6"/>
        <item x="0"/>
        <item x="4"/>
        <item x="5"/>
        <item x="2"/>
        <item x="3"/>
        <item x="1"/>
      </items>
    </pivotField>
    <pivotField compact="0" outline="0" showAll="0" defaultSubtotal="0"/>
    <pivotField compact="0" numFmtId="1" outline="0" showAll="0" defaultSubtotal="0"/>
    <pivotField compact="0" numFmtId="1" outline="0" showAll="0" defaultSubtotal="0"/>
    <pivotField axis="axisRow" compact="0" numFmtId="43" outline="0" showAll="0" defaultSubtotal="0">
      <items count="632">
        <item x="493"/>
        <item x="112"/>
        <item x="180"/>
        <item x="298"/>
        <item x="172"/>
        <item x="286"/>
        <item x="106"/>
        <item x="247"/>
        <item x="389"/>
        <item x="83"/>
        <item x="572"/>
        <item x="96"/>
        <item x="7"/>
        <item x="341"/>
        <item x="177"/>
        <item x="461"/>
        <item x="127"/>
        <item x="582"/>
        <item x="481"/>
        <item x="54"/>
        <item x="311"/>
        <item x="631"/>
        <item x="230"/>
        <item x="354"/>
        <item x="89"/>
        <item x="119"/>
        <item x="532"/>
        <item x="586"/>
        <item x="245"/>
        <item x="139"/>
        <item x="517"/>
        <item x="291"/>
        <item x="243"/>
        <item x="51"/>
        <item x="116"/>
        <item x="347"/>
        <item x="323"/>
        <item x="418"/>
        <item x="575"/>
        <item x="108"/>
        <item x="551"/>
        <item x="305"/>
        <item x="443"/>
        <item x="211"/>
        <item x="526"/>
        <item x="282"/>
        <item x="263"/>
        <item x="330"/>
        <item x="344"/>
        <item x="103"/>
        <item x="609"/>
        <item x="488"/>
        <item x="463"/>
        <item x="531"/>
        <item x="26"/>
        <item x="308"/>
        <item x="436"/>
        <item x="163"/>
        <item x="206"/>
        <item x="570"/>
        <item x="460"/>
        <item x="113"/>
        <item x="608"/>
        <item x="221"/>
        <item x="217"/>
        <item x="318"/>
        <item x="128"/>
        <item x="239"/>
        <item x="579"/>
        <item x="599"/>
        <item x="621"/>
        <item x="82"/>
        <item x="458"/>
        <item x="577"/>
        <item x="124"/>
        <item x="35"/>
        <item x="174"/>
        <item x="434"/>
        <item x="490"/>
        <item x="447"/>
        <item x="233"/>
        <item x="232"/>
        <item x="53"/>
        <item x="28"/>
        <item x="293"/>
        <item x="476"/>
        <item x="178"/>
        <item x="511"/>
        <item x="627"/>
        <item x="508"/>
        <item x="391"/>
        <item x="215"/>
        <item x="304"/>
        <item x="270"/>
        <item x="222"/>
        <item x="466"/>
        <item x="445"/>
        <item x="296"/>
        <item x="194"/>
        <item x="620"/>
        <item x="369"/>
        <item x="485"/>
        <item x="3"/>
        <item x="71"/>
        <item x="464"/>
        <item x="145"/>
        <item x="0"/>
        <item x="274"/>
        <item x="486"/>
        <item x="373"/>
        <item x="316"/>
        <item x="109"/>
        <item x="491"/>
        <item x="597"/>
        <item x="160"/>
        <item x="137"/>
        <item x="133"/>
        <item x="350"/>
        <item x="456"/>
        <item x="326"/>
        <item x="101"/>
        <item x="39"/>
        <item x="258"/>
        <item x="5"/>
        <item x="254"/>
        <item x="594"/>
        <item x="386"/>
        <item x="428"/>
        <item x="271"/>
        <item x="519"/>
        <item x="166"/>
        <item x="12"/>
        <item x="297"/>
        <item x="46"/>
        <item x="118"/>
        <item x="169"/>
        <item x="57"/>
        <item x="483"/>
        <item x="439"/>
        <item x="179"/>
        <item x="495"/>
        <item x="114"/>
        <item x="78"/>
        <item x="148"/>
        <item x="380"/>
        <item x="315"/>
        <item x="441"/>
        <item x="307"/>
        <item x="328"/>
        <item x="432"/>
        <item x="277"/>
        <item x="240"/>
        <item x="219"/>
        <item x="214"/>
        <item x="580"/>
        <item x="616"/>
        <item x="218"/>
        <item x="231"/>
        <item x="505"/>
        <item x="453"/>
        <item x="525"/>
        <item x="309"/>
        <item x="321"/>
        <item x="604"/>
        <item x="93"/>
        <item x="129"/>
        <item x="130"/>
        <item x="602"/>
        <item x="331"/>
        <item x="470"/>
        <item x="378"/>
        <item x="155"/>
        <item x="546"/>
        <item x="573"/>
        <item x="561"/>
        <item x="191"/>
        <item x="544"/>
        <item x="250"/>
        <item x="494"/>
        <item x="410"/>
        <item x="312"/>
        <item x="477"/>
        <item x="500"/>
        <item x="408"/>
        <item x="536"/>
        <item x="334"/>
        <item x="251"/>
        <item x="43"/>
        <item x="433"/>
        <item x="540"/>
        <item x="370"/>
        <item x="201"/>
        <item x="68"/>
        <item x="30"/>
        <item x="64"/>
        <item x="403"/>
        <item x="141"/>
        <item x="419"/>
        <item x="338"/>
        <item x="498"/>
        <item x="523"/>
        <item x="197"/>
        <item x="257"/>
        <item x="290"/>
        <item x="88"/>
        <item x="565"/>
        <item x="268"/>
        <item x="91"/>
        <item x="52"/>
        <item x="361"/>
        <item x="98"/>
        <item x="110"/>
        <item x="479"/>
        <item x="285"/>
        <item x="131"/>
        <item x="444"/>
        <item x="144"/>
        <item x="262"/>
        <item x="6"/>
        <item x="564"/>
        <item x="220"/>
        <item x="202"/>
        <item x="299"/>
        <item x="186"/>
        <item x="314"/>
        <item x="430"/>
        <item x="87"/>
        <item x="62"/>
        <item x="474"/>
        <item x="364"/>
        <item x="437"/>
        <item x="538"/>
        <item x="417"/>
        <item x="623"/>
        <item x="339"/>
        <item x="510"/>
        <item x="283"/>
        <item x="337"/>
        <item x="446"/>
        <item x="515"/>
        <item x="584"/>
        <item x="13"/>
        <item x="10"/>
        <item x="33"/>
        <item x="336"/>
        <item x="472"/>
        <item x="252"/>
        <item x="516"/>
        <item x="301"/>
        <item x="395"/>
        <item x="325"/>
        <item x="156"/>
        <item x="355"/>
        <item x="499"/>
        <item x="340"/>
        <item x="4"/>
        <item x="469"/>
        <item x="411"/>
        <item x="591"/>
        <item x="359"/>
        <item x="255"/>
        <item x="571"/>
        <item x="563"/>
        <item x="67"/>
        <item x="44"/>
        <item x="533"/>
        <item x="147"/>
        <item x="605"/>
        <item x="475"/>
        <item x="90"/>
        <item x="412"/>
        <item x="576"/>
        <item x="238"/>
        <item x="134"/>
        <item x="549"/>
        <item x="558"/>
        <item x="36"/>
        <item x="457"/>
        <item x="611"/>
        <item x="259"/>
        <item x="73"/>
        <item x="585"/>
        <item x="269"/>
        <item x="372"/>
        <item x="617"/>
        <item x="535"/>
        <item x="553"/>
        <item x="22"/>
        <item x="185"/>
        <item x="462"/>
        <item x="568"/>
        <item x="522"/>
        <item x="578"/>
        <item x="595"/>
        <item x="29"/>
        <item x="15"/>
        <item x="37"/>
        <item x="150"/>
        <item x="182"/>
        <item x="358"/>
        <item x="502"/>
        <item x="435"/>
        <item x="14"/>
        <item x="598"/>
        <item x="471"/>
        <item x="294"/>
        <item x="590"/>
        <item x="183"/>
        <item x="192"/>
        <item x="288"/>
        <item x="253"/>
        <item x="120"/>
        <item x="170"/>
        <item x="560"/>
        <item x="248"/>
        <item x="92"/>
        <item x="513"/>
        <item x="342"/>
        <item x="628"/>
        <item x="630"/>
        <item x="161"/>
        <item x="454"/>
        <item x="158"/>
        <item x="619"/>
        <item x="143"/>
        <item x="75"/>
        <item x="45"/>
        <item x="200"/>
        <item x="381"/>
        <item x="362"/>
        <item x="473"/>
        <item x="379"/>
        <item x="313"/>
        <item x="171"/>
        <item x="401"/>
        <item x="416"/>
        <item x="55"/>
        <item x="574"/>
        <item x="27"/>
        <item x="559"/>
        <item x="48"/>
        <item x="581"/>
        <item x="438"/>
        <item x="102"/>
        <item x="300"/>
        <item x="38"/>
        <item x="154"/>
        <item x="451"/>
        <item x="319"/>
        <item x="351"/>
        <item x="548"/>
        <item x="69"/>
        <item x="557"/>
        <item x="203"/>
        <item x="16"/>
        <item x="146"/>
        <item x="303"/>
        <item x="327"/>
        <item x="449"/>
        <item x="492"/>
        <item x="157"/>
        <item x="452"/>
        <item x="509"/>
        <item x="168"/>
        <item x="11"/>
        <item x="70"/>
        <item x="74"/>
        <item x="241"/>
        <item x="164"/>
        <item x="153"/>
        <item x="618"/>
        <item x="518"/>
        <item x="506"/>
        <item x="348"/>
        <item x="228"/>
        <item x="367"/>
        <item x="429"/>
        <item x="530"/>
        <item x="132"/>
        <item x="384"/>
        <item x="612"/>
        <item x="176"/>
        <item x="543"/>
        <item x="450"/>
        <item x="24"/>
        <item x="125"/>
        <item x="360"/>
        <item x="279"/>
        <item x="352"/>
        <item x="404"/>
        <item x="440"/>
        <item x="349"/>
        <item x="600"/>
        <item x="193"/>
        <item x="346"/>
        <item x="320"/>
        <item x="375"/>
        <item x="190"/>
        <item x="504"/>
        <item x="151"/>
        <item x="487"/>
        <item x="94"/>
        <item x="324"/>
        <item x="244"/>
        <item x="19"/>
        <item x="592"/>
        <item x="204"/>
        <item x="317"/>
        <item x="284"/>
        <item x="388"/>
        <item x="402"/>
        <item x="624"/>
        <item x="184"/>
        <item x="162"/>
        <item x="40"/>
        <item x="229"/>
        <item x="272"/>
        <item x="589"/>
        <item x="363"/>
        <item x="207"/>
        <item x="425"/>
        <item x="550"/>
        <item x="478"/>
        <item x="365"/>
        <item x="59"/>
        <item x="524"/>
        <item x="520"/>
        <item x="126"/>
        <item x="287"/>
        <item x="18"/>
        <item x="629"/>
        <item x="189"/>
        <item x="225"/>
        <item x="66"/>
        <item x="332"/>
        <item x="273"/>
        <item x="527"/>
        <item x="1"/>
        <item x="95"/>
        <item x="216"/>
        <item x="135"/>
        <item x="224"/>
        <item x="210"/>
        <item x="280"/>
        <item x="152"/>
        <item x="610"/>
        <item x="420"/>
        <item x="281"/>
        <item x="266"/>
        <item x="77"/>
        <item x="377"/>
        <item x="400"/>
        <item x="260"/>
        <item x="79"/>
        <item x="405"/>
        <item x="392"/>
        <item x="181"/>
        <item x="503"/>
        <item x="497"/>
        <item x="596"/>
        <item x="393"/>
        <item x="107"/>
        <item x="539"/>
        <item x="382"/>
        <item x="292"/>
        <item x="198"/>
        <item x="603"/>
        <item x="383"/>
        <item x="455"/>
        <item x="534"/>
        <item x="427"/>
        <item x="56"/>
        <item x="105"/>
        <item x="385"/>
        <item x="554"/>
        <item x="387"/>
        <item x="212"/>
        <item x="567"/>
        <item x="552"/>
        <item x="468"/>
        <item x="278"/>
        <item x="399"/>
        <item x="60"/>
        <item x="357"/>
        <item x="205"/>
        <item x="81"/>
        <item x="333"/>
        <item x="85"/>
        <item x="111"/>
        <item x="555"/>
        <item x="562"/>
        <item x="413"/>
        <item x="223"/>
        <item x="99"/>
        <item x="431"/>
        <item x="397"/>
        <item x="356"/>
        <item x="138"/>
        <item x="209"/>
        <item x="421"/>
        <item x="448"/>
        <item x="41"/>
        <item x="265"/>
        <item x="528"/>
        <item x="606"/>
        <item x="249"/>
        <item x="371"/>
        <item x="480"/>
        <item x="159"/>
        <item x="58"/>
        <item x="17"/>
        <item x="242"/>
        <item x="97"/>
        <item x="376"/>
        <item x="343"/>
        <item x="501"/>
        <item x="587"/>
        <item x="353"/>
        <item x="566"/>
        <item x="63"/>
        <item x="165"/>
        <item x="235"/>
        <item x="227"/>
        <item x="31"/>
        <item x="208"/>
        <item x="593"/>
        <item x="100"/>
        <item x="414"/>
        <item x="541"/>
        <item x="142"/>
        <item x="187"/>
        <item x="173"/>
        <item x="459"/>
        <item x="302"/>
        <item x="267"/>
        <item x="426"/>
        <item x="289"/>
        <item x="23"/>
        <item x="368"/>
        <item x="521"/>
        <item x="482"/>
        <item x="415"/>
        <item x="335"/>
        <item x="537"/>
        <item x="496"/>
        <item x="366"/>
        <item x="8"/>
        <item x="394"/>
        <item x="149"/>
        <item x="121"/>
        <item x="547"/>
        <item x="322"/>
        <item x="65"/>
        <item x="49"/>
        <item x="545"/>
        <item x="484"/>
        <item x="234"/>
        <item x="398"/>
        <item x="422"/>
        <item x="615"/>
        <item x="199"/>
        <item x="613"/>
        <item x="21"/>
        <item x="9"/>
        <item x="507"/>
        <item x="188"/>
        <item x="465"/>
        <item x="601"/>
        <item x="276"/>
        <item x="236"/>
        <item x="622"/>
        <item x="626"/>
        <item x="625"/>
        <item x="246"/>
        <item x="226"/>
        <item x="406"/>
        <item x="442"/>
        <item x="295"/>
        <item x="123"/>
        <item x="237"/>
        <item x="86"/>
        <item x="588"/>
        <item x="583"/>
        <item x="542"/>
        <item x="329"/>
        <item x="72"/>
        <item x="195"/>
        <item x="512"/>
        <item x="117"/>
        <item x="76"/>
        <item x="122"/>
        <item x="42"/>
        <item x="396"/>
        <item x="529"/>
        <item x="310"/>
        <item x="104"/>
        <item x="196"/>
        <item x="569"/>
        <item x="467"/>
        <item x="80"/>
        <item x="275"/>
        <item x="136"/>
        <item x="175"/>
        <item x="409"/>
        <item x="614"/>
        <item x="47"/>
        <item x="84"/>
        <item x="514"/>
        <item x="34"/>
        <item x="407"/>
        <item x="556"/>
        <item x="213"/>
        <item x="306"/>
        <item x="50"/>
        <item x="264"/>
        <item x="2"/>
        <item x="32"/>
        <item x="140"/>
        <item x="607"/>
        <item x="489"/>
        <item x="61"/>
        <item x="256"/>
        <item x="261"/>
        <item x="115"/>
        <item x="424"/>
        <item x="167"/>
        <item x="374"/>
        <item x="390"/>
        <item x="423"/>
        <item x="25"/>
        <item x="20"/>
        <item x="345"/>
      </items>
    </pivotField>
    <pivotField compact="0" numFmtId="43" outline="0" showAll="0" defaultSubtotal="0"/>
    <pivotField compact="0" numFmtId="43" outline="0" showAll="0" defaultSubtotal="0"/>
    <pivotField compact="0" outline="0" showAll="0" defaultSubtotal="0"/>
    <pivotField compact="0" numFmtId="9" outline="0" showAll="0" defaultSubtotal="0"/>
    <pivotField axis="axisRow" compact="0" numFmtId="9" outline="0" showAll="0" defaultSubtotal="0">
      <items count="8">
        <item x="0"/>
        <item x="1"/>
        <item x="2"/>
        <item x="3"/>
        <item x="4"/>
        <item x="5"/>
        <item x="6"/>
        <item x="7"/>
      </items>
    </pivotField>
    <pivotField compact="0" numFmtId="4" outline="0" showAll="0" sortType="descending" defaultSubtotal="0"/>
    <pivotField compact="0" outline="0" showAll="0" defaultSubtotal="0"/>
    <pivotField compact="0" numFmtId="9"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0"/>
        <item x="2"/>
        <item x="3"/>
        <item x="1"/>
      </items>
    </pivotField>
    <pivotField compact="0" outline="0" showAll="0" defaultSubtotal="0">
      <items count="12">
        <item x="4"/>
        <item x="2"/>
        <item x="0"/>
        <item x="7"/>
        <item x="5"/>
        <item x="9"/>
        <item x="8"/>
        <item x="11"/>
        <item x="6"/>
        <item x="1"/>
        <item x="10"/>
        <item x="3"/>
      </items>
    </pivotField>
    <pivotField compact="0" outline="0" showAll="0" defaultSubtotal="0">
      <items count="3">
        <item x="1"/>
        <item x="0"/>
        <item x="2"/>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x="0"/>
        <item x="1"/>
        <item x="2"/>
        <item x="3"/>
        <item x="4"/>
      </items>
    </pivotField>
  </pivotFields>
  <rowFields count="5">
    <field x="0"/>
    <field x="4"/>
    <field x="26"/>
    <field x="14"/>
    <field x="19"/>
  </rowFields>
  <rowItems count="633">
    <i>
      <x/>
      <x v="2"/>
      <x v="1"/>
      <x v="504"/>
      <x v="2"/>
    </i>
    <i>
      <x v="1"/>
      <x v="2"/>
      <x v="2"/>
      <x v="383"/>
      <x v="2"/>
    </i>
    <i>
      <x v="2"/>
      <x/>
      <x/>
      <x v="12"/>
      <x v="2"/>
    </i>
    <i>
      <x v="3"/>
      <x/>
      <x v="1"/>
      <x v="129"/>
      <x v="1"/>
    </i>
    <i>
      <x v="4"/>
      <x v="1"/>
      <x v="3"/>
      <x v="337"/>
      <x v="1"/>
    </i>
    <i>
      <x v="5"/>
      <x/>
      <x v="1"/>
      <x v="133"/>
      <x v="1"/>
    </i>
    <i>
      <x v="6"/>
      <x v="1"/>
      <x v="2"/>
      <x v="538"/>
      <x v="2"/>
    </i>
    <i>
      <x v="7"/>
      <x v="1"/>
      <x v="2"/>
      <x v="221"/>
      <x v="1"/>
    </i>
    <i>
      <x v="8"/>
      <x v="2"/>
      <x/>
      <x v="478"/>
      <x v="2"/>
    </i>
    <i>
      <x v="9"/>
      <x/>
      <x v="1"/>
      <x v="250"/>
      <x v="2"/>
    </i>
    <i>
      <x v="10"/>
      <x/>
      <x/>
      <x v="138"/>
      <x v="1"/>
    </i>
    <i>
      <x v="11"/>
      <x v="2"/>
      <x v="1"/>
      <x v="130"/>
      <x v="2"/>
    </i>
    <i>
      <x v="12"/>
      <x/>
      <x/>
      <x v="599"/>
      <x v="2"/>
    </i>
    <i>
      <x v="13"/>
      <x/>
      <x v="2"/>
      <x v="329"/>
      <x v="1"/>
    </i>
    <i>
      <x v="14"/>
      <x v="1"/>
      <x v="3"/>
      <x v="584"/>
      <x v="3"/>
    </i>
    <i>
      <x v="15"/>
      <x v="2"/>
      <x v="3"/>
      <x v="248"/>
      <x v="2"/>
    </i>
    <i>
      <x v="16"/>
      <x v="1"/>
      <x v="1"/>
      <x v="321"/>
      <x v="1"/>
    </i>
    <i>
      <x v="17"/>
      <x v="3"/>
      <x v="1"/>
      <x v="292"/>
      <x v="2"/>
    </i>
    <i>
      <x v="18"/>
      <x v="1"/>
      <x v="1"/>
      <x v="98"/>
      <x v="1"/>
    </i>
    <i>
      <x v="19"/>
      <x/>
      <x v="3"/>
      <x v="590"/>
      <x v="3"/>
    </i>
    <i>
      <x v="20"/>
      <x v="3"/>
      <x v="3"/>
      <x v="486"/>
      <x v="1"/>
    </i>
    <i>
      <x v="21"/>
      <x v="2"/>
      <x v="1"/>
      <x v="390"/>
      <x v="2"/>
    </i>
    <i>
      <x v="22"/>
      <x v="3"/>
      <x v="3"/>
      <x v="72"/>
      <x v="2"/>
    </i>
    <i>
      <x v="23"/>
      <x v="3"/>
      <x v="2"/>
      <x v="143"/>
      <x v="2"/>
    </i>
    <i>
      <x v="24"/>
      <x v="1"/>
      <x v="3"/>
      <x v="432"/>
      <x v="2"/>
    </i>
    <i>
      <x v="25"/>
      <x v="3"/>
      <x v="2"/>
      <x v="175"/>
      <x v="1"/>
    </i>
    <i>
      <x v="26"/>
      <x/>
      <x v="3"/>
      <x v="373"/>
      <x v="2"/>
    </i>
    <i>
      <x v="27"/>
      <x v="2"/>
      <x v="3"/>
      <x v="387"/>
      <x v="2"/>
    </i>
    <i>
      <x v="28"/>
      <x v="3"/>
      <x v="3"/>
      <x v="349"/>
      <x v="2"/>
    </i>
    <i>
      <x v="29"/>
      <x v="3"/>
      <x v="2"/>
      <x v="184"/>
      <x v="2"/>
    </i>
    <i>
      <x v="30"/>
      <x v="3"/>
      <x v="2"/>
      <x v="19"/>
      <x v="2"/>
    </i>
    <i>
      <x v="31"/>
      <x v="1"/>
      <x v="3"/>
      <x v="552"/>
      <x v="2"/>
    </i>
    <i>
      <x v="32"/>
      <x v="2"/>
      <x/>
      <x v="57"/>
      <x v="2"/>
    </i>
    <i>
      <x v="33"/>
      <x v="3"/>
      <x v="2"/>
      <x v="304"/>
      <x v="2"/>
    </i>
    <i>
      <x v="34"/>
      <x v="1"/>
      <x v="1"/>
      <x v="341"/>
      <x v="1"/>
    </i>
    <i>
      <x v="35"/>
      <x v="2"/>
      <x v="3"/>
      <x v="571"/>
      <x v="2"/>
    </i>
    <i>
      <x v="36"/>
      <x/>
      <x v="1"/>
      <x v="6"/>
      <x v="2"/>
    </i>
    <i>
      <x v="37"/>
      <x v="1"/>
      <x v="2"/>
      <x v="93"/>
      <x v="2"/>
    </i>
    <i>
      <x v="38"/>
      <x v="3"/>
      <x v="1"/>
      <x v="202"/>
      <x v="2"/>
    </i>
    <i>
      <x v="39"/>
      <x v="2"/>
      <x v="1"/>
      <x v="24"/>
      <x v="1"/>
    </i>
    <i>
      <x v="40"/>
      <x/>
      <x v="2"/>
      <x v="254"/>
      <x v="6"/>
    </i>
    <i>
      <x v="41"/>
      <x v="1"/>
      <x/>
      <x v="384"/>
      <x v="1"/>
    </i>
    <i>
      <x v="42"/>
      <x v="1"/>
      <x v="2"/>
      <x v="63"/>
      <x v="3"/>
    </i>
    <i>
      <x v="43"/>
      <x/>
      <x v="2"/>
      <x v="45"/>
      <x v="1"/>
    </i>
    <i>
      <x v="44"/>
      <x v="1"/>
      <x/>
      <x v="186"/>
      <x v="3"/>
    </i>
    <i>
      <x v="45"/>
      <x/>
      <x/>
      <x v="450"/>
      <x v="2"/>
    </i>
    <i>
      <x v="46"/>
      <x/>
      <x v="2"/>
      <x v="528"/>
      <x v="1"/>
    </i>
    <i>
      <x v="47"/>
      <x v="1"/>
      <x/>
      <x v="4"/>
      <x v="1"/>
    </i>
    <i>
      <x v="48"/>
      <x v="2"/>
      <x v="2"/>
      <x v="574"/>
      <x v="2"/>
    </i>
    <i>
      <x v="49"/>
      <x v="3"/>
      <x v="1"/>
      <x v="142"/>
      <x v="3"/>
    </i>
    <i>
      <x v="50"/>
      <x v="3"/>
      <x v="2"/>
      <x v="553"/>
      <x v="2"/>
    </i>
    <i>
      <x v="51"/>
      <x v="3"/>
      <x v="1"/>
      <x v="163"/>
      <x v="2"/>
    </i>
    <i>
      <x v="52"/>
      <x v="1"/>
      <x v="3"/>
      <x v="522"/>
      <x v="1"/>
    </i>
    <i>
      <x v="53"/>
      <x v="2"/>
      <x v="3"/>
      <x v="363"/>
      <x v="2"/>
    </i>
    <i>
      <x v="54"/>
      <x v="2"/>
      <x v="1"/>
      <x v="326"/>
      <x v="2"/>
    </i>
    <i>
      <x v="55"/>
      <x v="1"/>
      <x v="2"/>
      <x v="216"/>
      <x v="1"/>
    </i>
    <i>
      <x v="56"/>
      <x/>
      <x v="2"/>
      <x v="307"/>
      <x v="2"/>
    </i>
    <i>
      <x v="57"/>
      <x v="3"/>
      <x v="1"/>
      <x v="38"/>
      <x v="2"/>
    </i>
    <i>
      <x v="58"/>
      <x v="1"/>
      <x v="2"/>
      <x v="485"/>
      <x v="3"/>
    </i>
    <i>
      <x v="59"/>
      <x v="3"/>
      <x v="1"/>
      <x v="316"/>
      <x v="1"/>
    </i>
    <i>
      <x v="60"/>
      <x v="1"/>
      <x v="1"/>
      <x v="262"/>
      <x v="2"/>
    </i>
    <i>
      <x v="61"/>
      <x v="2"/>
      <x v="1"/>
      <x v="110"/>
      <x v="2"/>
    </i>
    <i>
      <x v="62"/>
      <x v="2"/>
      <x v="3"/>
      <x v="455"/>
      <x v="4"/>
    </i>
    <i>
      <x v="63"/>
      <x/>
      <x v="2"/>
      <x v="536"/>
      <x v="2"/>
    </i>
    <i>
      <x v="64"/>
      <x v="1"/>
      <x v="2"/>
      <x v="435"/>
      <x v="2"/>
    </i>
    <i>
      <x v="65"/>
      <x/>
      <x/>
      <x v="615"/>
      <x v="2"/>
    </i>
    <i>
      <x v="66"/>
      <x v="1"/>
      <x v="1"/>
      <x v="315"/>
      <x v="1"/>
    </i>
    <i>
      <x v="67"/>
      <x v="3"/>
      <x v="2"/>
      <x v="84"/>
      <x v="1"/>
    </i>
    <i>
      <x v="68"/>
      <x/>
      <x v="3"/>
      <x v="301"/>
      <x v="1"/>
    </i>
    <i>
      <x v="69"/>
      <x v="1"/>
      <x v="1"/>
      <x v="27"/>
      <x v="1"/>
    </i>
    <i>
      <x v="70"/>
      <x v="1"/>
      <x/>
      <x v="327"/>
      <x v="1"/>
    </i>
    <i>
      <x v="71"/>
      <x/>
      <x v="1"/>
      <x v="366"/>
      <x v="4"/>
    </i>
    <i>
      <x v="72"/>
      <x v="3"/>
      <x v="1"/>
      <x v="229"/>
      <x v="2"/>
    </i>
    <i>
      <x v="73"/>
      <x v="3"/>
      <x v="1"/>
      <x v="484"/>
      <x v="1"/>
    </i>
    <i>
      <x v="74"/>
      <x v="3"/>
      <x v="1"/>
      <x v="288"/>
      <x v="1"/>
    </i>
    <i>
      <x v="75"/>
      <x v="1"/>
      <x v="3"/>
      <x v="199"/>
      <x v="1"/>
    </i>
    <i>
      <x v="76"/>
      <x/>
      <x/>
      <x v="208"/>
      <x v="1"/>
    </i>
    <i>
      <x v="77"/>
      <x v="3"/>
      <x/>
      <x v="493"/>
      <x v="3"/>
    </i>
    <i>
      <x v="78"/>
      <x v="2"/>
      <x v="1"/>
      <x v="134"/>
      <x v="1"/>
    </i>
    <i>
      <x v="79"/>
      <x v="3"/>
      <x/>
      <x v="378"/>
      <x v="3"/>
    </i>
    <i>
      <x v="80"/>
      <x v="2"/>
      <x v="3"/>
      <x v="439"/>
      <x v="2"/>
    </i>
    <i>
      <x v="81"/>
      <x v="1"/>
      <x v="1"/>
      <x v="544"/>
      <x v="2"/>
    </i>
    <i>
      <x v="82"/>
      <x v="2"/>
      <x v="2"/>
      <x v="333"/>
      <x v="2"/>
    </i>
    <i>
      <x v="83"/>
      <x v="3"/>
      <x v="2"/>
      <x v="604"/>
      <x v="2"/>
    </i>
    <i>
      <x v="84"/>
      <x v="3"/>
      <x v="2"/>
      <x v="176"/>
      <x v="2"/>
    </i>
    <i>
      <x v="85"/>
      <x v="2"/>
      <x v="3"/>
      <x v="319"/>
      <x v="2"/>
    </i>
    <i>
      <x v="86"/>
      <x v="2"/>
      <x v="1"/>
      <x v="539"/>
      <x v="2"/>
    </i>
    <i>
      <x v="87"/>
      <x v="3"/>
      <x/>
      <x v="350"/>
      <x v="2"/>
    </i>
    <i>
      <x v="88"/>
      <x v="2"/>
      <x v="3"/>
      <x v="621"/>
      <x v="2"/>
    </i>
    <i>
      <x v="89"/>
      <x/>
      <x v="2"/>
      <x v="388"/>
      <x v="1"/>
    </i>
    <i>
      <x v="90"/>
      <x/>
      <x/>
      <x v="194"/>
      <x v="2"/>
    </i>
    <i>
      <x v="91"/>
      <x v="1"/>
      <x v="2"/>
      <x v="550"/>
      <x v="3"/>
    </i>
    <i>
      <x v="92"/>
      <x/>
      <x v="2"/>
      <x v="399"/>
      <x v="1"/>
    </i>
    <i>
      <x v="93"/>
      <x v="3"/>
      <x v="1"/>
      <x v="441"/>
      <x v="1"/>
    </i>
    <i>
      <x v="94"/>
      <x/>
      <x v="3"/>
      <x v="155"/>
      <x v="1"/>
    </i>
    <i>
      <x v="95"/>
      <x v="2"/>
      <x v="2"/>
      <x v="151"/>
      <x v="1"/>
    </i>
    <i>
      <x v="96"/>
      <x v="3"/>
      <x v="1"/>
      <x v="622"/>
      <x v="1"/>
    </i>
    <i>
      <x v="97"/>
      <x v="1"/>
      <x/>
      <x v="165"/>
      <x v="2"/>
    </i>
    <i r="1">
      <x v="2"/>
      <x/>
      <x v="530"/>
      <x v="3"/>
    </i>
    <i>
      <x v="98"/>
      <x/>
      <x v="2"/>
      <x v="265"/>
      <x v="1"/>
    </i>
    <i>
      <x v="99"/>
      <x/>
      <x v="1"/>
      <x v="357"/>
      <x v="2"/>
    </i>
    <i>
      <x v="100"/>
      <x v="2"/>
      <x v="2"/>
      <x v="60"/>
      <x v="2"/>
    </i>
    <i>
      <x v="101"/>
      <x/>
      <x v="1"/>
      <x v="283"/>
      <x v="2"/>
    </i>
    <i>
      <x v="102"/>
      <x v="3"/>
      <x/>
      <x v="433"/>
      <x v="2"/>
    </i>
    <i>
      <x v="103"/>
      <x v="2"/>
      <x v="2"/>
      <x v="88"/>
      <x v="2"/>
    </i>
    <i>
      <x v="104"/>
      <x v="1"/>
      <x v="2"/>
      <x v="267"/>
      <x v="2"/>
    </i>
    <i>
      <x v="105"/>
      <x v="2"/>
      <x v="3"/>
      <x v="572"/>
      <x v="2"/>
    </i>
    <i>
      <x v="106"/>
      <x v="1"/>
      <x/>
      <x v="523"/>
      <x v="1"/>
    </i>
    <i>
      <x v="107"/>
      <x v="2"/>
      <x v="2"/>
      <x v="247"/>
      <x v="2"/>
    </i>
    <i>
      <x v="108"/>
      <x v="3"/>
      <x v="2"/>
      <x v="422"/>
      <x v="3"/>
    </i>
    <i>
      <x v="109"/>
      <x v="2"/>
      <x v="3"/>
      <x v="631"/>
      <x v="1"/>
    </i>
    <i>
      <x v="110"/>
      <x v="2"/>
      <x v="1"/>
      <x v="182"/>
      <x v="1"/>
    </i>
    <i>
      <x v="111"/>
      <x v="3"/>
      <x/>
      <x v="465"/>
      <x v="2"/>
    </i>
    <i>
      <x v="112"/>
      <x v="3"/>
      <x v="3"/>
      <x v="549"/>
      <x v="1"/>
    </i>
    <i>
      <x v="113"/>
      <x v="2"/>
      <x v="3"/>
      <x v="238"/>
      <x v="1"/>
    </i>
    <i>
      <x v="114"/>
      <x v="1"/>
      <x v="3"/>
      <x v="118"/>
      <x v="1"/>
    </i>
    <i>
      <x v="115"/>
      <x/>
      <x/>
      <x v="353"/>
      <x v="3"/>
    </i>
    <i>
      <x v="116"/>
      <x v="1"/>
      <x v="1"/>
      <x v="268"/>
      <x v="1"/>
    </i>
    <i>
      <x v="117"/>
      <x v="1"/>
      <x v="2"/>
      <x v="533"/>
      <x v="2"/>
    </i>
    <i>
      <x v="118"/>
      <x v="1"/>
      <x v="1"/>
      <x v="467"/>
      <x v="1"/>
    </i>
    <i>
      <x v="119"/>
      <x v="2"/>
      <x v="3"/>
      <x v="444"/>
      <x v="2"/>
    </i>
    <i>
      <x v="120"/>
      <x v="3"/>
      <x v="3"/>
      <x v="108"/>
      <x v="3"/>
    </i>
    <i>
      <x v="121"/>
      <x v="1"/>
      <x v="1"/>
      <x v="132"/>
      <x v="2"/>
    </i>
    <i>
      <x v="122"/>
      <x v="1"/>
      <x v="2"/>
      <x v="74"/>
      <x v="1"/>
    </i>
    <i>
      <x v="123"/>
      <x v="2"/>
      <x v="1"/>
      <x v="22"/>
      <x v="2"/>
    </i>
    <i>
      <x v="124"/>
      <x v="3"/>
      <x v="1"/>
      <x v="212"/>
      <x v="1"/>
    </i>
    <i>
      <x v="125"/>
      <x v="2"/>
      <x v="1"/>
      <x v="213"/>
      <x v="3"/>
    </i>
    <i>
      <x v="126"/>
      <x/>
      <x/>
      <x v="115"/>
      <x v="3"/>
    </i>
    <i>
      <x v="127"/>
      <x v="3"/>
      <x/>
      <x v="64"/>
      <x v="2"/>
    </i>
    <i>
      <x v="128"/>
      <x v="2"/>
      <x v="2"/>
      <x v="409"/>
      <x v="2"/>
    </i>
    <i>
      <x v="129"/>
      <x v="1"/>
      <x/>
      <x v="405"/>
      <x v="2"/>
    </i>
    <i>
      <x v="130"/>
      <x v="1"/>
      <x v="3"/>
      <x v="407"/>
      <x v="1"/>
    </i>
    <i>
      <x v="131"/>
      <x/>
      <x v="2"/>
      <x v="231"/>
      <x v="1"/>
    </i>
    <i>
      <x v="132"/>
      <x v="2"/>
      <x v="3"/>
      <x v="446"/>
      <x v="2"/>
    </i>
    <i>
      <x v="133"/>
      <x v="1"/>
      <x v="2"/>
      <x v="217"/>
      <x v="3"/>
    </i>
    <i>
      <x v="134"/>
      <x/>
      <x v="1"/>
      <x v="534"/>
      <x v="2"/>
    </i>
    <i>
      <x v="135"/>
      <x/>
      <x v="1"/>
      <x v="452"/>
      <x v="1"/>
    </i>
    <i>
      <x v="136"/>
      <x/>
      <x v="2"/>
      <x v="593"/>
      <x v="1"/>
    </i>
    <i>
      <x v="137"/>
      <x v="1"/>
      <x v="1"/>
      <x v="121"/>
      <x v="2"/>
    </i>
    <i>
      <x v="138"/>
      <x v="1"/>
      <x v="3"/>
      <x v="153"/>
      <x v="2"/>
    </i>
    <i>
      <x v="139"/>
      <x v="3"/>
      <x v="3"/>
      <x v="149"/>
      <x v="1"/>
    </i>
    <i>
      <x v="140"/>
      <x/>
      <x v="2"/>
      <x v="198"/>
      <x v="3"/>
    </i>
    <i>
      <x v="141"/>
      <x v="3"/>
      <x v="2"/>
      <x v="381"/>
      <x v="1"/>
    </i>
    <i>
      <x v="142"/>
      <x v="1"/>
      <x v="1"/>
      <x v="445"/>
      <x v="2"/>
    </i>
    <i>
      <x v="143"/>
      <x v="3"/>
      <x v="3"/>
      <x v="464"/>
      <x v="3"/>
    </i>
    <i>
      <x v="144"/>
      <x v="2"/>
      <x v="3"/>
      <x v="603"/>
      <x v="1"/>
    </i>
    <i>
      <x v="145"/>
      <x v="2"/>
      <x v="1"/>
      <x v="473"/>
      <x v="2"/>
    </i>
    <i>
      <x v="146"/>
      <x/>
      <x/>
      <x v="113"/>
      <x v="2"/>
    </i>
    <i>
      <x v="147"/>
      <x v="2"/>
      <x/>
      <x v="436"/>
      <x v="1"/>
    </i>
    <i>
      <x v="148"/>
      <x v="3"/>
      <x v="1"/>
      <x v="560"/>
      <x v="2"/>
    </i>
    <i>
      <x v="149"/>
      <x/>
      <x v="1"/>
      <x v="15"/>
      <x v="2"/>
    </i>
    <i>
      <x v="150"/>
      <x/>
      <x v="2"/>
      <x v="94"/>
      <x v="1"/>
    </i>
    <i>
      <x v="151"/>
      <x v="1"/>
      <x v="2"/>
      <x v="73"/>
      <x v="1"/>
    </i>
    <i>
      <x v="152"/>
      <x v="1"/>
      <x v="1"/>
      <x v="443"/>
      <x v="2"/>
    </i>
    <i>
      <x v="153"/>
      <x v="2"/>
      <x v="2"/>
      <x v="325"/>
      <x v="2"/>
    </i>
    <i>
      <x v="154"/>
      <x v="1"/>
      <x/>
      <x v="123"/>
      <x v="1"/>
    </i>
    <i>
      <x v="155"/>
      <x v="3"/>
      <x v="1"/>
      <x v="306"/>
      <x v="1"/>
    </i>
    <i>
      <x v="156"/>
      <x v="2"/>
      <x v="3"/>
      <x v="598"/>
      <x v="1"/>
    </i>
    <i>
      <x v="157"/>
      <x/>
      <x v="2"/>
      <x v="491"/>
      <x v="1"/>
    </i>
    <i>
      <x v="158"/>
      <x v="3"/>
      <x/>
      <x v="117"/>
      <x v="2"/>
    </i>
    <i>
      <x v="159"/>
      <x v="2"/>
      <x/>
      <x v="300"/>
      <x v="1"/>
    </i>
    <i>
      <x v="160"/>
      <x v="1"/>
      <x v="1"/>
      <x v="403"/>
      <x v="2"/>
    </i>
    <i>
      <x v="161"/>
      <x/>
      <x v="2"/>
      <x v="192"/>
      <x v="3"/>
    </i>
    <i>
      <x v="162"/>
      <x v="2"/>
      <x v="1"/>
      <x v="230"/>
      <x v="2"/>
    </i>
    <i>
      <x v="163"/>
      <x/>
      <x v="2"/>
      <x v="99"/>
      <x v="2"/>
    </i>
    <i>
      <x v="164"/>
      <x v="1"/>
      <x v="1"/>
      <x v="13"/>
      <x v="3"/>
    </i>
    <i>
      <x v="165"/>
      <x v="1"/>
      <x v="1"/>
      <x v="96"/>
      <x v="1"/>
    </i>
    <i>
      <x v="166"/>
      <x v="3"/>
      <x/>
      <x v="347"/>
      <x v="1"/>
    </i>
    <i>
      <x v="167"/>
      <x v="3"/>
      <x/>
      <x v="181"/>
      <x v="2"/>
    </i>
    <i>
      <x v="168"/>
      <x v="3"/>
      <x v="3"/>
      <x v="342"/>
      <x v="2"/>
    </i>
    <i>
      <x v="169"/>
      <x v="2"/>
      <x v="1"/>
      <x v="351"/>
      <x v="1"/>
    </i>
    <i>
      <x v="170"/>
      <x v="3"/>
      <x/>
      <x v="189"/>
      <x v="1"/>
    </i>
    <i>
      <x v="171"/>
      <x v="3"/>
      <x v="3"/>
      <x v="190"/>
      <x v="1"/>
    </i>
    <i>
      <x v="172"/>
      <x v="2"/>
      <x v="3"/>
      <x v="255"/>
      <x v="2"/>
    </i>
    <i>
      <x v="173"/>
      <x/>
      <x v="2"/>
      <x v="234"/>
      <x v="3"/>
    </i>
    <i>
      <x v="174"/>
      <x/>
      <x v="3"/>
      <x v="105"/>
      <x v="2"/>
    </i>
    <i>
      <x v="175"/>
      <x v="1"/>
      <x v="2"/>
      <x v="565"/>
      <x v="2"/>
    </i>
    <i>
      <x v="176"/>
      <x/>
      <x/>
      <x v="348"/>
      <x v="2"/>
    </i>
    <i>
      <x v="177"/>
      <x/>
      <x v="3"/>
      <x v="8"/>
      <x v="1"/>
    </i>
    <i>
      <x v="178"/>
      <x/>
      <x v="3"/>
      <x v="487"/>
      <x v="1"/>
    </i>
    <i>
      <x v="179"/>
      <x/>
      <x v="3"/>
      <x v="346"/>
      <x v="2"/>
    </i>
    <i>
      <x v="180"/>
      <x v="2"/>
      <x v="2"/>
      <x v="576"/>
      <x v="2"/>
    </i>
    <i>
      <x v="181"/>
      <x v="2"/>
      <x/>
      <x v="114"/>
      <x v="2"/>
    </i>
    <i>
      <x v="182"/>
      <x v="2"/>
      <x/>
      <x v="454"/>
      <x v="1"/>
    </i>
    <i>
      <x v="183"/>
      <x v="1"/>
      <x/>
      <x v="506"/>
      <x v="1"/>
    </i>
    <i>
      <x v="184"/>
      <x v="1"/>
      <x/>
      <x v="17"/>
      <x v="3"/>
    </i>
    <i>
      <x v="185"/>
      <x v="2"/>
      <x/>
      <x v="75"/>
      <x v="2"/>
    </i>
    <i>
      <x v="186"/>
      <x v="3"/>
      <x v="1"/>
      <x v="89"/>
      <x v="1"/>
    </i>
    <i>
      <x v="187"/>
      <x v="1"/>
      <x v="2"/>
      <x v="555"/>
      <x v="2"/>
    </i>
    <i>
      <x v="188"/>
      <x v="3"/>
      <x v="1"/>
      <x v="440"/>
      <x v="1"/>
    </i>
    <i>
      <x v="189"/>
      <x v="2"/>
      <x v="1"/>
      <x v="562"/>
      <x v="2"/>
    </i>
    <i>
      <x v="190"/>
      <x v="2"/>
      <x v="1"/>
      <x v="261"/>
      <x v="1"/>
    </i>
    <i>
      <x v="191"/>
      <x v="3"/>
      <x v="1"/>
      <x v="438"/>
      <x v="1"/>
    </i>
    <i>
      <x v="192"/>
      <x v="1"/>
      <x/>
      <x v="623"/>
      <x v="2"/>
    </i>
    <i>
      <x v="193"/>
      <x v="2"/>
      <x v="1"/>
      <x v="277"/>
      <x v="2"/>
    </i>
    <i>
      <x v="194"/>
      <x v="2"/>
      <x v="2"/>
      <x v="385"/>
      <x v="1"/>
    </i>
    <i>
      <x v="195"/>
      <x v="3"/>
      <x/>
      <x v="161"/>
      <x v="1"/>
    </i>
    <i>
      <x v="196"/>
      <x v="3"/>
      <x/>
      <x v="520"/>
      <x v="1"/>
    </i>
    <i>
      <x v="197"/>
      <x v="2"/>
      <x v="2"/>
      <x v="411"/>
      <x v="2"/>
    </i>
    <i>
      <x v="198"/>
      <x v="1"/>
      <x v="3"/>
      <x v="279"/>
      <x v="2"/>
    </i>
    <i>
      <x v="199"/>
      <x v="3"/>
      <x/>
      <x v="551"/>
      <x v="2"/>
    </i>
    <i>
      <x v="200"/>
      <x v="1"/>
      <x v="1"/>
      <x v="180"/>
      <x v="1"/>
    </i>
    <i>
      <x v="201"/>
      <x/>
      <x v="1"/>
      <x v="83"/>
      <x v="1"/>
    </i>
    <i>
      <x v="202"/>
      <x/>
      <x v="1"/>
      <x v="35"/>
      <x v="1"/>
    </i>
    <i>
      <x v="203"/>
      <x v="2"/>
      <x v="1"/>
      <x v="617"/>
      <x v="2"/>
    </i>
    <i>
      <x v="204"/>
      <x v="1"/>
      <x v="2"/>
      <x v="529"/>
      <x v="2"/>
    </i>
    <i>
      <x v="205"/>
      <x v="2"/>
      <x v="1"/>
      <x v="235"/>
      <x v="3"/>
    </i>
    <i>
      <x v="206"/>
      <x v="3"/>
      <x v="2"/>
      <x v="58"/>
      <x v="1"/>
    </i>
    <i>
      <x v="207"/>
      <x v="1"/>
      <x v="1"/>
      <x v="318"/>
      <x v="1"/>
    </i>
    <i>
      <x v="208"/>
      <x v="2"/>
      <x v="3"/>
      <x v="393"/>
      <x v="1"/>
    </i>
    <i>
      <x v="209"/>
      <x v="3"/>
      <x v="1"/>
      <x v="547"/>
      <x v="2"/>
    </i>
    <i>
      <x v="210"/>
      <x/>
      <x v="1"/>
      <x v="169"/>
      <x v="1"/>
    </i>
    <i>
      <x v="211"/>
      <x v="3"/>
      <x/>
      <x v="270"/>
      <x v="2"/>
    </i>
    <i>
      <x v="212"/>
      <x/>
      <x v="1"/>
      <x v="295"/>
      <x v="1"/>
    </i>
    <i>
      <x v="213"/>
      <x v="2"/>
      <x v="2"/>
      <x v="434"/>
      <x v="3"/>
    </i>
    <i>
      <x v="214"/>
      <x/>
      <x/>
      <x v="556"/>
      <x v="2"/>
    </i>
    <i>
      <x v="215"/>
      <x/>
      <x/>
      <x v="415"/>
      <x v="2"/>
    </i>
    <i>
      <x v="216"/>
      <x v="2"/>
      <x v="1"/>
      <x v="610"/>
      <x v="1"/>
    </i>
    <i>
      <x v="217"/>
      <x/>
      <x/>
      <x v="382"/>
      <x v="1"/>
    </i>
    <i>
      <x v="218"/>
      <x v="3"/>
      <x v="3"/>
      <x v="430"/>
      <x v="1"/>
    </i>
    <i>
      <x v="219"/>
      <x v="2"/>
      <x v="3"/>
      <x v="272"/>
      <x v="3"/>
    </i>
    <i>
      <x v="220"/>
      <x v="1"/>
      <x v="3"/>
      <x v="206"/>
      <x v="1"/>
    </i>
    <i>
      <x v="221"/>
      <x/>
      <x v="3"/>
      <x v="462"/>
      <x v="2"/>
    </i>
    <i>
      <x v="222"/>
      <x v="2"/>
      <x v="3"/>
      <x v="141"/>
      <x v="1"/>
    </i>
    <i>
      <x v="223"/>
      <x v="1"/>
      <x v="2"/>
      <x v="541"/>
      <x v="1"/>
    </i>
    <i>
      <x v="224"/>
      <x v="1"/>
      <x v="1"/>
      <x v="86"/>
      <x v="1"/>
    </i>
    <i>
      <x v="225"/>
      <x v="2"/>
      <x v="3"/>
      <x v="495"/>
      <x v="3"/>
    </i>
    <i>
      <x v="226"/>
      <x v="2"/>
      <x/>
      <x v="507"/>
      <x v="1"/>
    </i>
    <i>
      <x v="227"/>
      <x v="1"/>
      <x/>
      <x v="237"/>
      <x v="3"/>
    </i>
    <i>
      <x v="228"/>
      <x v="2"/>
      <x v="1"/>
      <x v="368"/>
      <x v="1"/>
    </i>
    <i>
      <x v="229"/>
      <x v="2"/>
      <x v="2"/>
      <x v="171"/>
      <x v="2"/>
    </i>
    <i>
      <x v="230"/>
      <x v="3"/>
      <x v="3"/>
      <x v="421"/>
      <x v="2"/>
    </i>
    <i>
      <x v="231"/>
      <x v="2"/>
      <x/>
      <x v="119"/>
      <x v="1"/>
    </i>
    <i>
      <x v="232"/>
      <x/>
      <x v="1"/>
      <x v="472"/>
      <x v="3"/>
    </i>
    <i>
      <x v="233"/>
      <x v="1"/>
      <x v="3"/>
      <x v="273"/>
      <x v="2"/>
    </i>
    <i>
      <x v="234"/>
      <x v="3"/>
      <x v="3"/>
      <x v="594"/>
      <x v="2"/>
    </i>
    <i>
      <x v="235"/>
      <x/>
      <x v="1"/>
      <x v="111"/>
      <x v="3"/>
    </i>
    <i>
      <x v="236"/>
      <x/>
      <x v="2"/>
      <x v="608"/>
      <x v="1"/>
    </i>
    <i>
      <x v="237"/>
      <x v="1"/>
      <x v="3"/>
      <x v="410"/>
      <x v="2"/>
    </i>
    <i>
      <x v="238"/>
      <x v="2"/>
      <x v="3"/>
      <x v="193"/>
      <x v="1"/>
    </i>
    <i>
      <x v="239"/>
      <x v="3"/>
      <x v="3"/>
      <x v="453"/>
      <x v="2"/>
    </i>
    <i>
      <x v="240"/>
      <x v="2"/>
      <x/>
      <x v="91"/>
      <x v="3"/>
    </i>
    <i>
      <x v="241"/>
      <x/>
      <x/>
      <x v="369"/>
      <x v="2"/>
    </i>
    <i>
      <x v="242"/>
      <x v="3"/>
      <x v="1"/>
      <x v="532"/>
      <x v="1"/>
    </i>
    <i>
      <x v="243"/>
      <x v="1"/>
      <x v="2"/>
      <x v="274"/>
      <x v="2"/>
    </i>
    <i>
      <x v="244"/>
      <x v="3"/>
      <x v="3"/>
      <x v="354"/>
      <x v="2"/>
    </i>
    <i>
      <x v="245"/>
      <x v="1"/>
      <x/>
      <x v="36"/>
      <x v="2"/>
    </i>
    <i>
      <x v="246"/>
      <x v="1"/>
      <x/>
      <x v="425"/>
      <x v="2"/>
    </i>
    <i>
      <x v="247"/>
      <x v="1"/>
      <x/>
      <x v="3"/>
      <x v="2"/>
    </i>
    <i>
      <x v="248"/>
      <x v="3"/>
      <x/>
      <x v="205"/>
      <x v="2"/>
    </i>
    <i>
      <x v="249"/>
      <x v="2"/>
      <x v="2"/>
      <x v="18"/>
      <x v="1"/>
    </i>
    <i>
      <x v="250"/>
      <x v="3"/>
      <x/>
      <x v="242"/>
      <x v="1"/>
    </i>
    <i>
      <x v="251"/>
      <x v="3"/>
      <x v="1"/>
      <x v="266"/>
      <x v="1"/>
    </i>
    <i>
      <x v="252"/>
      <x v="1"/>
      <x v="2"/>
      <x v="308"/>
      <x v="3"/>
    </i>
    <i>
      <x v="253"/>
      <x v="1"/>
      <x v="1"/>
      <x v="629"/>
      <x v="2"/>
    </i>
    <i>
      <x v="254"/>
      <x v="1"/>
      <x v="1"/>
      <x v="413"/>
      <x v="2"/>
    </i>
    <i>
      <x v="255"/>
      <x v="1"/>
      <x/>
      <x v="246"/>
      <x v="3"/>
    </i>
    <i>
      <x v="256"/>
      <x v="3"/>
      <x v="1"/>
      <x v="488"/>
      <x v="1"/>
    </i>
    <i>
      <x v="257"/>
      <x v="1"/>
      <x v="3"/>
      <x v="23"/>
      <x v="2"/>
    </i>
    <i>
      <x v="258"/>
      <x v="2"/>
      <x/>
      <x v="29"/>
      <x v="3"/>
    </i>
    <i>
      <x v="259"/>
      <x v="2"/>
      <x v="3"/>
      <x v="456"/>
      <x v="1"/>
    </i>
    <i>
      <x v="260"/>
      <x/>
      <x/>
      <x v="516"/>
      <x v="1"/>
    </i>
    <i>
      <x v="261"/>
      <x/>
      <x v="1"/>
      <x v="78"/>
      <x v="1"/>
    </i>
    <i>
      <x v="262"/>
      <x v="2"/>
      <x v="3"/>
      <x v="519"/>
      <x v="3"/>
    </i>
    <i>
      <x v="263"/>
      <x v="1"/>
      <x v="3"/>
      <x v="174"/>
      <x v="2"/>
    </i>
    <i>
      <x v="264"/>
      <x v="1"/>
      <x/>
      <x v="460"/>
      <x v="3"/>
    </i>
    <i>
      <x v="265"/>
      <x v="1"/>
      <x v="3"/>
      <x v="468"/>
      <x v="2"/>
    </i>
    <i>
      <x v="266"/>
      <x v="2"/>
      <x v="3"/>
      <x v="33"/>
      <x v="3"/>
    </i>
    <i>
      <x v="267"/>
      <x/>
      <x v="3"/>
      <x v="62"/>
      <x v="2"/>
    </i>
    <i>
      <x v="268"/>
      <x/>
      <x/>
      <x v="106"/>
      <x v="2"/>
    </i>
    <i>
      <x v="269"/>
      <x/>
      <x/>
      <x v="309"/>
      <x v="1"/>
    </i>
    <i>
      <x v="270"/>
      <x v="2"/>
      <x/>
      <x v="521"/>
      <x v="1"/>
    </i>
    <i>
      <x v="271"/>
      <x v="3"/>
      <x v="2"/>
      <x v="461"/>
      <x v="2"/>
    </i>
    <i>
      <x v="272"/>
      <x v="3"/>
      <x/>
      <x v="365"/>
      <x v="1"/>
    </i>
    <i>
      <x v="273"/>
      <x v="3"/>
      <x v="3"/>
      <x v="136"/>
      <x v="2"/>
    </i>
    <i>
      <x v="274"/>
      <x/>
      <x/>
      <x v="501"/>
      <x v="1"/>
    </i>
    <i>
      <x v="275"/>
      <x v="1"/>
      <x v="2"/>
      <x v="310"/>
      <x v="2"/>
    </i>
    <i>
      <x v="276"/>
      <x v="3"/>
      <x v="2"/>
      <x v="90"/>
      <x v="2"/>
    </i>
    <i>
      <x v="277"/>
      <x/>
      <x v="1"/>
      <x v="158"/>
      <x v="2"/>
    </i>
    <i>
      <x v="278"/>
      <x/>
      <x v="3"/>
      <x v="314"/>
      <x v="2"/>
    </i>
    <i>
      <x v="279"/>
      <x v="3"/>
      <x v="1"/>
      <x v="625"/>
      <x v="3"/>
    </i>
    <i>
      <x v="280"/>
      <x/>
      <x v="3"/>
      <x v="490"/>
      <x v="1"/>
    </i>
    <i>
      <x v="281"/>
      <x v="1"/>
      <x/>
      <x v="278"/>
      <x v="2"/>
    </i>
    <i>
      <x v="282"/>
      <x v="3"/>
      <x v="1"/>
      <x v="542"/>
      <x v="2"/>
    </i>
    <i>
      <x v="283"/>
      <x/>
      <x v="3"/>
      <x v="317"/>
      <x v="1"/>
    </i>
    <i>
      <x v="284"/>
      <x v="2"/>
      <x v="3"/>
      <x v="218"/>
      <x v="2"/>
    </i>
    <i>
      <x v="285"/>
      <x/>
      <x v="1"/>
      <x v="561"/>
      <x v="1"/>
    </i>
    <i>
      <x v="286"/>
      <x v="2"/>
      <x/>
      <x v="418"/>
      <x v="3"/>
    </i>
    <i>
      <x v="287"/>
      <x v="2"/>
      <x v="1"/>
      <x v="263"/>
      <x v="2"/>
    </i>
    <i>
      <x v="288"/>
      <x v="2"/>
      <x v="3"/>
      <x v="124"/>
      <x v="1"/>
    </i>
    <i>
      <x v="289"/>
      <x v="1"/>
      <x v="2"/>
      <x v="543"/>
      <x v="1"/>
    </i>
    <i>
      <x v="290"/>
      <x v="1"/>
      <x/>
      <x v="173"/>
      <x v="3"/>
    </i>
    <i>
      <x v="291"/>
      <x v="3"/>
      <x/>
      <x v="289"/>
      <x v="2"/>
    </i>
    <i>
      <x v="292"/>
      <x v="2"/>
      <x v="3"/>
      <x v="320"/>
      <x v="1"/>
    </i>
    <i>
      <x v="293"/>
      <x/>
      <x v="3"/>
      <x v="437"/>
      <x v="3"/>
    </i>
    <i>
      <x v="294"/>
      <x/>
      <x v="1"/>
      <x v="160"/>
      <x v="3"/>
    </i>
    <i>
      <x v="295"/>
      <x v="3"/>
      <x/>
      <x v="408"/>
      <x v="2"/>
    </i>
    <i>
      <x v="296"/>
      <x v="1"/>
      <x v="3"/>
      <x v="400"/>
      <x v="1"/>
    </i>
    <i>
      <x v="297"/>
      <x v="3"/>
      <x v="1"/>
      <x v="257"/>
      <x v="3"/>
    </i>
    <i>
      <x v="298"/>
      <x v="3"/>
      <x v="3"/>
      <x v="225"/>
      <x v="2"/>
    </i>
    <i>
      <x v="299"/>
      <x v="3"/>
      <x v="3"/>
      <x v="101"/>
      <x v="1"/>
    </i>
    <i>
      <x v="300"/>
      <x v="1"/>
      <x v="1"/>
      <x v="324"/>
      <x v="3"/>
    </i>
    <i>
      <x v="301"/>
      <x v="1"/>
      <x v="1"/>
      <x v="264"/>
      <x v="2"/>
    </i>
    <i>
      <x v="302"/>
      <x v="2"/>
      <x v="3"/>
      <x v="575"/>
      <x v="1"/>
    </i>
    <i>
      <x v="303"/>
      <x v="3"/>
      <x v="2"/>
      <x v="379"/>
      <x v="1"/>
    </i>
    <i>
      <x v="304"/>
      <x v="3"/>
      <x v="1"/>
      <x v="371"/>
      <x v="2"/>
    </i>
    <i>
      <x v="305"/>
      <x v="1"/>
      <x v="1"/>
      <x v="20"/>
      <x v="1"/>
    </i>
    <i>
      <x v="306"/>
      <x/>
      <x/>
      <x v="172"/>
      <x v="3"/>
    </i>
    <i>
      <x v="307"/>
      <x/>
      <x v="2"/>
      <x v="81"/>
      <x v="2"/>
    </i>
    <i>
      <x v="308"/>
      <x/>
      <x v="1"/>
      <x v="224"/>
      <x v="1"/>
    </i>
    <i>
      <x v="309"/>
      <x v="1"/>
      <x v="2"/>
      <x v="140"/>
      <x v="2"/>
    </i>
    <i>
      <x v="310"/>
      <x v="1"/>
      <x/>
      <x v="597"/>
      <x v="1"/>
    </i>
    <i>
      <x v="311"/>
      <x v="1"/>
      <x v="2"/>
      <x v="548"/>
      <x v="1"/>
    </i>
    <i>
      <x v="312"/>
      <x/>
      <x v="1"/>
      <x v="293"/>
      <x v="1"/>
    </i>
    <i>
      <x v="313"/>
      <x v="1"/>
      <x v="2"/>
      <x v="586"/>
      <x v="2"/>
    </i>
    <i>
      <x v="314"/>
      <x v="2"/>
      <x/>
      <x v="146"/>
      <x v="2"/>
    </i>
    <i>
      <x v="315"/>
      <x v="1"/>
      <x v="2"/>
      <x v="589"/>
      <x v="2"/>
    </i>
    <i>
      <x v="316"/>
      <x v="1"/>
      <x v="1"/>
      <x v="449"/>
      <x v="1"/>
    </i>
    <i>
      <x v="317"/>
      <x v="2"/>
      <x v="1"/>
      <x v="527"/>
      <x v="1"/>
    </i>
    <i>
      <x v="318"/>
      <x v="1"/>
      <x v="3"/>
      <x v="613"/>
      <x v="3"/>
    </i>
    <i>
      <x v="319"/>
      <x v="2"/>
      <x v="2"/>
      <x v="291"/>
      <x v="1"/>
    </i>
    <i>
      <x v="320"/>
      <x v="2"/>
      <x/>
      <x v="624"/>
      <x v="3"/>
    </i>
    <i>
      <x v="321"/>
      <x v="3"/>
      <x v="3"/>
      <x v="588"/>
      <x v="2"/>
    </i>
    <i>
      <x v="322"/>
      <x v="1"/>
      <x v="3"/>
      <x v="49"/>
      <x v="2"/>
    </i>
    <i>
      <x v="323"/>
      <x v="3"/>
      <x v="3"/>
      <x v="68"/>
      <x v="1"/>
    </i>
    <i>
      <x v="324"/>
      <x v="1"/>
      <x/>
      <x v="600"/>
      <x v="2"/>
    </i>
    <i>
      <x v="325"/>
      <x v="1"/>
      <x v="1"/>
      <x v="537"/>
      <x v="1"/>
    </i>
    <i>
      <x v="326"/>
      <x v="3"/>
      <x v="3"/>
      <x v="448"/>
      <x v="2"/>
    </i>
    <i>
      <x v="327"/>
      <x v="1"/>
      <x v="2"/>
      <x v="402"/>
      <x v="1"/>
    </i>
    <i>
      <x v="328"/>
      <x v="1"/>
      <x v="1"/>
      <x v="431"/>
      <x v="1"/>
    </i>
    <i>
      <x v="329"/>
      <x/>
      <x v="3"/>
      <x v="566"/>
      <x v="3"/>
    </i>
    <i>
      <x v="330"/>
      <x v="1"/>
      <x v="2"/>
      <x v="215"/>
      <x v="1"/>
    </i>
    <i>
      <x v="331"/>
      <x v="1"/>
      <x v="1"/>
      <x v="483"/>
      <x v="2"/>
    </i>
    <i>
      <x v="332"/>
      <x v="2"/>
      <x/>
      <x v="420"/>
      <x v="2"/>
    </i>
    <i>
      <x v="333"/>
      <x v="1"/>
      <x/>
      <x/>
      <x v="2"/>
    </i>
    <i>
      <x v="334"/>
      <x/>
      <x v="1"/>
      <x v="475"/>
      <x v="2"/>
    </i>
    <i>
      <x v="335"/>
      <x v="2"/>
      <x/>
      <x v="377"/>
      <x v="1"/>
    </i>
    <i>
      <x v="336"/>
      <x v="2"/>
      <x v="2"/>
      <x v="489"/>
      <x v="2"/>
    </i>
    <i>
      <x v="337"/>
      <x v="2"/>
      <x v="2"/>
      <x v="179"/>
      <x v="3"/>
    </i>
    <i>
      <x v="338"/>
      <x v="1"/>
      <x/>
      <x v="573"/>
      <x v="3"/>
    </i>
    <i>
      <x v="339"/>
      <x v="3"/>
      <x v="1"/>
      <x v="605"/>
      <x v="1"/>
    </i>
    <i>
      <x v="340"/>
      <x v="1"/>
      <x v="2"/>
      <x v="567"/>
      <x v="2"/>
    </i>
    <i>
      <x v="341"/>
      <x v="2"/>
      <x v="2"/>
      <x v="360"/>
      <x v="1"/>
    </i>
    <i>
      <x v="342"/>
      <x/>
      <x v="1"/>
      <x v="339"/>
      <x v="2"/>
    </i>
    <i>
      <x v="343"/>
      <x/>
      <x v="1"/>
      <x v="358"/>
      <x v="3"/>
    </i>
    <i>
      <x v="344"/>
      <x v="3"/>
      <x v="1"/>
      <x v="515"/>
      <x v="2"/>
    </i>
    <i>
      <x v="345"/>
      <x v="2"/>
      <x v="2"/>
      <x v="80"/>
      <x v="2"/>
    </i>
    <i>
      <x v="346"/>
      <x v="2"/>
      <x v="2"/>
      <x v="244"/>
      <x v="1"/>
    </i>
    <i>
      <x v="347"/>
      <x v="2"/>
      <x v="1"/>
      <x v="581"/>
      <x v="2"/>
    </i>
    <i>
      <x v="348"/>
      <x v="2"/>
      <x v="1"/>
      <x v="178"/>
      <x v="1"/>
    </i>
    <i>
      <x v="349"/>
      <x/>
      <x v="1"/>
      <x v="480"/>
      <x v="2"/>
    </i>
    <i>
      <x v="350"/>
      <x v="2"/>
      <x v="2"/>
      <x v="77"/>
      <x v="3"/>
    </i>
    <i>
      <x v="351"/>
      <x v="3"/>
      <x v="1"/>
      <x v="427"/>
      <x v="1"/>
    </i>
    <i>
      <x v="352"/>
      <x v="1"/>
      <x v="2"/>
      <x v="69"/>
      <x v="2"/>
    </i>
    <i>
      <x v="353"/>
      <x v="1"/>
      <x v="3"/>
      <x v="578"/>
      <x v="1"/>
    </i>
    <i>
      <x v="354"/>
      <x/>
      <x v="1"/>
      <x v="546"/>
      <x v="1"/>
    </i>
    <i>
      <x v="355"/>
      <x v="2"/>
      <x v="2"/>
      <x v="582"/>
      <x v="2"/>
    </i>
    <i>
      <x v="356"/>
      <x v="2"/>
      <x v="1"/>
      <x v="580"/>
      <x v="2"/>
    </i>
    <i>
      <x v="357"/>
      <x/>
      <x v="1"/>
      <x v="345"/>
      <x v="2"/>
    </i>
    <i>
      <x v="358"/>
      <x v="2"/>
      <x/>
      <x v="204"/>
      <x v="1"/>
    </i>
    <i>
      <x v="359"/>
      <x v="1"/>
      <x v="1"/>
      <x v="66"/>
      <x v="2"/>
    </i>
    <i>
      <x v="360"/>
      <x v="2"/>
      <x v="2"/>
      <x v="312"/>
      <x v="3"/>
    </i>
    <i>
      <x v="361"/>
      <x v="1"/>
      <x v="2"/>
      <x v="334"/>
      <x v="2"/>
    </i>
    <i>
      <x v="362"/>
      <x v="2"/>
      <x v="1"/>
      <x v="583"/>
      <x v="2"/>
    </i>
    <i>
      <x v="363"/>
      <x v="3"/>
      <x v="1"/>
      <x v="243"/>
      <x v="1"/>
    </i>
    <i>
      <x v="364"/>
      <x v="3"/>
      <x v="2"/>
      <x v="414"/>
      <x v="1"/>
    </i>
    <i>
      <x v="365"/>
      <x/>
      <x v="1"/>
      <x v="512"/>
      <x v="1"/>
    </i>
    <i>
      <x v="366"/>
      <x/>
      <x v="3"/>
      <x v="412"/>
      <x v="2"/>
    </i>
    <i>
      <x v="367"/>
      <x v="3"/>
      <x v="1"/>
      <x v="85"/>
      <x v="1"/>
    </i>
    <i>
      <x v="368"/>
      <x v="2"/>
      <x/>
      <x v="514"/>
      <x v="3"/>
    </i>
    <i>
      <x v="369"/>
      <x/>
      <x/>
      <x v="330"/>
      <x v="2"/>
    </i>
    <i>
      <x v="370"/>
      <x v="2"/>
      <x v="3"/>
      <x v="494"/>
      <x v="1"/>
    </i>
    <i>
      <x v="371"/>
      <x v="2"/>
      <x v="3"/>
      <x v="335"/>
      <x v="3"/>
    </i>
    <i>
      <x v="372"/>
      <x v="1"/>
      <x v="2"/>
      <x v="177"/>
      <x v="2"/>
    </i>
    <i>
      <x v="373"/>
      <x v="2"/>
      <x v="3"/>
      <x v="596"/>
      <x v="2"/>
    </i>
    <i>
      <x v="374"/>
      <x v="3"/>
      <x v="2"/>
      <x v="195"/>
      <x v="2"/>
    </i>
    <i>
      <x v="375"/>
      <x/>
      <x v="3"/>
      <x v="442"/>
      <x v="2"/>
    </i>
    <i>
      <x v="376"/>
      <x v="1"/>
      <x/>
      <x v="275"/>
      <x v="3"/>
    </i>
    <i>
      <x v="377"/>
      <x/>
      <x v="2"/>
      <x v="524"/>
      <x v="3"/>
    </i>
    <i>
      <x v="378"/>
      <x/>
      <x v="2"/>
      <x v="240"/>
      <x v="2"/>
    </i>
    <i>
      <x v="379"/>
      <x v="1"/>
      <x v="1"/>
      <x v="626"/>
      <x v="3"/>
    </i>
    <i>
      <x v="380"/>
      <x v="3"/>
      <x/>
      <x v="276"/>
      <x v="3"/>
    </i>
    <i>
      <x v="381"/>
      <x v="3"/>
      <x v="1"/>
      <x v="386"/>
      <x v="2"/>
    </i>
    <i>
      <x v="382"/>
      <x/>
      <x v="1"/>
      <x v="503"/>
      <x v="1"/>
    </i>
    <i>
      <x v="383"/>
      <x v="1"/>
      <x/>
      <x v="162"/>
      <x v="3"/>
    </i>
    <i>
      <x v="384"/>
      <x v="2"/>
      <x v="3"/>
      <x v="156"/>
      <x v="1"/>
    </i>
    <i>
      <x v="385"/>
      <x v="3"/>
      <x v="2"/>
      <x v="458"/>
      <x v="1"/>
    </i>
    <i>
      <x v="386"/>
      <x v="2"/>
      <x v="3"/>
      <x v="564"/>
      <x v="1"/>
    </i>
    <i>
      <x v="387"/>
      <x v="1"/>
      <x v="3"/>
      <x v="380"/>
      <x v="1"/>
    </i>
    <i>
      <x v="388"/>
      <x v="3"/>
      <x v="2"/>
      <x v="42"/>
      <x v="1"/>
    </i>
    <i>
      <x v="389"/>
      <x v="3"/>
      <x/>
      <x v="416"/>
      <x v="2"/>
    </i>
    <i>
      <x v="390"/>
      <x v="3"/>
      <x/>
      <x v="197"/>
      <x v="3"/>
    </i>
    <i>
      <x v="391"/>
      <x v="3"/>
      <x v="3"/>
      <x v="323"/>
      <x v="1"/>
    </i>
    <i>
      <x v="392"/>
      <x v="2"/>
      <x/>
      <x v="397"/>
      <x v="3"/>
    </i>
    <i>
      <x v="393"/>
      <x v="3"/>
      <x/>
      <x v="251"/>
      <x v="1"/>
    </i>
    <i>
      <x v="394"/>
      <x v="3"/>
      <x v="3"/>
      <x v="290"/>
      <x v="2"/>
    </i>
    <i>
      <x v="395"/>
      <x v="2"/>
      <x v="2"/>
      <x v="595"/>
      <x v="2"/>
    </i>
    <i>
      <x v="396"/>
      <x v="2"/>
      <x v="3"/>
      <x v="362"/>
      <x v="2"/>
    </i>
    <i>
      <x v="397"/>
      <x v="1"/>
      <x v="2"/>
      <x v="152"/>
      <x v="3"/>
    </i>
    <i>
      <x v="398"/>
      <x v="3"/>
      <x v="3"/>
      <x v="497"/>
      <x v="2"/>
    </i>
    <i>
      <x v="399"/>
      <x/>
      <x v="1"/>
      <x v="95"/>
      <x v="3"/>
    </i>
    <i>
      <x v="400"/>
      <x v="3"/>
      <x v="3"/>
      <x v="54"/>
      <x v="1"/>
    </i>
    <i>
      <x v="401"/>
      <x v="1"/>
      <x/>
      <x v="97"/>
      <x v="2"/>
    </i>
    <i>
      <x v="402"/>
      <x v="3"/>
      <x v="2"/>
      <x v="112"/>
      <x v="1"/>
    </i>
    <i>
      <x v="403"/>
      <x v="2"/>
      <x v="3"/>
      <x v="39"/>
      <x v="1"/>
    </i>
    <i>
      <x v="404"/>
      <x/>
      <x v="2"/>
      <x v="630"/>
      <x v="1"/>
    </i>
    <i>
      <x v="405"/>
      <x v="2"/>
      <x v="3"/>
      <x v="280"/>
      <x v="1"/>
    </i>
    <i>
      <x v="406"/>
      <x/>
      <x v="2"/>
      <x v="569"/>
      <x v="2"/>
    </i>
    <i>
      <x v="407"/>
      <x v="3"/>
      <x/>
      <x v="127"/>
      <x v="1"/>
    </i>
    <i>
      <x v="408"/>
      <x v="2"/>
      <x v="2"/>
      <x v="570"/>
      <x v="2"/>
    </i>
    <i>
      <x v="409"/>
      <x/>
      <x v="1"/>
      <x v="545"/>
      <x v="2"/>
    </i>
    <i>
      <x v="410"/>
      <x v="3"/>
      <x v="1"/>
      <x v="395"/>
      <x v="1"/>
    </i>
    <i>
      <x v="411"/>
      <x/>
      <x v="1"/>
      <x v="200"/>
      <x v="1"/>
    </i>
    <i>
      <x v="412"/>
      <x v="3"/>
      <x/>
      <x v="107"/>
      <x v="2"/>
    </i>
    <i>
      <x v="413"/>
      <x v="2"/>
      <x v="3"/>
      <x v="601"/>
      <x v="1"/>
    </i>
    <i>
      <x v="414"/>
      <x/>
      <x v="3"/>
      <x v="188"/>
      <x v="1"/>
    </i>
    <i>
      <x v="415"/>
      <x/>
      <x/>
      <x v="50"/>
      <x v="2"/>
    </i>
    <i>
      <x v="416"/>
      <x v="2"/>
      <x/>
      <x v="120"/>
      <x v="2"/>
    </i>
    <i>
      <x v="417"/>
      <x v="2"/>
      <x v="1"/>
      <x v="361"/>
      <x v="1"/>
    </i>
    <i>
      <x v="418"/>
      <x/>
      <x/>
      <x v="28"/>
      <x v="2"/>
    </i>
    <i>
      <x v="419"/>
      <x/>
      <x v="2"/>
      <x v="338"/>
      <x v="2"/>
    </i>
    <i>
      <x v="420"/>
      <x v="3"/>
      <x v="1"/>
      <x v="260"/>
      <x v="1"/>
    </i>
    <i>
      <x v="421"/>
      <x v="2"/>
      <x v="2"/>
      <x v="428"/>
      <x v="2"/>
    </i>
    <i>
      <x v="422"/>
      <x v="3"/>
      <x v="3"/>
      <x v="32"/>
      <x v="3"/>
    </i>
    <i>
      <x v="423"/>
      <x v="2"/>
      <x/>
      <x v="396"/>
      <x v="1"/>
    </i>
    <i>
      <x v="424"/>
      <x v="2"/>
      <x/>
      <x v="313"/>
      <x v="2"/>
    </i>
    <i>
      <x v="425"/>
      <x/>
      <x v="1"/>
      <x v="92"/>
      <x v="1"/>
    </i>
    <i>
      <x v="426"/>
      <x v="3"/>
      <x/>
      <x v="282"/>
      <x v="2"/>
    </i>
    <i>
      <x v="427"/>
      <x v="1"/>
      <x v="1"/>
      <x v="500"/>
      <x v="2"/>
    </i>
    <i>
      <x v="428"/>
      <x v="3"/>
      <x/>
      <x v="241"/>
      <x v="1"/>
    </i>
    <i>
      <x v="429"/>
      <x/>
      <x/>
      <x v="259"/>
      <x v="2"/>
    </i>
    <i>
      <x v="430"/>
      <x v="3"/>
      <x v="2"/>
      <x v="426"/>
      <x v="2"/>
    </i>
    <i>
      <x v="431"/>
      <x v="2"/>
      <x v="2"/>
      <x v="48"/>
      <x v="1"/>
    </i>
    <i>
      <x v="432"/>
      <x v="1"/>
      <x/>
      <x v="67"/>
      <x v="2"/>
    </i>
    <i>
      <x v="433"/>
      <x v="1"/>
      <x v="2"/>
      <x v="394"/>
      <x v="2"/>
    </i>
    <i>
      <x v="434"/>
      <x v="3"/>
      <x v="3"/>
      <x v="196"/>
      <x v="1"/>
    </i>
    <i>
      <x v="435"/>
      <x v="3"/>
      <x/>
      <x v="482"/>
      <x v="2"/>
    </i>
    <i>
      <x v="436"/>
      <x v="3"/>
      <x/>
      <x v="392"/>
      <x v="1"/>
    </i>
    <i>
      <x v="437"/>
      <x v="2"/>
      <x v="1"/>
      <x v="211"/>
      <x v="1"/>
    </i>
    <i>
      <x v="438"/>
      <x v="2"/>
      <x v="2"/>
      <x v="517"/>
      <x v="2"/>
    </i>
    <i>
      <x v="439"/>
      <x/>
      <x v="1"/>
      <x v="1"/>
      <x v="2"/>
    </i>
    <i>
      <x v="440"/>
      <x v="3"/>
      <x/>
      <x v="252"/>
      <x v="2"/>
    </i>
    <i>
      <x v="441"/>
      <x v="3"/>
      <x v="3"/>
      <x v="332"/>
      <x v="1"/>
    </i>
    <i>
      <x v="442"/>
      <x v="3"/>
      <x v="3"/>
      <x v="284"/>
      <x v="2"/>
    </i>
    <i>
      <x v="443"/>
      <x/>
      <x v="1"/>
      <x v="585"/>
      <x v="2"/>
    </i>
    <i>
      <x v="444"/>
      <x v="3"/>
      <x v="3"/>
      <x v="135"/>
      <x v="2"/>
    </i>
    <i>
      <x v="445"/>
      <x v="2"/>
      <x v="2"/>
      <x v="525"/>
      <x v="2"/>
    </i>
    <i>
      <x v="446"/>
      <x v="1"/>
      <x/>
      <x v="568"/>
      <x v="2"/>
    </i>
    <i>
      <x v="447"/>
      <x v="3"/>
      <x/>
      <x v="14"/>
      <x v="2"/>
    </i>
    <i>
      <x v="448"/>
      <x v="1"/>
      <x/>
      <x v="87"/>
      <x v="2"/>
    </i>
    <i>
      <x v="449"/>
      <x v="2"/>
      <x v="3"/>
      <x v="299"/>
      <x v="1"/>
    </i>
    <i>
      <x v="450"/>
      <x v="3"/>
      <x v="3"/>
      <x v="587"/>
      <x v="2"/>
    </i>
    <i>
      <x v="451"/>
      <x/>
      <x v="3"/>
      <x v="340"/>
      <x v="2"/>
    </i>
    <i>
      <x v="452"/>
      <x/>
      <x/>
      <x v="201"/>
      <x v="1"/>
    </i>
    <i>
      <x v="453"/>
      <x/>
      <x v="1"/>
      <x v="76"/>
      <x v="1"/>
    </i>
    <i>
      <x v="454"/>
      <x v="2"/>
      <x v="3"/>
      <x v="56"/>
      <x v="2"/>
    </i>
    <i>
      <x v="455"/>
      <x/>
      <x v="2"/>
      <x v="481"/>
      <x v="2"/>
    </i>
    <i>
      <x v="456"/>
      <x v="3"/>
      <x v="1"/>
      <x v="51"/>
      <x v="2"/>
    </i>
    <i>
      <x v="457"/>
      <x/>
      <x/>
      <x v="518"/>
      <x v="2"/>
    </i>
    <i>
      <x v="458"/>
      <x v="2"/>
      <x v="2"/>
      <x v="476"/>
      <x v="2"/>
    </i>
    <i>
      <x v="459"/>
      <x v="2"/>
      <x v="2"/>
      <x v="470"/>
      <x v="4"/>
    </i>
    <i>
      <x v="460"/>
      <x/>
      <x v="3"/>
      <x v="164"/>
      <x v="1"/>
    </i>
    <i>
      <x v="461"/>
      <x/>
      <x v="3"/>
      <x v="591"/>
      <x v="4"/>
    </i>
    <i>
      <x v="462"/>
      <x v="1"/>
      <x/>
      <x v="191"/>
      <x v="3"/>
    </i>
    <i>
      <x v="463"/>
      <x v="3"/>
      <x v="1"/>
      <x v="71"/>
      <x v="1"/>
    </i>
    <i>
      <x v="464"/>
      <x v="2"/>
      <x/>
      <x v="423"/>
      <x v="1"/>
    </i>
    <i>
      <x v="465"/>
      <x v="1"/>
      <x v="2"/>
      <x v="579"/>
      <x v="2"/>
    </i>
    <i>
      <x v="466"/>
      <x v="2"/>
      <x/>
      <x v="607"/>
      <x v="1"/>
    </i>
    <i>
      <x v="467"/>
      <x v="3"/>
      <x v="1"/>
      <x v="41"/>
      <x v="1"/>
    </i>
    <i>
      <x v="468"/>
      <x/>
      <x/>
      <x v="419"/>
      <x v="2"/>
    </i>
    <i>
      <x v="469"/>
      <x v="1"/>
      <x/>
      <x v="285"/>
      <x v="2"/>
    </i>
    <i>
      <x v="470"/>
      <x v="3"/>
      <x v="2"/>
      <x v="370"/>
      <x v="2"/>
    </i>
    <i>
      <x v="471"/>
      <x/>
      <x v="2"/>
      <x v="154"/>
      <x v="2"/>
    </i>
    <i>
      <x v="472"/>
      <x/>
      <x/>
      <x v="102"/>
      <x v="1"/>
    </i>
    <i>
      <x v="473"/>
      <x v="2"/>
      <x v="1"/>
      <x v="59"/>
      <x v="1"/>
    </i>
    <i>
      <x v="474"/>
      <x v="2"/>
      <x/>
      <x v="10"/>
      <x v="1"/>
    </i>
    <i>
      <x v="475"/>
      <x v="3"/>
      <x v="1"/>
      <x v="311"/>
      <x v="2"/>
    </i>
    <i>
      <x v="476"/>
      <x v="3"/>
      <x v="1"/>
      <x v="122"/>
      <x v="3"/>
    </i>
    <i>
      <x v="477"/>
      <x v="2"/>
      <x v="1"/>
      <x v="513"/>
      <x v="1"/>
    </i>
    <i>
      <x v="478"/>
      <x v="3"/>
      <x v="2"/>
      <x v="167"/>
      <x v="1"/>
    </i>
    <i>
      <x v="479"/>
      <x v="1"/>
      <x v="1"/>
      <x v="344"/>
      <x v="1"/>
    </i>
    <i>
      <x v="480"/>
      <x v="3"/>
      <x/>
      <x v="144"/>
      <x v="2"/>
    </i>
    <i>
      <x v="481"/>
      <x v="2"/>
      <x/>
      <x v="37"/>
      <x v="3"/>
    </i>
    <i>
      <x v="482"/>
      <x v="3"/>
      <x v="1"/>
      <x v="145"/>
      <x v="1"/>
    </i>
    <i>
      <x v="483"/>
      <x v="2"/>
      <x v="2"/>
      <x v="510"/>
      <x v="2"/>
    </i>
    <i>
      <x v="484"/>
      <x/>
      <x v="2"/>
      <x v="355"/>
      <x v="2"/>
    </i>
    <i>
      <x v="485"/>
      <x v="1"/>
      <x v="1"/>
      <x v="297"/>
      <x v="2"/>
    </i>
    <i>
      <x v="486"/>
      <x v="1"/>
      <x v="1"/>
      <x v="281"/>
      <x v="1"/>
    </i>
    <i>
      <x v="487"/>
      <x v="2"/>
      <x v="2"/>
      <x v="505"/>
      <x v="2"/>
    </i>
    <i>
      <x v="488"/>
      <x v="3"/>
      <x v="1"/>
      <x v="137"/>
      <x v="1"/>
    </i>
    <i>
      <x v="489"/>
      <x v="2"/>
      <x v="1"/>
      <x v="619"/>
      <x v="2"/>
    </i>
    <i>
      <x v="490"/>
      <x/>
      <x v="1"/>
      <x v="618"/>
      <x v="1"/>
    </i>
    <i>
      <x v="491"/>
      <x v="2"/>
      <x v="2"/>
      <x v="11"/>
      <x v="2"/>
    </i>
    <i>
      <x v="492"/>
      <x v="3"/>
      <x v="1"/>
      <x v="109"/>
      <x v="1"/>
    </i>
    <i>
      <x v="493"/>
      <x v="1"/>
      <x/>
      <x v="499"/>
      <x v="1"/>
    </i>
    <i>
      <x v="494"/>
      <x v="3"/>
      <x v="1"/>
      <x v="356"/>
      <x v="2"/>
    </i>
    <i>
      <x v="495"/>
      <x v="3"/>
      <x/>
      <x v="417"/>
      <x v="1"/>
    </i>
    <i>
      <x v="496"/>
      <x v="1"/>
      <x v="2"/>
      <x v="271"/>
      <x v="1"/>
    </i>
    <i>
      <x v="497"/>
      <x v="1"/>
      <x v="2"/>
      <x v="374"/>
      <x v="2"/>
    </i>
    <i>
      <x v="498"/>
      <x/>
      <x v="1"/>
      <x v="52"/>
      <x v="2"/>
    </i>
    <i>
      <x v="499"/>
      <x v="1"/>
      <x v="1"/>
      <x v="100"/>
      <x v="2"/>
    </i>
    <i>
      <x v="500"/>
      <x/>
      <x v="1"/>
      <x v="469"/>
      <x v="3"/>
    </i>
    <i>
      <x v="501"/>
      <x v="2"/>
      <x v="1"/>
      <x v="185"/>
      <x v="2"/>
    </i>
    <i>
      <x v="502"/>
      <x v="2"/>
      <x/>
      <x v="526"/>
      <x v="1"/>
    </i>
    <i>
      <x v="503"/>
      <x v="3"/>
      <x/>
      <x v="606"/>
      <x v="2"/>
    </i>
    <i>
      <x v="504"/>
      <x v="2"/>
      <x/>
      <x v="457"/>
      <x v="2"/>
    </i>
    <i>
      <x v="505"/>
      <x/>
      <x/>
      <x v="474"/>
      <x v="1"/>
    </i>
    <i>
      <x v="506"/>
      <x v="3"/>
      <x/>
      <x v="286"/>
      <x v="1"/>
    </i>
    <i>
      <x v="507"/>
      <x v="2"/>
      <x/>
      <x v="116"/>
      <x v="2"/>
    </i>
    <i>
      <x v="508"/>
      <x v="1"/>
      <x v="1"/>
      <x v="147"/>
      <x v="2"/>
    </i>
    <i>
      <x v="509"/>
      <x v="3"/>
      <x v="1"/>
      <x v="577"/>
      <x v="2"/>
    </i>
    <i>
      <x v="510"/>
      <x v="2"/>
      <x v="1"/>
      <x v="232"/>
      <x v="1"/>
    </i>
    <i>
      <x v="511"/>
      <x v="2"/>
      <x/>
      <x v="55"/>
      <x v="2"/>
    </i>
    <i>
      <x v="512"/>
      <x v="3"/>
      <x v="2"/>
      <x v="540"/>
      <x v="2"/>
    </i>
    <i>
      <x v="513"/>
      <x v="2"/>
      <x v="1"/>
      <x v="159"/>
      <x v="2"/>
    </i>
    <i>
      <x v="514"/>
      <x v="2"/>
      <x v="2"/>
      <x v="508"/>
      <x v="2"/>
    </i>
    <i>
      <x v="515"/>
      <x v="1"/>
      <x v="2"/>
      <x v="40"/>
      <x v="3"/>
    </i>
    <i>
      <x v="516"/>
      <x/>
      <x v="1"/>
      <x v="614"/>
      <x v="2"/>
    </i>
    <i>
      <x v="517"/>
      <x/>
      <x/>
      <x v="44"/>
      <x v="2"/>
    </i>
    <i>
      <x v="518"/>
      <x/>
      <x/>
      <x v="79"/>
      <x v="3"/>
    </i>
    <i>
      <x v="519"/>
      <x v="1"/>
      <x v="1"/>
      <x v="372"/>
      <x v="3"/>
    </i>
    <i>
      <x v="520"/>
      <x/>
      <x v="2"/>
      <x v="616"/>
      <x v="1"/>
    </i>
    <i>
      <x v="521"/>
      <x v="2"/>
      <x v="1"/>
      <x v="391"/>
      <x v="2"/>
    </i>
    <i>
      <x v="522"/>
      <x v="2"/>
      <x/>
      <x v="128"/>
      <x v="2"/>
    </i>
    <i>
      <x v="523"/>
      <x/>
      <x v="1"/>
      <x v="627"/>
      <x v="1"/>
    </i>
    <i>
      <x v="524"/>
      <x v="2"/>
      <x v="1"/>
      <x v="249"/>
      <x v="1"/>
    </i>
    <i>
      <x v="525"/>
      <x v="2"/>
      <x v="1"/>
      <x v="305"/>
      <x v="1"/>
    </i>
    <i>
      <x v="526"/>
      <x v="1"/>
      <x/>
      <x v="131"/>
      <x v="1"/>
    </i>
    <i>
      <x v="527"/>
      <x v="1"/>
      <x v="1"/>
      <x v="9"/>
      <x v="3"/>
    </i>
    <i>
      <x v="528"/>
      <x v="2"/>
      <x v="2"/>
      <x v="104"/>
      <x v="3"/>
    </i>
    <i>
      <x v="529"/>
      <x/>
      <x/>
      <x v="214"/>
      <x v="2"/>
    </i>
    <i>
      <x v="530"/>
      <x v="2"/>
      <x v="1"/>
      <x v="367"/>
      <x v="1"/>
    </i>
    <i>
      <x v="531"/>
      <x v="2"/>
      <x/>
      <x v="183"/>
      <x v="2"/>
    </i>
    <i>
      <x v="532"/>
      <x v="2"/>
      <x/>
      <x v="364"/>
      <x v="3"/>
    </i>
    <i>
      <x v="533"/>
      <x v="3"/>
      <x v="1"/>
      <x v="227"/>
      <x v="3"/>
    </i>
    <i>
      <x v="534"/>
      <x v="2"/>
      <x v="1"/>
      <x v="207"/>
      <x v="2"/>
    </i>
    <i>
      <x v="535"/>
      <x v="2"/>
      <x/>
      <x v="559"/>
      <x v="1"/>
    </i>
    <i>
      <x v="536"/>
      <x v="3"/>
      <x v="2"/>
      <x v="16"/>
      <x v="2"/>
    </i>
    <i>
      <x v="537"/>
      <x v="3"/>
      <x v="1"/>
      <x v="5"/>
      <x v="2"/>
    </i>
    <i>
      <x v="538"/>
      <x v="2"/>
      <x v="2"/>
      <x v="210"/>
      <x v="1"/>
    </i>
    <i>
      <x v="539"/>
      <x v="3"/>
      <x/>
      <x v="223"/>
      <x v="3"/>
    </i>
    <i>
      <x v="540"/>
      <x v="3"/>
      <x v="1"/>
      <x v="294"/>
      <x v="2"/>
    </i>
    <i>
      <x v="541"/>
      <x/>
      <x/>
      <x v="611"/>
      <x v="1"/>
    </i>
    <i>
      <x v="542"/>
      <x v="3"/>
      <x/>
      <x v="82"/>
      <x v="2"/>
    </i>
    <i>
      <x v="543"/>
      <x/>
      <x v="1"/>
      <x v="287"/>
      <x v="2"/>
    </i>
    <i>
      <x v="544"/>
      <x v="1"/>
      <x v="2"/>
      <x v="43"/>
      <x v="2"/>
    </i>
    <i>
      <x v="545"/>
      <x/>
      <x v="2"/>
      <x v="557"/>
      <x v="1"/>
    </i>
    <i>
      <x v="546"/>
      <x v="3"/>
      <x v="1"/>
      <x v="209"/>
      <x v="1"/>
    </i>
    <i>
      <x v="547"/>
      <x/>
      <x v="1"/>
      <x v="451"/>
      <x v="1"/>
    </i>
    <i>
      <x v="548"/>
      <x v="2"/>
      <x/>
      <x v="375"/>
      <x v="2"/>
    </i>
    <i>
      <x v="549"/>
      <x v="2"/>
      <x v="1"/>
      <x v="269"/>
      <x v="1"/>
    </i>
    <i>
      <x v="550"/>
      <x/>
      <x v="2"/>
      <x v="498"/>
      <x v="2"/>
    </i>
    <i>
      <x v="551"/>
      <x v="2"/>
      <x v="2"/>
      <x v="239"/>
      <x v="1"/>
    </i>
    <i>
      <x v="552"/>
      <x/>
      <x/>
      <x v="170"/>
      <x v="1"/>
    </i>
    <i>
      <x v="553"/>
      <x v="3"/>
      <x v="1"/>
      <x v="509"/>
      <x v="1"/>
    </i>
    <i>
      <x v="554"/>
      <x v="1"/>
      <x v="1"/>
      <x v="103"/>
      <x v="2"/>
    </i>
    <i>
      <x v="555"/>
      <x v="2"/>
      <x v="2"/>
      <x v="511"/>
      <x v="2"/>
    </i>
    <i>
      <x v="556"/>
      <x v="1"/>
      <x/>
      <x v="61"/>
      <x v="2"/>
    </i>
    <i>
      <x v="557"/>
      <x/>
      <x v="2"/>
      <x v="233"/>
      <x v="2"/>
    </i>
    <i>
      <x v="558"/>
      <x v="1"/>
      <x/>
      <x v="166"/>
      <x v="1"/>
    </i>
    <i>
      <x v="559"/>
      <x/>
      <x v="2"/>
      <x v="558"/>
      <x v="2"/>
    </i>
    <i>
      <x v="560"/>
      <x v="2"/>
      <x v="2"/>
      <x v="139"/>
      <x v="2"/>
    </i>
    <i>
      <x v="561"/>
      <x v="1"/>
      <x/>
      <x v="47"/>
      <x v="1"/>
    </i>
    <i>
      <x v="562"/>
      <x v="3"/>
      <x/>
      <x v="219"/>
      <x v="1"/>
    </i>
    <i>
      <x v="563"/>
      <x/>
      <x/>
      <x v="343"/>
      <x v="1"/>
    </i>
    <i>
      <x v="564"/>
      <x v="1"/>
      <x v="2"/>
      <x v="2"/>
      <x v="3"/>
    </i>
    <i>
      <x v="565"/>
      <x v="2"/>
      <x v="1"/>
      <x v="376"/>
      <x v="2"/>
    </i>
    <i>
      <x v="566"/>
      <x v="3"/>
      <x v="2"/>
      <x v="592"/>
      <x v="2"/>
    </i>
    <i>
      <x v="567"/>
      <x v="3"/>
      <x v="1"/>
      <x v="150"/>
      <x v="2"/>
    </i>
    <i>
      <x v="568"/>
      <x/>
      <x v="2"/>
      <x v="492"/>
      <x v="1"/>
    </i>
    <i>
      <x v="569"/>
      <x v="1"/>
      <x/>
      <x v="398"/>
      <x v="1"/>
    </i>
    <i>
      <x v="570"/>
      <x v="3"/>
      <x v="2"/>
      <x v="228"/>
      <x v="3"/>
    </i>
    <i>
      <x v="571"/>
      <x v="2"/>
      <x/>
      <x v="303"/>
      <x v="2"/>
    </i>
    <i>
      <x v="572"/>
      <x v="2"/>
      <x/>
      <x v="447"/>
      <x v="4"/>
    </i>
    <i>
      <x v="573"/>
      <x v="1"/>
      <x v="1"/>
      <x v="34"/>
      <x v="2"/>
    </i>
    <i>
      <x v="574"/>
      <x/>
      <x v="1"/>
      <x v="531"/>
      <x v="1"/>
    </i>
    <i>
      <x v="575"/>
      <x v="2"/>
      <x v="2"/>
      <x v="359"/>
      <x v="1"/>
    </i>
    <i>
      <x v="576"/>
      <x v="1"/>
      <x/>
      <x v="459"/>
      <x v="1"/>
    </i>
    <i>
      <x v="577"/>
      <x v="2"/>
      <x v="1"/>
      <x v="296"/>
      <x v="2"/>
    </i>
    <i>
      <x v="578"/>
      <x/>
      <x v="2"/>
      <x v="401"/>
      <x v="2"/>
    </i>
    <i>
      <x v="579"/>
      <x v="2"/>
      <x/>
      <x v="21"/>
      <x v="2"/>
    </i>
    <i>
      <x v="580"/>
      <x v="3"/>
      <x v="2"/>
      <x v="168"/>
      <x v="3"/>
    </i>
    <i>
      <x v="581"/>
      <x v="3"/>
      <x v="1"/>
      <x v="404"/>
      <x v="1"/>
    </i>
    <i>
      <x v="582"/>
      <x v="2"/>
      <x v="1"/>
      <x v="466"/>
      <x v="2"/>
    </i>
    <i>
      <x v="583"/>
      <x v="1"/>
      <x/>
      <x v="31"/>
      <x v="2"/>
    </i>
    <i>
      <x v="584"/>
      <x v="1"/>
      <x v="1"/>
      <x v="157"/>
      <x v="2"/>
    </i>
    <i>
      <x v="585"/>
      <x/>
      <x v="2"/>
      <x v="220"/>
      <x v="1"/>
    </i>
    <i>
      <x v="586"/>
      <x/>
      <x v="1"/>
      <x v="424"/>
      <x v="3"/>
    </i>
    <i>
      <x v="587"/>
      <x v="1"/>
      <x v="1"/>
      <x v="336"/>
      <x v="2"/>
    </i>
    <i>
      <x v="588"/>
      <x v="3"/>
      <x/>
      <x v="322"/>
      <x v="2"/>
    </i>
    <i>
      <x v="589"/>
      <x v="3"/>
      <x v="1"/>
      <x v="26"/>
      <x v="2"/>
    </i>
    <i>
      <x v="590"/>
      <x v="1"/>
      <x v="1"/>
      <x v="148"/>
      <x v="4"/>
    </i>
    <i>
      <x v="591"/>
      <x v="2"/>
      <x v="2"/>
      <x v="620"/>
      <x v="2"/>
    </i>
    <i>
      <x v="592"/>
      <x v="2"/>
      <x v="2"/>
      <x v="245"/>
      <x v="1"/>
    </i>
    <i>
      <x v="593"/>
      <x v="3"/>
      <x v="2"/>
      <x v="463"/>
      <x v="1"/>
    </i>
    <i>
      <x v="594"/>
      <x v="3"/>
      <x v="1"/>
      <x v="479"/>
      <x v="3"/>
    </i>
    <i>
      <x v="595"/>
      <x/>
      <x v="2"/>
      <x v="535"/>
      <x v="3"/>
    </i>
    <i>
      <x v="596"/>
      <x v="3"/>
      <x v="1"/>
      <x v="187"/>
      <x v="2"/>
    </i>
    <i>
      <x v="597"/>
      <x v="1"/>
      <x v="2"/>
      <x v="328"/>
      <x v="2"/>
    </i>
    <i>
      <x v="598"/>
      <x v="1"/>
      <x v="2"/>
      <x v="253"/>
      <x v="3"/>
    </i>
    <i>
      <x v="599"/>
      <x/>
      <x v="1"/>
      <x v="30"/>
      <x v="2"/>
    </i>
    <i>
      <x v="600"/>
      <x v="2"/>
      <x v="2"/>
      <x v="628"/>
      <x v="2"/>
    </i>
    <i>
      <x v="601"/>
      <x v="1"/>
      <x v="2"/>
      <x v="302"/>
      <x v="1"/>
    </i>
    <i>
      <x v="602"/>
      <x v="1"/>
      <x v="2"/>
      <x v="429"/>
      <x v="2"/>
    </i>
    <i>
      <x v="603"/>
      <x v="3"/>
      <x v="1"/>
      <x v="602"/>
      <x v="3"/>
    </i>
    <i>
      <x v="604"/>
      <x v="3"/>
      <x v="1"/>
      <x v="125"/>
      <x v="1"/>
    </i>
    <i>
      <x v="605"/>
      <x v="1"/>
      <x v="1"/>
      <x v="65"/>
      <x v="1"/>
    </i>
    <i>
      <x v="606"/>
      <x/>
      <x v="2"/>
      <x v="226"/>
      <x v="2"/>
    </i>
    <i>
      <x v="607"/>
      <x v="2"/>
      <x v="1"/>
      <x v="126"/>
      <x v="2"/>
    </i>
    <i>
      <x v="608"/>
      <x v="1"/>
      <x v="1"/>
      <x v="352"/>
      <x v="1"/>
    </i>
    <i>
      <x v="609"/>
      <x/>
      <x/>
      <x v="609"/>
      <x v="2"/>
    </i>
    <i>
      <x v="610"/>
      <x v="1"/>
      <x v="2"/>
      <x v="502"/>
      <x v="2"/>
    </i>
    <i>
      <x v="611"/>
      <x v="2"/>
      <x/>
      <x v="298"/>
      <x v="2"/>
    </i>
    <i>
      <x v="612"/>
      <x v="1"/>
      <x v="1"/>
      <x v="70"/>
      <x v="2"/>
    </i>
    <i>
      <x v="613"/>
      <x/>
      <x v="1"/>
      <x v="46"/>
      <x v="1"/>
    </i>
    <i>
      <x v="614"/>
      <x v="1"/>
      <x/>
      <x v="389"/>
      <x v="2"/>
    </i>
    <i>
      <x v="615"/>
      <x v="1"/>
      <x/>
      <x v="331"/>
      <x v="1"/>
    </i>
    <i>
      <x v="616"/>
      <x/>
      <x v="2"/>
      <x v="203"/>
      <x v="2"/>
    </i>
    <i>
      <x v="617"/>
      <x v="3"/>
      <x/>
      <x v="53"/>
      <x v="2"/>
    </i>
    <i>
      <x v="618"/>
      <x/>
      <x v="1"/>
      <x v="477"/>
      <x v="1"/>
    </i>
    <i>
      <x v="619"/>
      <x v="1"/>
      <x/>
      <x v="471"/>
      <x v="1"/>
    </i>
    <i>
      <x v="620"/>
      <x v="3"/>
      <x/>
      <x v="222"/>
      <x v="1"/>
    </i>
    <i>
      <x v="621"/>
      <x/>
      <x/>
      <x v="612"/>
      <x v="2"/>
    </i>
    <i>
      <x v="622"/>
      <x v="3"/>
      <x v="1"/>
      <x v="7"/>
      <x v="2"/>
    </i>
    <i>
      <x v="623"/>
      <x v="3"/>
      <x/>
      <x v="256"/>
      <x v="1"/>
    </i>
    <i>
      <x v="624"/>
      <x v="1"/>
      <x v="2"/>
      <x v="496"/>
      <x v="1"/>
    </i>
    <i>
      <x v="625"/>
      <x v="1"/>
      <x v="2"/>
      <x v="25"/>
      <x v="1"/>
    </i>
    <i>
      <x v="626"/>
      <x v="1"/>
      <x v="2"/>
      <x v="554"/>
      <x v="3"/>
    </i>
    <i>
      <x v="627"/>
      <x v="3"/>
      <x/>
      <x v="406"/>
      <x v="1"/>
    </i>
    <i>
      <x v="628"/>
      <x v="2"/>
      <x v="1"/>
      <x v="236"/>
      <x v="2"/>
    </i>
    <i>
      <x v="629"/>
      <x v="3"/>
      <x v="2"/>
      <x v="258"/>
      <x v="2"/>
    </i>
    <i>
      <x v="630"/>
      <x v="1"/>
      <x v="1"/>
      <x v="563"/>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A00512-CD05-46F6-BA57-15E0BF68885A}" name="Top 10 SKUs by Revenue (bar)"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R3:T14" firstHeaderRow="0" firstDataRow="1" firstDataCol="1"/>
  <pivotFields count="32">
    <pivotField showAll="0"/>
    <pivotField numFmtId="165"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5"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axis="axisRow" showAll="0" measureFilter="1"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43" showAll="0"/>
    <pivotField numFmtId="43" showAll="0"/>
    <pivotField numFmtId="43" showAll="0"/>
    <pivotField showAll="0"/>
    <pivotField numFmtId="9" showAll="0"/>
    <pivotField numFmtId="9" showAll="0"/>
    <pivotField showAll="0"/>
    <pivotField dataField="1" showAll="0"/>
    <pivotField dataField="1" numFmtId="9" showAll="0"/>
    <pivotField showAll="0"/>
    <pivotField showAll="0"/>
    <pivotField showAll="0"/>
    <pivotField showAll="0"/>
    <pivotField showAll="0">
      <items count="13">
        <item x="4"/>
        <item x="2"/>
        <item x="0"/>
        <item x="7"/>
        <item x="5"/>
        <item x="9"/>
        <item x="8"/>
        <item x="11"/>
        <item x="6"/>
        <item x="1"/>
        <item x="10"/>
        <item x="3"/>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1">
    <i>
      <x v="368"/>
    </i>
    <i>
      <x v="405"/>
    </i>
    <i>
      <x v="207"/>
    </i>
    <i>
      <x v="359"/>
    </i>
    <i>
      <x v="247"/>
    </i>
    <i>
      <x v="171"/>
    </i>
    <i>
      <x v="513"/>
    </i>
    <i>
      <x v="248"/>
    </i>
    <i>
      <x v="60"/>
    </i>
    <i>
      <x v="226"/>
    </i>
    <i t="grand">
      <x/>
    </i>
  </rowItems>
  <colFields count="1">
    <field x="-2"/>
  </colFields>
  <colItems count="2">
    <i>
      <x/>
    </i>
    <i i="1">
      <x v="1"/>
    </i>
  </colItems>
  <dataFields count="2">
    <dataField name="Sum of Gross Profit" fld="21" baseField="4" baseItem="0" numFmtId="43"/>
    <dataField name="Average of Profit Margin %" fld="22" subtotal="average" baseField="11" baseItem="323" numFmtId="9"/>
  </dataFields>
  <formats count="1">
    <format dxfId="1942">
      <pivotArea outline="0" fieldPosition="0">
        <references count="1">
          <reference field="4294967294" count="1">
            <x v="0"/>
          </reference>
        </references>
      </pivotArea>
    </format>
  </formats>
  <chartFormats count="2">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EC716B-BD54-4A4B-B0F4-BB71BEC39F5F}"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3:O9" firstHeaderRow="1" firstDataRow="2" firstDataCol="1"/>
  <pivotFields count="32">
    <pivotField showAll="0"/>
    <pivotField numFmtId="165"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5"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1" showAll="0"/>
    <pivotField numFmtId="1" showAll="0"/>
    <pivotField numFmtId="43" showAll="0"/>
    <pivotField numFmtId="43" showAll="0"/>
    <pivotField numFmtId="43" showAll="0"/>
    <pivotField showAll="0"/>
    <pivotField numFmtId="9" showAll="0"/>
    <pivotField numFmtId="9" showAll="0"/>
    <pivotField showAll="0"/>
    <pivotField dataField="1" showAll="0"/>
    <pivotField numFmtId="9" showAll="0"/>
    <pivotField showAll="0"/>
    <pivotField showAll="0"/>
    <pivotField showAll="0"/>
    <pivotField showAll="0"/>
    <pivotField showAll="0">
      <items count="13">
        <item x="4"/>
        <item x="2"/>
        <item x="0"/>
        <item x="7"/>
        <item x="5"/>
        <item x="9"/>
        <item x="8"/>
        <item x="11"/>
        <item x="6"/>
        <item x="1"/>
        <item x="10"/>
        <item x="3"/>
        <item t="default"/>
      </items>
    </pivotField>
    <pivotField multipleItemSelectionAllowed="1"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Fields count="1">
    <field x="8"/>
  </colFields>
  <colItems count="7">
    <i>
      <x/>
    </i>
    <i>
      <x v="1"/>
    </i>
    <i>
      <x v="2"/>
    </i>
    <i>
      <x v="3"/>
    </i>
    <i>
      <x v="4"/>
    </i>
    <i>
      <x v="5"/>
    </i>
    <i t="grand">
      <x/>
    </i>
  </colItems>
  <dataFields count="1">
    <dataField name="Sum of Gross Profit" fld="21" baseField="4" baseItem="0" numFmtId="43"/>
  </dataFields>
  <formats count="2">
    <format dxfId="1944">
      <pivotArea collapsedLevelsAreSubtotals="1" fieldPosition="0">
        <references count="2">
          <reference field="4" count="1">
            <x v="2"/>
          </reference>
          <reference field="8" count="1" selected="0">
            <x v="5"/>
          </reference>
        </references>
      </pivotArea>
    </format>
    <format dxfId="1943">
      <pivotArea outline="0" fieldPosition="0">
        <references count="1">
          <reference field="4294967294" count="1">
            <x v="0"/>
          </reference>
        </references>
      </pivotArea>
    </format>
  </formats>
  <chartFormats count="20">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2">
          <reference field="4294967294" count="1" selected="0">
            <x v="0"/>
          </reference>
          <reference field="4" count="1" selected="0">
            <x v="2"/>
          </reference>
        </references>
      </pivotArea>
    </chartFormat>
    <chartFormat chart="4" format="7" series="1">
      <pivotArea type="data" outline="0" fieldPosition="0">
        <references count="2">
          <reference field="4294967294" count="1" selected="0">
            <x v="0"/>
          </reference>
          <reference field="4" count="1" selected="0">
            <x v="3"/>
          </reference>
        </references>
      </pivotArea>
    </chartFormat>
    <chartFormat chart="5" format="12" series="1">
      <pivotArea type="data" outline="0" fieldPosition="0">
        <references count="2">
          <reference field="4294967294" count="1" selected="0">
            <x v="0"/>
          </reference>
          <reference field="4" count="1" selected="0">
            <x v="2"/>
          </reference>
        </references>
      </pivotArea>
    </chartFormat>
    <chartFormat chart="5" format="14" series="1">
      <pivotArea type="data" outline="0" fieldPosition="0">
        <references count="2">
          <reference field="4294967294" count="1" selected="0">
            <x v="0"/>
          </reference>
          <reference field="4" count="1" selected="0">
            <x v="3"/>
          </reference>
        </references>
      </pivotArea>
    </chartFormat>
    <chartFormat chart="5" format="16" series="1">
      <pivotArea type="data" outline="0" fieldPosition="0">
        <references count="2">
          <reference field="4294967294" count="1" selected="0">
            <x v="0"/>
          </reference>
          <reference field="4" count="1" selected="0">
            <x v="0"/>
          </reference>
        </references>
      </pivotArea>
    </chartFormat>
    <chartFormat chart="5" format="18" series="1">
      <pivotArea type="data" outline="0" fieldPosition="0">
        <references count="2">
          <reference field="4294967294" count="1" selected="0">
            <x v="0"/>
          </reference>
          <reference field="4" count="1" selected="0">
            <x v="1"/>
          </reference>
        </references>
      </pivotArea>
    </chartFormat>
    <chartFormat chart="21" format="19" series="1">
      <pivotArea type="data" outline="0" fieldPosition="0">
        <references count="2">
          <reference field="4294967294" count="1" selected="0">
            <x v="0"/>
          </reference>
          <reference field="8" count="1" selected="0">
            <x v="0"/>
          </reference>
        </references>
      </pivotArea>
    </chartFormat>
    <chartFormat chart="21" format="20" series="1">
      <pivotArea type="data" outline="0" fieldPosition="0">
        <references count="2">
          <reference field="4294967294" count="1" selected="0">
            <x v="0"/>
          </reference>
          <reference field="8" count="1" selected="0">
            <x v="1"/>
          </reference>
        </references>
      </pivotArea>
    </chartFormat>
    <chartFormat chart="21" format="21" series="1">
      <pivotArea type="data" outline="0" fieldPosition="0">
        <references count="2">
          <reference field="4294967294" count="1" selected="0">
            <x v="0"/>
          </reference>
          <reference field="8" count="1" selected="0">
            <x v="2"/>
          </reference>
        </references>
      </pivotArea>
    </chartFormat>
    <chartFormat chart="21" format="22" series="1">
      <pivotArea type="data" outline="0" fieldPosition="0">
        <references count="2">
          <reference field="4294967294" count="1" selected="0">
            <x v="0"/>
          </reference>
          <reference field="8" count="1" selected="0">
            <x v="3"/>
          </reference>
        </references>
      </pivotArea>
    </chartFormat>
    <chartFormat chart="21" format="23" series="1">
      <pivotArea type="data" outline="0" fieldPosition="0">
        <references count="2">
          <reference field="4294967294" count="1" selected="0">
            <x v="0"/>
          </reference>
          <reference field="8" count="1" selected="0">
            <x v="4"/>
          </reference>
        </references>
      </pivotArea>
    </chartFormat>
    <chartFormat chart="21" format="24" series="1">
      <pivotArea type="data" outline="0" fieldPosition="0">
        <references count="2">
          <reference field="4294967294" count="1" selected="0">
            <x v="0"/>
          </reference>
          <reference field="8" count="1" selected="0">
            <x v="5"/>
          </reference>
        </references>
      </pivotArea>
    </chartFormat>
    <chartFormat chart="27" format="25" series="1">
      <pivotArea type="data" outline="0" fieldPosition="0">
        <references count="2">
          <reference field="4294967294" count="1" selected="0">
            <x v="0"/>
          </reference>
          <reference field="8" count="1" selected="0">
            <x v="0"/>
          </reference>
        </references>
      </pivotArea>
    </chartFormat>
    <chartFormat chart="27" format="26" series="1">
      <pivotArea type="data" outline="0" fieldPosition="0">
        <references count="2">
          <reference field="4294967294" count="1" selected="0">
            <x v="0"/>
          </reference>
          <reference field="8" count="1" selected="0">
            <x v="1"/>
          </reference>
        </references>
      </pivotArea>
    </chartFormat>
    <chartFormat chart="27" format="27" series="1">
      <pivotArea type="data" outline="0" fieldPosition="0">
        <references count="2">
          <reference field="4294967294" count="1" selected="0">
            <x v="0"/>
          </reference>
          <reference field="8" count="1" selected="0">
            <x v="2"/>
          </reference>
        </references>
      </pivotArea>
    </chartFormat>
    <chartFormat chart="27" format="28" series="1">
      <pivotArea type="data" outline="0" fieldPosition="0">
        <references count="2">
          <reference field="4294967294" count="1" selected="0">
            <x v="0"/>
          </reference>
          <reference field="8" count="1" selected="0">
            <x v="3"/>
          </reference>
        </references>
      </pivotArea>
    </chartFormat>
    <chartFormat chart="27" format="29" series="1">
      <pivotArea type="data" outline="0" fieldPosition="0">
        <references count="2">
          <reference field="4294967294" count="1" selected="0">
            <x v="0"/>
          </reference>
          <reference field="8" count="1" selected="0">
            <x v="4"/>
          </reference>
        </references>
      </pivotArea>
    </chartFormat>
    <chartFormat chart="27" format="30"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6A08B-D994-4303-A3B3-3E043DF9D48D}" name="Revenue by Month "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16" firstHeaderRow="1" firstDataRow="1" firstDataCol="1"/>
  <pivotFields count="32">
    <pivotField showAll="0"/>
    <pivotField numFmtId="165"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5"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1" showAll="0"/>
    <pivotField numFmtId="1" showAll="0"/>
    <pivotField numFmtId="43" showAll="0"/>
    <pivotField numFmtId="43" showAll="0"/>
    <pivotField numFmtId="43" showAll="0"/>
    <pivotField showAll="0"/>
    <pivotField numFmtId="9" showAll="0"/>
    <pivotField numFmtId="9" showAll="0"/>
    <pivotField dataField="1" showAll="0"/>
    <pivotField showAll="0"/>
    <pivotField numFmtId="9" showAll="0"/>
    <pivotField showAll="0"/>
    <pivotField showAll="0"/>
    <pivotField showAll="0"/>
    <pivotField showAll="0"/>
    <pivotField axis="axisRow" showAll="0">
      <items count="13">
        <item x="4"/>
        <item x="2"/>
        <item x="0"/>
        <item x="7"/>
        <item x="5"/>
        <item x="9"/>
        <item x="8"/>
        <item x="11"/>
        <item x="6"/>
        <item x="1"/>
        <item x="10"/>
        <item x="3"/>
        <item t="default"/>
      </items>
    </pivotField>
    <pivotField multipleItemSelectionAllowed="1"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7"/>
  </rowFields>
  <rowItems count="13">
    <i>
      <x/>
    </i>
    <i>
      <x v="1"/>
    </i>
    <i>
      <x v="2"/>
    </i>
    <i>
      <x v="3"/>
    </i>
    <i>
      <x v="4"/>
    </i>
    <i>
      <x v="5"/>
    </i>
    <i>
      <x v="6"/>
    </i>
    <i>
      <x v="7"/>
    </i>
    <i>
      <x v="8"/>
    </i>
    <i>
      <x v="9"/>
    </i>
    <i>
      <x v="10"/>
    </i>
    <i>
      <x v="11"/>
    </i>
    <i t="grand">
      <x/>
    </i>
  </rowItems>
  <colItems count="1">
    <i/>
  </colItems>
  <dataFields count="1">
    <dataField name="Sum of Gross Revenue" fld="20" baseField="24" baseItem="5" numFmtId="43"/>
  </dataFields>
  <chartFormats count="4">
    <chartFormat chart="17" format="13" series="1">
      <pivotArea type="data" outline="0" fieldPosition="0">
        <references count="1">
          <reference field="4294967294" count="1" selected="0">
            <x v="0"/>
          </reference>
        </references>
      </pivotArea>
    </chartFormat>
    <chartFormat chart="26" format="14" series="1">
      <pivotArea type="data" outline="0" fieldPosition="0">
        <references count="1">
          <reference field="4294967294" count="1" selected="0">
            <x v="0"/>
          </reference>
        </references>
      </pivotArea>
    </chartFormat>
    <chartFormat chart="30" format="14"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BF6E19-14FE-4E1B-BC77-203BDB0BC6F2}" name="PivotTable8"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D139" firstHeaderRow="0" firstDataRow="1" firstDataCol="2" rowPageCount="1" colPageCount="1"/>
  <pivotFields count="32">
    <pivotField compact="0" outline="0" showAll="0"/>
    <pivotField dataField="1" compact="0" numFmtId="165" outline="0" showAll="0" minSubtotal="1">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min"/>
      </items>
    </pivotField>
    <pivotField compact="0" numFmtId="165" outline="0" showAll="0"/>
    <pivotField compact="0" outline="0" showAll="0"/>
    <pivotField compact="0" outline="0" showAll="0">
      <items count="5">
        <item x="0"/>
        <item x="2"/>
        <item x="1"/>
        <item x="3"/>
        <item t="default"/>
      </items>
    </pivotField>
    <pivotField axis="axisRow" compact="0" outline="0" showAll="0" sortType="ascending">
      <items count="13">
        <item x="5"/>
        <item x="3"/>
        <item x="9"/>
        <item x="7"/>
        <item x="6"/>
        <item x="4"/>
        <item x="2"/>
        <item x="0"/>
        <item x="1"/>
        <item x="11"/>
        <item x="8"/>
        <item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17">
        <item x="8"/>
        <item x="5"/>
        <item x="0"/>
        <item x="14"/>
        <item x="6"/>
        <item x="9"/>
        <item x="3"/>
        <item x="10"/>
        <item x="2"/>
        <item x="1"/>
        <item x="11"/>
        <item x="4"/>
        <item x="12"/>
        <item x="13"/>
        <item x="7"/>
        <item x="15"/>
        <item t="default"/>
      </items>
    </pivotField>
    <pivotField compact="0" outline="0" showAll="0"/>
    <pivotField compact="0" outline="0" showAll="0"/>
    <pivotField compact="0" numFmtId="1" outline="0" showAll="0"/>
    <pivotField compact="0" numFmtId="1" outline="0" showAll="0"/>
    <pivotField compact="0" numFmtId="43" outline="0" showAll="0"/>
    <pivotField compact="0" numFmtId="43" outline="0" showAll="0"/>
    <pivotField compact="0" numFmtId="43" outline="0" showAll="0"/>
    <pivotField compact="0" outline="0" showAll="0"/>
    <pivotField compact="0" numFmtId="9" outline="0" showAll="0"/>
    <pivotField compact="0" numFmtId="9" outline="0" showAll="0"/>
    <pivotField dataField="1" compact="0"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1"/>
        <item h="1" x="0"/>
        <item h="1" x="2"/>
        <item t="default"/>
      </items>
    </pivotField>
    <pivotField axis="axisRow" compact="0" outline="0" showAll="0">
      <items count="15">
        <item sd="0" x="0"/>
        <item x="1"/>
        <item x="2"/>
        <item x="3"/>
        <item x="4"/>
        <item x="5"/>
        <item x="6"/>
        <item x="7"/>
        <item x="8"/>
        <item x="9"/>
        <item x="10"/>
        <item x="11"/>
        <item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2">
    <field x="29"/>
    <field x="5"/>
  </rowFields>
  <rowItems count="133">
    <i>
      <x v="1"/>
      <x v="1"/>
    </i>
    <i r="1">
      <x v="9"/>
    </i>
    <i r="1">
      <x v="3"/>
    </i>
    <i r="1">
      <x v="2"/>
    </i>
    <i r="1">
      <x v="11"/>
    </i>
    <i r="1">
      <x v="8"/>
    </i>
    <i r="1">
      <x v="10"/>
    </i>
    <i r="1">
      <x v="7"/>
    </i>
    <i r="1">
      <x v="4"/>
    </i>
    <i r="1">
      <x v="5"/>
    </i>
    <i r="1">
      <x/>
    </i>
    <i t="default">
      <x v="1"/>
    </i>
    <i>
      <x v="2"/>
      <x v="11"/>
    </i>
    <i r="1">
      <x/>
    </i>
    <i r="1">
      <x v="9"/>
    </i>
    <i r="1">
      <x v="8"/>
    </i>
    <i r="1">
      <x v="4"/>
    </i>
    <i r="1">
      <x v="5"/>
    </i>
    <i r="1">
      <x v="7"/>
    </i>
    <i r="1">
      <x v="1"/>
    </i>
    <i r="1">
      <x v="10"/>
    </i>
    <i r="1">
      <x v="2"/>
    </i>
    <i r="1">
      <x v="3"/>
    </i>
    <i t="default">
      <x v="2"/>
    </i>
    <i>
      <x v="3"/>
      <x/>
    </i>
    <i r="1">
      <x v="6"/>
    </i>
    <i r="1">
      <x v="1"/>
    </i>
    <i r="1">
      <x v="2"/>
    </i>
    <i r="1">
      <x v="7"/>
    </i>
    <i r="1">
      <x v="9"/>
    </i>
    <i r="1">
      <x v="4"/>
    </i>
    <i r="1">
      <x v="10"/>
    </i>
    <i r="1">
      <x v="5"/>
    </i>
    <i t="default">
      <x v="3"/>
    </i>
    <i>
      <x v="4"/>
      <x v="3"/>
    </i>
    <i r="1">
      <x v="1"/>
    </i>
    <i r="1">
      <x v="10"/>
    </i>
    <i r="1">
      <x v="8"/>
    </i>
    <i r="1">
      <x v="11"/>
    </i>
    <i r="1">
      <x v="4"/>
    </i>
    <i r="1">
      <x v="7"/>
    </i>
    <i r="1">
      <x v="2"/>
    </i>
    <i r="1">
      <x v="5"/>
    </i>
    <i r="1">
      <x/>
    </i>
    <i r="1">
      <x v="6"/>
    </i>
    <i t="default">
      <x v="4"/>
    </i>
    <i>
      <x v="5"/>
      <x v="8"/>
    </i>
    <i r="1">
      <x v="2"/>
    </i>
    <i r="1">
      <x v="5"/>
    </i>
    <i r="1">
      <x v="11"/>
    </i>
    <i r="1">
      <x v="6"/>
    </i>
    <i r="1">
      <x v="9"/>
    </i>
    <i r="1">
      <x v="7"/>
    </i>
    <i r="1">
      <x/>
    </i>
    <i r="1">
      <x v="4"/>
    </i>
    <i r="1">
      <x v="10"/>
    </i>
    <i t="default">
      <x v="5"/>
    </i>
    <i>
      <x v="6"/>
      <x v="5"/>
    </i>
    <i r="1">
      <x v="4"/>
    </i>
    <i r="1">
      <x/>
    </i>
    <i r="1">
      <x v="10"/>
    </i>
    <i r="1">
      <x v="2"/>
    </i>
    <i r="1">
      <x v="7"/>
    </i>
    <i r="1">
      <x v="1"/>
    </i>
    <i r="1">
      <x v="11"/>
    </i>
    <i r="1">
      <x v="3"/>
    </i>
    <i r="1">
      <x v="8"/>
    </i>
    <i r="1">
      <x v="6"/>
    </i>
    <i t="default">
      <x v="6"/>
    </i>
    <i>
      <x v="7"/>
      <x v="4"/>
    </i>
    <i r="1">
      <x v="3"/>
    </i>
    <i r="1">
      <x v="8"/>
    </i>
    <i r="1">
      <x v="10"/>
    </i>
    <i r="1">
      <x v="9"/>
    </i>
    <i r="1">
      <x/>
    </i>
    <i r="1">
      <x v="7"/>
    </i>
    <i r="1">
      <x v="6"/>
    </i>
    <i r="1">
      <x v="5"/>
    </i>
    <i r="1">
      <x v="1"/>
    </i>
    <i r="1">
      <x v="11"/>
    </i>
    <i t="default">
      <x v="7"/>
    </i>
    <i>
      <x v="8"/>
      <x v="1"/>
    </i>
    <i r="1">
      <x/>
    </i>
    <i r="1">
      <x v="2"/>
    </i>
    <i r="1">
      <x v="10"/>
    </i>
    <i r="1">
      <x v="7"/>
    </i>
    <i r="1">
      <x v="11"/>
    </i>
    <i r="1">
      <x v="9"/>
    </i>
    <i r="1">
      <x v="8"/>
    </i>
    <i r="1">
      <x v="3"/>
    </i>
    <i r="1">
      <x v="5"/>
    </i>
    <i r="1">
      <x v="4"/>
    </i>
    <i t="default">
      <x v="8"/>
    </i>
    <i>
      <x v="9"/>
      <x v="7"/>
    </i>
    <i r="1">
      <x v="1"/>
    </i>
    <i r="1">
      <x v="3"/>
    </i>
    <i r="1">
      <x/>
    </i>
    <i r="1">
      <x v="5"/>
    </i>
    <i r="1">
      <x v="6"/>
    </i>
    <i r="1">
      <x v="11"/>
    </i>
    <i r="1">
      <x v="2"/>
    </i>
    <i t="default">
      <x v="9"/>
    </i>
    <i>
      <x v="10"/>
      <x v="11"/>
    </i>
    <i r="1">
      <x v="5"/>
    </i>
    <i r="1">
      <x v="2"/>
    </i>
    <i r="1">
      <x v="8"/>
    </i>
    <i r="1">
      <x/>
    </i>
    <i r="1">
      <x v="6"/>
    </i>
    <i r="1">
      <x v="7"/>
    </i>
    <i r="1">
      <x v="10"/>
    </i>
    <i r="1">
      <x v="1"/>
    </i>
    <i r="1">
      <x v="3"/>
    </i>
    <i r="1">
      <x v="9"/>
    </i>
    <i t="default">
      <x v="10"/>
    </i>
    <i>
      <x v="11"/>
      <x/>
    </i>
    <i r="1">
      <x v="10"/>
    </i>
    <i r="1">
      <x v="5"/>
    </i>
    <i r="1">
      <x v="6"/>
    </i>
    <i r="1">
      <x v="3"/>
    </i>
    <i r="1">
      <x v="9"/>
    </i>
    <i r="1">
      <x v="4"/>
    </i>
    <i t="default">
      <x v="11"/>
    </i>
    <i>
      <x v="12"/>
      <x v="6"/>
    </i>
    <i r="1">
      <x v="4"/>
    </i>
    <i r="1">
      <x/>
    </i>
    <i r="1">
      <x v="2"/>
    </i>
    <i r="1">
      <x v="5"/>
    </i>
    <i r="1">
      <x v="1"/>
    </i>
    <i r="1">
      <x v="8"/>
    </i>
    <i r="1">
      <x v="9"/>
    </i>
    <i r="1">
      <x v="3"/>
    </i>
    <i r="1">
      <x v="7"/>
    </i>
    <i t="default">
      <x v="12"/>
    </i>
  </rowItems>
  <colFields count="1">
    <field x="-2"/>
  </colFields>
  <colItems count="2">
    <i>
      <x/>
    </i>
    <i i="1">
      <x v="1"/>
    </i>
  </colItems>
  <pageFields count="1">
    <pageField fld="28" hier="-1"/>
  </pageFields>
  <dataFields count="2">
    <dataField name="Min of Order Date" fld="1" subtotal="min" baseField="5" baseItem="0" numFmtId="165"/>
    <dataField name="Sum of Gross Revenue" fld="20" baseField="5" baseItem="4"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83F42E-B283-4361-A1C8-F79ABDAFD3DE}" name="PivotTable9" cacheId="61" dataPosition="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4">
  <location ref="H6:L23" firstHeaderRow="0" firstDataRow="1" firstDataCol="2" rowPageCount="1" colPageCount="1"/>
  <pivotFields count="32">
    <pivotField dataField="1" compact="0" outline="0" showAll="0" defaultSubtotal="0"/>
    <pivotField compact="0" numFmtId="165" outline="0" showAll="0" defaultSubtotal="0">
      <items count="468">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s>
    </pivotField>
    <pivotField compact="0" numFmtId="165" outline="0" showAll="0" defaultSubtotal="0"/>
    <pivotField compact="0" outline="0" showAll="0" defaultSubtotal="0"/>
    <pivotField axis="axisRow" compact="0" outline="0" showAll="0" defaultSubtotal="0">
      <items count="4">
        <item x="0"/>
        <item x="2"/>
        <item x="1"/>
        <item x="3"/>
      </items>
    </pivotField>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6">
        <item x="8"/>
        <item x="5"/>
        <item x="0"/>
        <item x="14"/>
        <item x="6"/>
        <item x="9"/>
        <item x="3"/>
        <item x="10"/>
        <item x="2"/>
        <item x="1"/>
        <item x="11"/>
        <item x="4"/>
        <item x="12"/>
        <item x="13"/>
        <item x="7"/>
        <item x="15"/>
      </items>
    </pivotField>
    <pivotField compact="0" outline="0" showAll="0" defaultSubtotal="0"/>
    <pivotField compact="0" outline="0" showAll="0" defaultSubtotal="0"/>
    <pivotField compact="0" numFmtId="1" outline="0" showAll="0" defaultSubtotal="0"/>
    <pivotField compact="0" numFmtId="1" outline="0" showAll="0" defaultSubtotal="0"/>
    <pivotField compact="0" numFmtId="43" outline="0" showAll="0" defaultSubtotal="0"/>
    <pivotField compact="0" numFmtId="43" outline="0" showAll="0" defaultSubtotal="0"/>
    <pivotField compact="0" numFmtId="43" outline="0" showAll="0" defaultSubtotal="0"/>
    <pivotField compact="0" outline="0" showAll="0" defaultSubtotal="0"/>
    <pivotField axis="axisRow" compact="0" numFmtId="9" outline="0" showAll="0" defaultSubtotal="0">
      <items count="8">
        <item x="0"/>
        <item x="1"/>
        <item x="2"/>
        <item x="3"/>
        <item x="4"/>
        <item x="5"/>
        <item x="6"/>
        <item x="7"/>
      </items>
    </pivotField>
    <pivotField compact="0" numFmtId="9" outline="0" showAll="0" defaultSubtotal="0"/>
    <pivotField dataField="1" compact="0" outline="0" showAll="0" defaultSubtotal="0"/>
    <pivotField compact="0" outline="0" showAll="0" defaultSubtotal="0"/>
    <pivotField compact="0" numFmtId="9"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items count="14">
        <item sd="0" x="0"/>
        <item x="1"/>
        <item x="2"/>
        <item x="3"/>
        <item x="4"/>
        <item x="5"/>
        <item x="6"/>
        <item x="7"/>
        <item x="8"/>
        <item x="9"/>
        <item x="10"/>
        <item x="11"/>
        <item x="12"/>
        <item sd="0" x="13"/>
      </items>
    </pivotField>
    <pivotField compact="0" outline="0" showAll="0" defaultSubtotal="0">
      <items count="6">
        <item sd="0" x="0"/>
        <item sd="0" x="1"/>
        <item sd="0" x="2"/>
        <item sd="0" x="3"/>
        <item sd="0" x="4"/>
        <item sd="0" x="5"/>
      </items>
    </pivotField>
    <pivotField compact="0" outline="0" showAll="0" defaultSubtotal="0">
      <items count="5">
        <item sd="0" x="0"/>
        <item sd="0" x="1"/>
        <item sd="0" x="2"/>
        <item sd="0" x="3"/>
        <item sd="0" x="4"/>
      </items>
    </pivotField>
  </pivotFields>
  <rowFields count="2">
    <field x="4"/>
    <field x="18"/>
  </rowFields>
  <rowItems count="17">
    <i>
      <x/>
      <x v="1"/>
    </i>
    <i r="1">
      <x v="2"/>
    </i>
    <i r="1">
      <x v="3"/>
    </i>
    <i r="1">
      <x v="4"/>
    </i>
    <i r="1">
      <x v="6"/>
    </i>
    <i>
      <x v="1"/>
      <x v="1"/>
    </i>
    <i r="1">
      <x v="2"/>
    </i>
    <i r="1">
      <x v="3"/>
    </i>
    <i r="1">
      <x v="4"/>
    </i>
    <i>
      <x v="2"/>
      <x v="1"/>
    </i>
    <i r="1">
      <x v="2"/>
    </i>
    <i r="1">
      <x v="3"/>
    </i>
    <i r="1">
      <x v="4"/>
    </i>
    <i>
      <x v="3"/>
      <x v="1"/>
    </i>
    <i r="1">
      <x v="2"/>
    </i>
    <i r="1">
      <x v="3"/>
    </i>
    <i t="grand">
      <x/>
    </i>
  </rowItems>
  <colFields count="1">
    <field x="-2"/>
  </colFields>
  <colItems count="3">
    <i>
      <x/>
    </i>
    <i i="1">
      <x v="1"/>
    </i>
    <i i="2">
      <x v="2"/>
    </i>
  </colItems>
  <pageFields count="1">
    <pageField fld="9" hier="-1"/>
  </pageFields>
  <dataFields count="3">
    <dataField name="Count of Order ID" fld="0" subtotal="count" baseField="0" baseItem="0"/>
    <dataField name="Average of Gross Revenue2" fld="20" subtotal="average" baseField="18" baseItem="1" numFmtId="43"/>
    <dataField name="Sum of Gross Revenue" fld="20" baseField="18" baseItem="1" numFmtId="43"/>
  </dataFields>
  <formats count="18">
    <format dxfId="1934">
      <pivotArea dataOnly="0" labelOnly="1" outline="0" fieldPosition="0">
        <references count="1">
          <reference field="4" count="1" defaultSubtotal="1">
            <x v="0"/>
          </reference>
        </references>
      </pivotArea>
    </format>
    <format dxfId="1933">
      <pivotArea dataOnly="0" labelOnly="1" outline="0" fieldPosition="0">
        <references count="1">
          <reference field="4" count="1" defaultSubtotal="1">
            <x v="1"/>
          </reference>
        </references>
      </pivotArea>
    </format>
    <format dxfId="1932">
      <pivotArea dataOnly="0" labelOnly="1" outline="0" fieldPosition="0">
        <references count="1">
          <reference field="4" count="1" defaultSubtotal="1">
            <x v="2"/>
          </reference>
        </references>
      </pivotArea>
    </format>
    <format dxfId="1931">
      <pivotArea dataOnly="0" labelOnly="1" outline="0" fieldPosition="0">
        <references count="2">
          <reference field="4" count="1" selected="0">
            <x v="0"/>
          </reference>
          <reference field="18" count="5">
            <x v="1"/>
            <x v="2"/>
            <x v="3"/>
            <x v="4"/>
            <x v="6"/>
          </reference>
        </references>
      </pivotArea>
    </format>
    <format dxfId="1930">
      <pivotArea dataOnly="0" labelOnly="1" outline="0" fieldPosition="0">
        <references count="2">
          <reference field="4" count="1" selected="0">
            <x v="1"/>
          </reference>
          <reference field="18" count="4">
            <x v="1"/>
            <x v="2"/>
            <x v="3"/>
            <x v="4"/>
          </reference>
        </references>
      </pivotArea>
    </format>
    <format dxfId="1929">
      <pivotArea dataOnly="0" labelOnly="1" outline="0" fieldPosition="0">
        <references count="2">
          <reference field="4" count="1" selected="0">
            <x v="2"/>
          </reference>
          <reference field="18" count="4">
            <x v="1"/>
            <x v="2"/>
            <x v="3"/>
            <x v="4"/>
          </reference>
        </references>
      </pivotArea>
    </format>
    <format dxfId="1928">
      <pivotArea dataOnly="0" labelOnly="1" outline="0" fieldPosition="0">
        <references count="2">
          <reference field="4" count="1" selected="0">
            <x v="3"/>
          </reference>
          <reference field="18" count="3">
            <x v="1"/>
            <x v="2"/>
            <x v="3"/>
          </reference>
        </references>
      </pivotArea>
    </format>
    <format dxfId="1927">
      <pivotArea outline="0" fieldPosition="0">
        <references count="1">
          <reference field="4294967294" count="1">
            <x v="1"/>
          </reference>
        </references>
      </pivotArea>
    </format>
    <format dxfId="1926">
      <pivotArea outline="0" fieldPosition="0">
        <references count="1">
          <reference field="4294967294" count="1">
            <x v="2"/>
          </reference>
        </references>
      </pivotArea>
    </format>
    <format dxfId="1925">
      <pivotArea field="4" type="button" dataOnly="0" labelOnly="1" outline="0" axis="axisRow" fieldPosition="0"/>
    </format>
    <format dxfId="1924">
      <pivotArea field="18" type="button" dataOnly="0" labelOnly="1" outline="0" axis="axisRow" fieldPosition="1"/>
    </format>
    <format dxfId="1923">
      <pivotArea dataOnly="0" labelOnly="1" outline="0" fieldPosition="0">
        <references count="1">
          <reference field="4294967294" count="3">
            <x v="0"/>
            <x v="1"/>
            <x v="2"/>
          </reference>
        </references>
      </pivotArea>
    </format>
    <format dxfId="1922">
      <pivotArea field="4" type="button" dataOnly="0" labelOnly="1" outline="0" axis="axisRow" fieldPosition="0"/>
    </format>
    <format dxfId="1921">
      <pivotArea field="18" type="button" dataOnly="0" labelOnly="1" outline="0" axis="axisRow" fieldPosition="1"/>
    </format>
    <format dxfId="1920">
      <pivotArea dataOnly="0" labelOnly="1" outline="0" fieldPosition="0">
        <references count="1">
          <reference field="4294967294" count="3">
            <x v="0"/>
            <x v="1"/>
            <x v="2"/>
          </reference>
        </references>
      </pivotArea>
    </format>
    <format dxfId="1919">
      <pivotArea field="4" type="button" dataOnly="0" labelOnly="1" outline="0" axis="axisRow" fieldPosition="0"/>
    </format>
    <format dxfId="1918">
      <pivotArea field="18" type="button" dataOnly="0" labelOnly="1" outline="0" axis="axisRow" fieldPosition="1"/>
    </format>
    <format dxfId="1917">
      <pivotArea dataOnly="0" labelOnly="1" outline="0" fieldPosition="0">
        <references count="1">
          <reference field="4294967294" count="3">
            <x v="0"/>
            <x v="1"/>
            <x v="2"/>
          </reference>
        </references>
      </pivotArea>
    </format>
  </format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3">
          <reference field="4294967294" count="1" selected="0">
            <x v="0"/>
          </reference>
          <reference field="4" count="1" selected="0">
            <x v="0"/>
          </reference>
          <reference field="18" count="1" selected="0">
            <x v="4"/>
          </reference>
        </references>
      </pivotArea>
    </chartFormat>
    <chartFormat chart="2" format="4" series="1">
      <pivotArea type="data" outline="0" fieldPosition="0">
        <references count="3">
          <reference field="4294967294" count="1" selected="0">
            <x v="0"/>
          </reference>
          <reference field="4" count="1" selected="0">
            <x v="0"/>
          </reference>
          <reference field="18" count="1" selected="0">
            <x v="6"/>
          </reference>
        </references>
      </pivotArea>
    </chartFormat>
    <chartFormat chart="2" format="5" series="1">
      <pivotArea type="data" outline="0" fieldPosition="0">
        <references count="3">
          <reference field="4294967294" count="1" selected="0">
            <x v="0"/>
          </reference>
          <reference field="4" count="1" selected="0">
            <x v="1"/>
          </reference>
          <reference field="18" count="1" selected="0">
            <x v="1"/>
          </reference>
        </references>
      </pivotArea>
    </chartFormat>
    <chartFormat chart="2" format="6" series="1">
      <pivotArea type="data" outline="0" fieldPosition="0">
        <references count="3">
          <reference field="4294967294" count="1" selected="0">
            <x v="0"/>
          </reference>
          <reference field="4" count="1" selected="0">
            <x v="1"/>
          </reference>
          <reference field="18" count="1" selected="0">
            <x v="2"/>
          </reference>
        </references>
      </pivotArea>
    </chartFormat>
    <chartFormat chart="2" format="7" series="1">
      <pivotArea type="data" outline="0" fieldPosition="0">
        <references count="3">
          <reference field="4294967294" count="1" selected="0">
            <x v="0"/>
          </reference>
          <reference field="4" count="1" selected="0">
            <x v="1"/>
          </reference>
          <reference field="18" count="1" selected="0">
            <x v="3"/>
          </reference>
        </references>
      </pivotArea>
    </chartFormat>
    <chartFormat chart="2" format="8" series="1">
      <pivotArea type="data" outline="0" fieldPosition="0">
        <references count="3">
          <reference field="4294967294" count="1" selected="0">
            <x v="0"/>
          </reference>
          <reference field="4" count="1" selected="0">
            <x v="1"/>
          </reference>
          <reference field="18" count="1" selected="0">
            <x v="4"/>
          </reference>
        </references>
      </pivotArea>
    </chartFormat>
    <chartFormat chart="2" format="9" series="1">
      <pivotArea type="data" outline="0" fieldPosition="0">
        <references count="3">
          <reference field="4294967294" count="1" selected="0">
            <x v="0"/>
          </reference>
          <reference field="4" count="1" selected="0">
            <x v="2"/>
          </reference>
          <reference field="18" count="1" selected="0">
            <x v="1"/>
          </reference>
        </references>
      </pivotArea>
    </chartFormat>
    <chartFormat chart="2" format="10" series="1">
      <pivotArea type="data" outline="0" fieldPosition="0">
        <references count="3">
          <reference field="4294967294" count="1" selected="0">
            <x v="0"/>
          </reference>
          <reference field="4" count="1" selected="0">
            <x v="2"/>
          </reference>
          <reference field="18" count="1" selected="0">
            <x v="2"/>
          </reference>
        </references>
      </pivotArea>
    </chartFormat>
    <chartFormat chart="2" format="11" series="1">
      <pivotArea type="data" outline="0" fieldPosition="0">
        <references count="3">
          <reference field="4294967294" count="1" selected="0">
            <x v="0"/>
          </reference>
          <reference field="4" count="1" selected="0">
            <x v="2"/>
          </reference>
          <reference field="18" count="1" selected="0">
            <x v="3"/>
          </reference>
        </references>
      </pivotArea>
    </chartFormat>
    <chartFormat chart="2" format="12" series="1">
      <pivotArea type="data" outline="0" fieldPosition="0">
        <references count="3">
          <reference field="4294967294" count="1" selected="0">
            <x v="0"/>
          </reference>
          <reference field="4" count="1" selected="0">
            <x v="2"/>
          </reference>
          <reference field="18" count="1" selected="0">
            <x v="4"/>
          </reference>
        </references>
      </pivotArea>
    </chartFormat>
    <chartFormat chart="2" format="13" series="1">
      <pivotArea type="data" outline="0" fieldPosition="0">
        <references count="3">
          <reference field="4294967294" count="1" selected="0">
            <x v="0"/>
          </reference>
          <reference field="4" count="1" selected="0">
            <x v="3"/>
          </reference>
          <reference field="18" count="1" selected="0">
            <x v="1"/>
          </reference>
        </references>
      </pivotArea>
    </chartFormat>
    <chartFormat chart="2" format="14" series="1">
      <pivotArea type="data" outline="0" fieldPosition="0">
        <references count="3">
          <reference field="4294967294" count="1" selected="0">
            <x v="0"/>
          </reference>
          <reference field="4" count="1" selected="0">
            <x v="3"/>
          </reference>
          <reference field="18" count="1" selected="0">
            <x v="2"/>
          </reference>
        </references>
      </pivotArea>
    </chartFormat>
    <chartFormat chart="2" format="15" series="1">
      <pivotArea type="data" outline="0" fieldPosition="0">
        <references count="3">
          <reference field="4294967294" count="1" selected="0">
            <x v="0"/>
          </reference>
          <reference field="4" count="1" selected="0">
            <x v="3"/>
          </reference>
          <reference field="18" count="1" selected="0">
            <x v="3"/>
          </reference>
        </references>
      </pivotArea>
    </chartFormat>
    <chartFormat chart="0" format="3" series="1">
      <pivotArea type="data" outline="0" fieldPosition="0">
        <references count="3">
          <reference field="4294967294" count="1" selected="0">
            <x v="0"/>
          </reference>
          <reference field="4" count="1" selected="0">
            <x v="0"/>
          </reference>
          <reference field="18" count="1" selected="0">
            <x v="4"/>
          </reference>
        </references>
      </pivotArea>
    </chartFormat>
    <chartFormat chart="0" format="4" series="1">
      <pivotArea type="data" outline="0" fieldPosition="0">
        <references count="3">
          <reference field="4294967294" count="1" selected="0">
            <x v="0"/>
          </reference>
          <reference field="4" count="1" selected="0">
            <x v="0"/>
          </reference>
          <reference field="18" count="1" selected="0">
            <x v="6"/>
          </reference>
        </references>
      </pivotArea>
    </chartFormat>
    <chartFormat chart="0" format="5" series="1">
      <pivotArea type="data" outline="0" fieldPosition="0">
        <references count="3">
          <reference field="4294967294" count="1" selected="0">
            <x v="0"/>
          </reference>
          <reference field="4" count="1" selected="0">
            <x v="1"/>
          </reference>
          <reference field="18" count="1" selected="0">
            <x v="1"/>
          </reference>
        </references>
      </pivotArea>
    </chartFormat>
    <chartFormat chart="0" format="6" series="1">
      <pivotArea type="data" outline="0" fieldPosition="0">
        <references count="3">
          <reference field="4294967294" count="1" selected="0">
            <x v="0"/>
          </reference>
          <reference field="4" count="1" selected="0">
            <x v="1"/>
          </reference>
          <reference field="18" count="1" selected="0">
            <x v="2"/>
          </reference>
        </references>
      </pivotArea>
    </chartFormat>
    <chartFormat chart="0" format="7" series="1">
      <pivotArea type="data" outline="0" fieldPosition="0">
        <references count="3">
          <reference field="4294967294" count="1" selected="0">
            <x v="0"/>
          </reference>
          <reference field="4" count="1" selected="0">
            <x v="1"/>
          </reference>
          <reference field="18" count="1" selected="0">
            <x v="3"/>
          </reference>
        </references>
      </pivotArea>
    </chartFormat>
    <chartFormat chart="0" format="8" series="1">
      <pivotArea type="data" outline="0" fieldPosition="0">
        <references count="3">
          <reference field="4294967294" count="1" selected="0">
            <x v="0"/>
          </reference>
          <reference field="4" count="1" selected="0">
            <x v="1"/>
          </reference>
          <reference field="18" count="1" selected="0">
            <x v="4"/>
          </reference>
        </references>
      </pivotArea>
    </chartFormat>
    <chartFormat chart="0" format="9" series="1">
      <pivotArea type="data" outline="0" fieldPosition="0">
        <references count="3">
          <reference field="4294967294" count="1" selected="0">
            <x v="0"/>
          </reference>
          <reference field="4" count="1" selected="0">
            <x v="2"/>
          </reference>
          <reference field="18" count="1" selected="0">
            <x v="1"/>
          </reference>
        </references>
      </pivotArea>
    </chartFormat>
    <chartFormat chart="0" format="10" series="1">
      <pivotArea type="data" outline="0" fieldPosition="0">
        <references count="3">
          <reference field="4294967294" count="1" selected="0">
            <x v="0"/>
          </reference>
          <reference field="4" count="1" selected="0">
            <x v="2"/>
          </reference>
          <reference field="18" count="1" selected="0">
            <x v="2"/>
          </reference>
        </references>
      </pivotArea>
    </chartFormat>
    <chartFormat chart="0" format="11" series="1">
      <pivotArea type="data" outline="0" fieldPosition="0">
        <references count="3">
          <reference field="4294967294" count="1" selected="0">
            <x v="0"/>
          </reference>
          <reference field="4" count="1" selected="0">
            <x v="2"/>
          </reference>
          <reference field="18" count="1" selected="0">
            <x v="3"/>
          </reference>
        </references>
      </pivotArea>
    </chartFormat>
    <chartFormat chart="0" format="12" series="1">
      <pivotArea type="data" outline="0" fieldPosition="0">
        <references count="3">
          <reference field="4294967294" count="1" selected="0">
            <x v="0"/>
          </reference>
          <reference field="4" count="1" selected="0">
            <x v="2"/>
          </reference>
          <reference field="18" count="1" selected="0">
            <x v="4"/>
          </reference>
        </references>
      </pivotArea>
    </chartFormat>
    <chartFormat chart="0" format="13" series="1">
      <pivotArea type="data" outline="0" fieldPosition="0">
        <references count="3">
          <reference field="4294967294" count="1" selected="0">
            <x v="0"/>
          </reference>
          <reference field="4" count="1" selected="0">
            <x v="3"/>
          </reference>
          <reference field="18" count="1" selected="0">
            <x v="1"/>
          </reference>
        </references>
      </pivotArea>
    </chartFormat>
    <chartFormat chart="0" format="14" series="1">
      <pivotArea type="data" outline="0" fieldPosition="0">
        <references count="3">
          <reference field="4294967294" count="1" selected="0">
            <x v="0"/>
          </reference>
          <reference field="4" count="1" selected="0">
            <x v="3"/>
          </reference>
          <reference field="18" count="1" selected="0">
            <x v="2"/>
          </reference>
        </references>
      </pivotArea>
    </chartFormat>
    <chartFormat chart="0" format="15" series="1">
      <pivotArea type="data" outline="0" fieldPosition="0">
        <references count="3">
          <reference field="4294967294" count="1" selected="0">
            <x v="0"/>
          </reference>
          <reference field="4" count="1" selected="0">
            <x v="3"/>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5D3A1B-F7DD-43ED-9F5A-2A35CA7DBF10}" name="PivotTable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J15" firstHeaderRow="1" firstDataRow="2" firstDataCol="1"/>
  <pivotFields count="32">
    <pivotField showAll="0"/>
    <pivotField numFmtId="165"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5"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7">
        <item h="1" x="4"/>
        <item h="1" x="3"/>
        <item h="1" x="2"/>
        <item x="1"/>
        <item x="0"/>
        <item h="1" x="5"/>
        <item t="default"/>
      </items>
    </pivotField>
    <pivotField showAll="0">
      <items count="17">
        <item x="8"/>
        <item x="5"/>
        <item x="0"/>
        <item x="14"/>
        <item x="6"/>
        <item x="9"/>
        <item x="3"/>
        <item x="10"/>
        <item x="2"/>
        <item x="1"/>
        <item x="11"/>
        <item x="4"/>
        <item x="12"/>
        <item x="13"/>
        <item x="7"/>
        <item x="15"/>
        <item t="default"/>
      </items>
    </pivotField>
    <pivotField showAll="0"/>
    <pivotField showAll="0"/>
    <pivotField numFmtId="1" showAll="0"/>
    <pivotField numFmtId="1" showAll="0"/>
    <pivotField numFmtId="43" showAll="0"/>
    <pivotField numFmtId="43" showAll="0"/>
    <pivotField numFmtId="43" showAll="0"/>
    <pivotField showAll="0"/>
    <pivotField numFmtId="9" showAll="0"/>
    <pivotField numFmtId="9" showAll="0"/>
    <pivotField dataField="1" showAll="0"/>
    <pivotField showAll="0"/>
    <pivotField numFmtId="9" showAll="0"/>
    <pivotField showAll="0"/>
    <pivotField showAll="0"/>
    <pivotField showAll="0"/>
    <pivotField showAll="0"/>
    <pivotField showAll="0">
      <items count="13">
        <item x="4"/>
        <item x="2"/>
        <item x="0"/>
        <item x="7"/>
        <item x="5"/>
        <item x="9"/>
        <item x="8"/>
        <item x="11"/>
        <item x="6"/>
        <item x="1"/>
        <item x="10"/>
        <item x="3"/>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v="2"/>
    </i>
    <i>
      <x v="3"/>
    </i>
    <i>
      <x v="1"/>
    </i>
    <i>
      <x/>
    </i>
    <i t="grand">
      <x/>
    </i>
  </rowItems>
  <colFields count="1">
    <field x="8"/>
  </colFields>
  <colItems count="3">
    <i>
      <x v="3"/>
    </i>
    <i>
      <x v="4"/>
    </i>
    <i t="grand">
      <x/>
    </i>
  </colItems>
  <dataFields count="1">
    <dataField name="Sum of Gross Revenue" fld="20" baseField="4" baseItem="1"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931F00-97EA-486C-B6D6-F29BF8E146F3}"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I69" firstHeaderRow="1" firstDataRow="2" firstDataCol="1" rowPageCount="1" colPageCount="1"/>
  <pivotFields count="32">
    <pivotField showAll="0"/>
    <pivotField numFmtId="165"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5" showAll="0"/>
    <pivotField axis="axisRow" showAll="0">
      <items count="33">
        <item x="18"/>
        <item x="26"/>
        <item x="25"/>
        <item x="4"/>
        <item x="3"/>
        <item x="15"/>
        <item x="31"/>
        <item x="20"/>
        <item x="11"/>
        <item x="27"/>
        <item x="24"/>
        <item x="23"/>
        <item x="7"/>
        <item x="19"/>
        <item x="16"/>
        <item x="14"/>
        <item x="12"/>
        <item x="13"/>
        <item x="5"/>
        <item x="6"/>
        <item x="8"/>
        <item x="29"/>
        <item x="22"/>
        <item x="21"/>
        <item x="9"/>
        <item x="2"/>
        <item x="0"/>
        <item x="30"/>
        <item x="28"/>
        <item x="10"/>
        <item x="17"/>
        <item x="1"/>
        <item t="default"/>
      </items>
    </pivotField>
    <pivotField showAll="0">
      <items count="5">
        <item x="0"/>
        <item x="2"/>
        <item x="1"/>
        <item x="3"/>
        <item t="default"/>
      </items>
    </pivotField>
    <pivotField axis="axisPage" multipleItemSelectionAllowed="1" showAll="0">
      <items count="13">
        <item sd="0" x="5"/>
        <item sd="0" x="3"/>
        <item sd="0" x="9"/>
        <item sd="0" x="7"/>
        <item sd="0" x="6"/>
        <item sd="0" x="4"/>
        <item sd="0" x="2"/>
        <item sd="0" x="0"/>
        <item sd="0" x="1"/>
        <item sd="0" x="11"/>
        <item sd="0" x="8"/>
        <item sd="0" x="10"/>
        <item t="default" sd="0"/>
      </items>
    </pivotField>
    <pivotField showAll="0"/>
    <pivotField showAll="0"/>
    <pivotField showAll="0"/>
    <pivotField showAll="0">
      <items count="17">
        <item x="8"/>
        <item x="5"/>
        <item x="0"/>
        <item x="14"/>
        <item x="6"/>
        <item x="9"/>
        <item x="3"/>
        <item x="10"/>
        <item x="2"/>
        <item x="1"/>
        <item x="11"/>
        <item x="4"/>
        <item x="12"/>
        <item x="13"/>
        <item x="7"/>
        <item x="15"/>
        <item t="default"/>
      </items>
    </pivotField>
    <pivotField axis="axisCol" dataField="1" showAll="0">
      <items count="8">
        <item x="6"/>
        <item x="0"/>
        <item x="4"/>
        <item x="5"/>
        <item x="2"/>
        <item x="3"/>
        <item x="1"/>
        <item t="default"/>
      </items>
    </pivotField>
    <pivotField showAll="0"/>
    <pivotField numFmtId="1" showAll="0"/>
    <pivotField numFmtId="1" showAll="0"/>
    <pivotField numFmtId="43" showAll="0"/>
    <pivotField numFmtId="43" showAll="0"/>
    <pivotField numFmtId="43" showAll="0"/>
    <pivotField showAll="0"/>
    <pivotField numFmtId="9" showAll="0"/>
    <pivotField numFmtId="9" showAll="0"/>
    <pivotField showAll="0"/>
    <pivotField showAll="0"/>
    <pivotField numFmtId="9" showAll="0"/>
    <pivotField showAll="0"/>
    <pivotField showAll="0"/>
    <pivotField showAll="0"/>
    <pivotField showAll="0"/>
    <pivotField showAll="0">
      <items count="13">
        <item x="4"/>
        <item x="2"/>
        <item x="0"/>
        <item x="7"/>
        <item x="5"/>
        <item x="9"/>
        <item x="8"/>
        <item x="11"/>
        <item x="6"/>
        <item x="1"/>
        <item x="1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10"/>
  </colFields>
  <colItems count="8">
    <i>
      <x/>
    </i>
    <i>
      <x v="1"/>
    </i>
    <i>
      <x v="2"/>
    </i>
    <i>
      <x v="3"/>
    </i>
    <i>
      <x v="4"/>
    </i>
    <i>
      <x v="5"/>
    </i>
    <i>
      <x v="6"/>
    </i>
    <i t="grand">
      <x/>
    </i>
  </colItems>
  <pageFields count="1">
    <pageField fld="5" hier="-1"/>
  </pageFields>
  <dataFields count="1">
    <dataField name="Count of Product Category" fld="10" subtotal="count" baseField="3" baseItem="3" numFmtId="10">
      <extLst>
        <ext xmlns:x14="http://schemas.microsoft.com/office/spreadsheetml/2009/9/main" uri="{E15A36E0-9728-4e99-A89B-3F7291B0FE68}">
          <x14:dataField pivotShowAs="percentOfParentRow"/>
        </ext>
      </extLst>
    </dataField>
  </dataFields>
  <formats count="1">
    <format dxfId="1945">
      <pivotArea collapsedLevelsAreSubtotals="1" fieldPosition="0">
        <references count="1">
          <reference field="3"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216E86-1DA7-42F0-949B-8A5E07F0766C}" name="PivotTable7" cacheId="61" applyNumberFormats="0" applyBorderFormats="0" applyFontFormats="0" applyPatternFormats="0" applyAlignmentFormats="0" applyWidthHeightFormats="1" dataCaption="Values" updatedVersion="8" minRefreshableVersion="3" useAutoFormatting="1" itemPrintTitles="1" createdVersion="8" compact="0" compactData="0" multipleFieldFilters="0">
  <location ref="P10:T56" firstHeaderRow="0" firstDataRow="1" firstDataCol="3"/>
  <pivotFields count="32">
    <pivotField dataField="1" compact="0" outline="0" showAll="0" defaultSubtotal="0"/>
    <pivotField compact="0" numFmtId="165" outline="0" showAll="0" defaultSubtotal="0">
      <items count="468">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s>
    </pivotField>
    <pivotField compact="0" numFmtId="165" outline="0" showAll="0" defaultSubtotal="0"/>
    <pivotField compact="0" outline="0" showAll="0" defaultSubtotal="0"/>
    <pivotField axis="axisRow" compact="0" outline="0" showAll="0" defaultSubtotal="0">
      <items count="4">
        <item x="0"/>
        <item x="2"/>
        <item x="1"/>
        <item x="3"/>
      </items>
    </pivotField>
    <pivotField axis="axisRow" compact="0" outline="0" showAll="0" defaultSubtotal="0">
      <items count="12">
        <item x="5"/>
        <item x="3"/>
        <item x="9"/>
        <item x="7"/>
        <item x="6"/>
        <item x="4"/>
        <item x="2"/>
        <item x="0"/>
        <item x="1"/>
        <item x="11"/>
        <item x="8"/>
        <item x="10"/>
      </items>
    </pivotField>
    <pivotField axis="axisRow" compact="0" outline="0" showAll="0" sortType="descending" defaultSubtotal="0">
      <items count="40">
        <item x="7"/>
        <item x="36"/>
        <item x="38"/>
        <item x="6"/>
        <item x="9"/>
        <item x="12"/>
        <item x="10"/>
        <item x="33"/>
        <item x="15"/>
        <item x="18"/>
        <item x="25"/>
        <item x="37"/>
        <item x="34"/>
        <item x="20"/>
        <item x="0"/>
        <item x="3"/>
        <item x="21"/>
        <item x="17"/>
        <item x="31"/>
        <item x="11"/>
        <item x="13"/>
        <item x="19"/>
        <item x="29"/>
        <item x="22"/>
        <item x="32"/>
        <item x="2"/>
        <item x="16"/>
        <item x="39"/>
        <item x="4"/>
        <item x="28"/>
        <item x="1"/>
        <item x="30"/>
        <item x="24"/>
        <item x="8"/>
        <item x="23"/>
        <item x="14"/>
        <item x="27"/>
        <item x="5"/>
        <item x="35"/>
        <item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16">
        <item x="8"/>
        <item x="5"/>
        <item x="0"/>
        <item x="14"/>
        <item x="6"/>
        <item x="9"/>
        <item x="3"/>
        <item x="10"/>
        <item x="2"/>
        <item x="1"/>
        <item x="11"/>
        <item x="4"/>
        <item x="12"/>
        <item x="13"/>
        <item x="7"/>
        <item x="15"/>
      </items>
    </pivotField>
    <pivotField compact="0" outline="0" showAll="0" defaultSubtotal="0"/>
    <pivotField compact="0" outline="0" showAll="0" defaultSubtotal="0"/>
    <pivotField compact="0" numFmtId="1" outline="0" showAll="0" defaultSubtotal="0"/>
    <pivotField compact="0" numFmtId="1" outline="0" showAll="0" defaultSubtotal="0"/>
    <pivotField compact="0" numFmtId="43" outline="0" showAll="0" defaultSubtotal="0"/>
    <pivotField compact="0" numFmtId="43" outline="0" showAll="0" defaultSubtotal="0"/>
    <pivotField compact="0" numFmtId="43" outline="0" showAll="0" defaultSubtotal="0"/>
    <pivotField compact="0" outline="0" showAll="0" defaultSubtotal="0"/>
    <pivotField compact="0" numFmtId="9" outline="0" showAll="0" defaultSubtotal="0"/>
    <pivotField compact="0" numFmtId="9" outline="0" showAll="0" defaultSubtotal="0"/>
    <pivotField compact="0" outline="0" showAll="0" defaultSubtotal="0"/>
    <pivotField dataField="1" compact="0" outline="0" showAll="0" defaultSubtotal="0"/>
    <pivotField compact="0" numFmtId="9"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items count="12">
        <item x="4"/>
        <item x="2"/>
        <item x="0"/>
        <item x="7"/>
        <item x="5"/>
        <item x="9"/>
        <item x="8"/>
        <item x="11"/>
        <item x="6"/>
        <item x="1"/>
        <item x="10"/>
        <item x="3"/>
      </items>
    </pivotField>
    <pivotField compact="0" outline="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5">
        <item x="0"/>
        <item x="1"/>
        <item x="2"/>
        <item x="3"/>
        <item x="4"/>
      </items>
    </pivotField>
  </pivotFields>
  <rowFields count="3">
    <field x="4"/>
    <field x="5"/>
    <field x="6"/>
  </rowFields>
  <rowItems count="46">
    <i>
      <x/>
      <x v="7"/>
      <x v="14"/>
    </i>
    <i r="2">
      <x v="20"/>
    </i>
    <i r="2">
      <x v="25"/>
    </i>
    <i r="2">
      <x v="26"/>
    </i>
    <i r="1">
      <x v="8"/>
      <x v="30"/>
    </i>
    <i r="2">
      <x/>
    </i>
    <i r="2">
      <x v="15"/>
    </i>
    <i r="2">
      <x v="38"/>
    </i>
    <i r="1">
      <x v="9"/>
      <x v="10"/>
    </i>
    <i r="2">
      <x v="13"/>
    </i>
    <i r="2">
      <x v="7"/>
    </i>
    <i>
      <x v="1"/>
      <x/>
      <x v="6"/>
    </i>
    <i r="2">
      <x v="33"/>
    </i>
    <i r="2">
      <x v="31"/>
    </i>
    <i r="2">
      <x v="38"/>
    </i>
    <i r="1">
      <x v="1"/>
      <x v="39"/>
    </i>
    <i r="2">
      <x v="37"/>
    </i>
    <i r="2">
      <x v="21"/>
    </i>
    <i r="2">
      <x v="38"/>
    </i>
    <i r="1">
      <x v="11"/>
      <x v="32"/>
    </i>
    <i r="2">
      <x v="1"/>
    </i>
    <i r="2">
      <x v="27"/>
    </i>
    <i r="2">
      <x v="8"/>
    </i>
    <i>
      <x v="2"/>
      <x v="2"/>
      <x v="34"/>
    </i>
    <i r="2">
      <x v="35"/>
    </i>
    <i r="2">
      <x v="2"/>
    </i>
    <i r="2">
      <x v="38"/>
    </i>
    <i r="1">
      <x v="5"/>
      <x v="9"/>
    </i>
    <i r="2">
      <x v="3"/>
    </i>
    <i r="2">
      <x v="22"/>
    </i>
    <i r="2">
      <x v="12"/>
    </i>
    <i r="2">
      <x v="38"/>
    </i>
    <i r="1">
      <x v="6"/>
      <x v="24"/>
    </i>
    <i r="2">
      <x v="28"/>
    </i>
    <i r="2">
      <x v="36"/>
    </i>
    <i>
      <x v="3"/>
      <x v="3"/>
      <x v="19"/>
    </i>
    <i r="2">
      <x v="17"/>
    </i>
    <i r="2">
      <x v="29"/>
    </i>
    <i r="1">
      <x v="4"/>
      <x v="11"/>
    </i>
    <i r="2">
      <x v="4"/>
    </i>
    <i r="2">
      <x v="23"/>
    </i>
    <i r="1">
      <x v="10"/>
      <x v="16"/>
    </i>
    <i r="2">
      <x v="18"/>
    </i>
    <i r="2">
      <x v="5"/>
    </i>
    <i r="2">
      <x v="38"/>
    </i>
    <i t="grand">
      <x/>
    </i>
  </rowItems>
  <colFields count="1">
    <field x="-2"/>
  </colFields>
  <colItems count="2">
    <i>
      <x/>
    </i>
    <i i="1">
      <x v="1"/>
    </i>
  </colItems>
  <dataFields count="2">
    <dataField name="Count of Order ID" fld="0" subtotal="count" baseField="0" baseItem="0"/>
    <dataField name="Sum of Gross Profit" fld="21" baseField="6" baseItem="26"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6C6F5F-D378-440F-AC6E-AF380900A0E7}" name="Salesperson productivity"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26" firstHeaderRow="0" firstDataRow="1" firstDataCol="1"/>
  <pivotFields count="32">
    <pivotField dataField="1" showAll="0"/>
    <pivotField numFmtId="165"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5" showAll="0"/>
    <pivotField showAll="0"/>
    <pivotField showAll="0">
      <items count="5">
        <item x="0"/>
        <item x="2"/>
        <item x="1"/>
        <item x="3"/>
        <item t="default"/>
      </items>
    </pivotField>
    <pivotField showAll="0"/>
    <pivotField showAll="0"/>
    <pivotField showAll="0"/>
    <pivotField showAll="0"/>
    <pivotField axis="axisRow" showAll="0" sortType="descending">
      <items count="17">
        <item x="8"/>
        <item x="5"/>
        <item x="0"/>
        <item x="14"/>
        <item x="6"/>
        <item x="9"/>
        <item x="3"/>
        <item x="10"/>
        <item x="2"/>
        <item x="1"/>
        <item x="11"/>
        <item x="4"/>
        <item x="12"/>
        <item x="13"/>
        <item x="7"/>
        <item x="15"/>
        <item t="default"/>
      </items>
      <autoSortScope>
        <pivotArea dataOnly="0" outline="0" fieldPosition="0">
          <references count="1">
            <reference field="4294967294" count="1" selected="0">
              <x v="1"/>
            </reference>
          </references>
        </pivotArea>
      </autoSortScope>
    </pivotField>
    <pivotField showAll="0"/>
    <pivotField showAll="0"/>
    <pivotField numFmtId="1" showAll="0"/>
    <pivotField numFmtId="1" showAll="0"/>
    <pivotField numFmtId="43" showAll="0"/>
    <pivotField numFmtId="43" showAll="0"/>
    <pivotField numFmtId="43" showAll="0"/>
    <pivotField showAll="0"/>
    <pivotField numFmtId="9" showAll="0"/>
    <pivotField numFmtId="9" showAll="0"/>
    <pivotField showAll="0"/>
    <pivotField dataField="1" showAll="0"/>
    <pivotField numFmtId="9" showAll="0"/>
    <pivotField showAll="0"/>
    <pivotField showAll="0"/>
    <pivotField showAll="0"/>
    <pivotField showAll="0"/>
    <pivotField showAll="0">
      <items count="13">
        <item x="4"/>
        <item x="2"/>
        <item x="0"/>
        <item x="7"/>
        <item x="5"/>
        <item x="9"/>
        <item x="8"/>
        <item x="11"/>
        <item x="6"/>
        <item x="1"/>
        <item x="10"/>
        <item x="3"/>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17">
    <i>
      <x v="1"/>
    </i>
    <i>
      <x v="12"/>
    </i>
    <i>
      <x v="11"/>
    </i>
    <i>
      <x/>
    </i>
    <i>
      <x v="5"/>
    </i>
    <i>
      <x v="9"/>
    </i>
    <i>
      <x v="10"/>
    </i>
    <i>
      <x v="4"/>
    </i>
    <i>
      <x v="2"/>
    </i>
    <i>
      <x v="6"/>
    </i>
    <i>
      <x v="14"/>
    </i>
    <i>
      <x v="3"/>
    </i>
    <i>
      <x v="13"/>
    </i>
    <i>
      <x v="8"/>
    </i>
    <i>
      <x v="15"/>
    </i>
    <i>
      <x v="7"/>
    </i>
    <i t="grand">
      <x/>
    </i>
  </rowItems>
  <colFields count="1">
    <field x="-2"/>
  </colFields>
  <colItems count="2">
    <i>
      <x/>
    </i>
    <i i="1">
      <x v="1"/>
    </i>
  </colItems>
  <dataFields count="2">
    <dataField name="Count of Order ID" fld="0" subtotal="count" baseField="0" baseItem="0"/>
    <dataField name="Sum of Gross Profit" fld="21" baseField="9" baseItem="6"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E3B546-2F20-4E71-9847-281209E2D6A6}"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83" firstHeaderRow="1" firstDataRow="1" firstDataCol="1"/>
  <pivotFields count="32">
    <pivotField showAll="0"/>
    <pivotField numFmtId="165"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5" showAll="0"/>
    <pivotField showAll="0"/>
    <pivotField showAll="0">
      <items count="5">
        <item x="0"/>
        <item x="2"/>
        <item x="1"/>
        <item x="3"/>
        <item t="default"/>
      </items>
    </pivotField>
    <pivotField showAll="0"/>
    <pivotField showAll="0"/>
    <pivotField showAll="0"/>
    <pivotField showAll="0"/>
    <pivotField showAll="0">
      <items count="17">
        <item x="8"/>
        <item x="5"/>
        <item x="0"/>
        <item x="14"/>
        <item x="6"/>
        <item x="9"/>
        <item x="3"/>
        <item x="10"/>
        <item x="2"/>
        <item x="1"/>
        <item x="11"/>
        <item x="4"/>
        <item x="12"/>
        <item x="13"/>
        <item x="7"/>
        <item x="15"/>
        <item t="default"/>
      </items>
    </pivotField>
    <pivotField axis="axisRow" showAll="0" sortType="descending">
      <items count="8">
        <item sd="0" x="6"/>
        <item sd="0" x="0"/>
        <item sd="0" x="4"/>
        <item sd="0" x="5"/>
        <item sd="0" x="2"/>
        <item sd="0" x="3"/>
        <item sd="0" x="1"/>
        <item t="default"/>
      </items>
      <autoSortScope>
        <pivotArea dataOnly="0" outline="0" fieldPosition="0">
          <references count="1">
            <reference field="4294967294" count="1" selected="0">
              <x v="0"/>
            </reference>
          </references>
        </pivotArea>
      </autoSortScope>
    </pivotField>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43" showAll="0"/>
    <pivotField numFmtId="43" showAll="0"/>
    <pivotField numFmtId="43" showAll="0"/>
    <pivotField showAll="0"/>
    <pivotField numFmtId="9" showAll="0"/>
    <pivotField numFmtId="9" showAll="0"/>
    <pivotField dataField="1" showAll="0"/>
    <pivotField showAll="0"/>
    <pivotField numFmtId="9" showAll="0"/>
    <pivotField showAll="0"/>
    <pivotField showAll="0"/>
    <pivotField showAll="0"/>
    <pivotField showAll="0"/>
    <pivotField showAll="0">
      <items count="13">
        <item x="4"/>
        <item x="2"/>
        <item x="0"/>
        <item x="7"/>
        <item x="5"/>
        <item x="9"/>
        <item x="8"/>
        <item x="11"/>
        <item x="6"/>
        <item x="1"/>
        <item x="1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0"/>
    <field x="11"/>
  </rowFields>
  <rowItems count="8">
    <i>
      <x v="4"/>
    </i>
    <i>
      <x v="2"/>
    </i>
    <i>
      <x v="6"/>
    </i>
    <i>
      <x v="1"/>
    </i>
    <i>
      <x v="3"/>
    </i>
    <i>
      <x v="5"/>
    </i>
    <i>
      <x/>
    </i>
    <i t="grand">
      <x/>
    </i>
  </rowItems>
  <colItems count="1">
    <i/>
  </colItems>
  <dataFields count="1">
    <dataField name="Sum of Gross Revenue" fld="20" showDataAs="percentOfCol" baseField="11" baseItem="411" numFmtId="10"/>
  </dataFields>
  <formats count="25">
    <format dxfId="1970">
      <pivotArea collapsedLevelsAreSubtotals="1" fieldPosition="0">
        <references count="2">
          <reference field="10" count="1" selected="0">
            <x v="4"/>
          </reference>
          <reference field="11" count="69">
            <x v="353"/>
            <x v="355"/>
            <x v="356"/>
            <x v="357"/>
            <x v="358"/>
            <x v="359"/>
            <x v="360"/>
            <x v="361"/>
            <x v="362"/>
            <x v="364"/>
            <x v="365"/>
            <x v="366"/>
            <x v="367"/>
            <x v="368"/>
            <x v="369"/>
            <x v="371"/>
            <x v="373"/>
            <x v="375"/>
            <x v="376"/>
            <x v="378"/>
            <x v="379"/>
            <x v="380"/>
            <x v="381"/>
            <x v="382"/>
            <x v="383"/>
            <x v="385"/>
            <x v="386"/>
            <x v="387"/>
            <x v="388"/>
            <x v="389"/>
            <x v="390"/>
            <x v="392"/>
            <x v="393"/>
            <x v="394"/>
            <x v="395"/>
            <x v="396"/>
            <x v="397"/>
            <x v="398"/>
            <x v="399"/>
            <x v="401"/>
            <x v="402"/>
            <x v="403"/>
            <x v="404"/>
            <x v="405"/>
            <x v="406"/>
            <x v="407"/>
            <x v="409"/>
            <x v="410"/>
            <x v="412"/>
            <x v="413"/>
            <x v="414"/>
            <x v="415"/>
            <x v="416"/>
            <x v="417"/>
            <x v="418"/>
            <x v="419"/>
            <x v="421"/>
            <x v="422"/>
            <x v="423"/>
            <x v="425"/>
            <x v="427"/>
            <x v="428"/>
            <x v="429"/>
            <x v="430"/>
            <x v="431"/>
            <x v="432"/>
            <x v="435"/>
            <x v="436"/>
            <x v="437"/>
          </reference>
        </references>
      </pivotArea>
    </format>
    <format dxfId="1969">
      <pivotArea collapsedLevelsAreSubtotals="1" fieldPosition="0">
        <references count="2">
          <reference field="10" count="1" selected="0">
            <x v="4"/>
          </reference>
          <reference field="11" count="13">
            <x v="363"/>
            <x v="370"/>
            <x v="372"/>
            <x v="374"/>
            <x v="377"/>
            <x v="384"/>
            <x v="400"/>
            <x v="408"/>
            <x v="411"/>
            <x v="420"/>
            <x v="424"/>
            <x v="426"/>
            <x v="433"/>
          </reference>
        </references>
      </pivotArea>
    </format>
    <format dxfId="1968">
      <pivotArea outline="0" fieldPosition="0">
        <references count="1">
          <reference field="4294967294" count="1">
            <x v="0"/>
          </reference>
        </references>
      </pivotArea>
    </format>
    <format dxfId="1967">
      <pivotArea collapsedLevelsAreSubtotals="1" fieldPosition="0">
        <references count="2">
          <reference field="10" count="1" selected="0">
            <x v="6"/>
          </reference>
          <reference field="11" count="82">
            <x v="527"/>
            <x v="528"/>
            <x v="531"/>
            <x v="532"/>
            <x v="533"/>
            <x v="534"/>
            <x v="535"/>
            <x v="536"/>
            <x v="537"/>
            <x v="538"/>
            <x v="540"/>
            <x v="541"/>
            <x v="542"/>
            <x v="543"/>
            <x v="544"/>
            <x v="545"/>
            <x v="546"/>
            <x v="547"/>
            <x v="548"/>
            <x v="549"/>
            <x v="550"/>
            <x v="551"/>
            <x v="552"/>
            <x v="553"/>
            <x v="554"/>
            <x v="555"/>
            <x v="557"/>
            <x v="558"/>
            <x v="560"/>
            <x v="561"/>
            <x v="562"/>
            <x v="563"/>
            <x v="565"/>
            <x v="566"/>
            <x v="567"/>
            <x v="568"/>
            <x v="569"/>
            <x v="570"/>
            <x v="571"/>
            <x v="572"/>
            <x v="573"/>
            <x v="574"/>
            <x v="575"/>
            <x v="578"/>
            <x v="579"/>
            <x v="580"/>
            <x v="583"/>
            <x v="584"/>
            <x v="585"/>
            <x v="586"/>
            <x v="588"/>
            <x v="590"/>
            <x v="591"/>
            <x v="593"/>
            <x v="594"/>
            <x v="595"/>
            <x v="596"/>
            <x v="598"/>
            <x v="599"/>
            <x v="600"/>
            <x v="601"/>
            <x v="602"/>
            <x v="604"/>
            <x v="607"/>
            <x v="608"/>
            <x v="610"/>
            <x v="611"/>
            <x v="613"/>
            <x v="615"/>
            <x v="616"/>
            <x v="617"/>
            <x v="618"/>
            <x v="619"/>
            <x v="620"/>
            <x v="621"/>
            <x v="622"/>
            <x v="623"/>
            <x v="624"/>
            <x v="625"/>
            <x v="626"/>
            <x v="627"/>
            <x v="629"/>
          </reference>
        </references>
      </pivotArea>
    </format>
    <format dxfId="1966">
      <pivotArea collapsedLevelsAreSubtotals="1" fieldPosition="0">
        <references count="2">
          <reference field="10" count="1" selected="0">
            <x v="6"/>
          </reference>
          <reference field="11" count="15">
            <x v="529"/>
            <x v="530"/>
            <x v="539"/>
            <x v="556"/>
            <x v="559"/>
            <x v="564"/>
            <x v="577"/>
            <x v="581"/>
            <x v="592"/>
            <x v="597"/>
            <x v="603"/>
            <x v="605"/>
            <x v="606"/>
            <x v="609"/>
            <x v="612"/>
          </reference>
        </references>
      </pivotArea>
    </format>
    <format dxfId="1965">
      <pivotArea collapsedLevelsAreSubtotals="1" fieldPosition="0">
        <references count="2">
          <reference field="10" count="1" selected="0">
            <x v="6"/>
          </reference>
          <reference field="11" count="16">
            <x v="529"/>
            <x v="530"/>
            <x v="539"/>
            <x v="556"/>
            <x v="559"/>
            <x v="564"/>
            <x v="577"/>
            <x v="581"/>
            <x v="592"/>
            <x v="597"/>
            <x v="603"/>
            <x v="605"/>
            <x v="606"/>
            <x v="609"/>
            <x v="612"/>
            <x v="628"/>
          </reference>
        </references>
      </pivotArea>
    </format>
    <format dxfId="1964">
      <pivotArea collapsedLevelsAreSubtotals="1" fieldPosition="0">
        <references count="2">
          <reference field="10" count="1" selected="0">
            <x v="6"/>
          </reference>
          <reference field="11" count="5">
            <x v="576"/>
            <x v="582"/>
            <x v="587"/>
            <x v="589"/>
            <x v="614"/>
          </reference>
        </references>
      </pivotArea>
    </format>
    <format dxfId="1963">
      <pivotArea collapsedLevelsAreSubtotals="1" fieldPosition="0">
        <references count="2">
          <reference field="10" count="1" selected="0">
            <x v="3"/>
          </reference>
          <reference field="11" count="75">
            <x v="259"/>
            <x v="260"/>
            <x v="261"/>
            <x v="262"/>
            <x v="263"/>
            <x v="264"/>
            <x v="265"/>
            <x v="266"/>
            <x v="268"/>
            <x v="269"/>
            <x v="270"/>
            <x v="271"/>
            <x v="272"/>
            <x v="273"/>
            <x v="275"/>
            <x v="277"/>
            <x v="279"/>
            <x v="280"/>
            <x v="281"/>
            <x v="282"/>
            <x v="283"/>
            <x v="285"/>
            <x v="286"/>
            <x v="287"/>
            <x v="288"/>
            <x v="290"/>
            <x v="291"/>
            <x v="295"/>
            <x v="296"/>
            <x v="297"/>
            <x v="298"/>
            <x v="299"/>
            <x v="300"/>
            <x v="301"/>
            <x v="302"/>
            <x v="303"/>
            <x v="304"/>
            <x v="305"/>
            <x v="307"/>
            <x v="308"/>
            <x v="310"/>
            <x v="311"/>
            <x v="312"/>
            <x v="313"/>
            <x v="314"/>
            <x v="315"/>
            <x v="316"/>
            <x v="317"/>
            <x v="318"/>
            <x v="319"/>
            <x v="320"/>
            <x v="321"/>
            <x v="322"/>
            <x v="323"/>
            <x v="324"/>
            <x v="325"/>
            <x v="327"/>
            <x v="328"/>
            <x v="329"/>
            <x v="332"/>
            <x v="333"/>
            <x v="334"/>
            <x v="335"/>
            <x v="337"/>
            <x v="338"/>
            <x v="340"/>
            <x v="342"/>
            <x v="343"/>
            <x v="344"/>
            <x v="346"/>
            <x v="347"/>
            <x v="349"/>
            <x v="350"/>
            <x v="351"/>
            <x v="352"/>
          </reference>
        </references>
      </pivotArea>
    </format>
    <format dxfId="1962">
      <pivotArea collapsedLevelsAreSubtotals="1" fieldPosition="0">
        <references count="2">
          <reference field="10" count="1" selected="0">
            <x v="3"/>
          </reference>
          <reference field="11" count="14">
            <x v="274"/>
            <x v="276"/>
            <x v="278"/>
            <x v="292"/>
            <x v="293"/>
            <x v="294"/>
            <x v="306"/>
            <x v="326"/>
            <x v="330"/>
            <x v="331"/>
            <x v="336"/>
            <x v="339"/>
            <x v="341"/>
            <x v="348"/>
          </reference>
        </references>
      </pivotArea>
    </format>
    <format dxfId="1961">
      <pivotArea collapsedLevelsAreSubtotals="1" fieldPosition="0">
        <references count="2">
          <reference field="10" count="1" selected="0">
            <x v="3"/>
          </reference>
          <reference field="11" count="5">
            <x v="267"/>
            <x v="284"/>
            <x v="289"/>
            <x v="309"/>
            <x v="345"/>
          </reference>
        </references>
      </pivotArea>
    </format>
    <format dxfId="1960">
      <pivotArea collapsedLevelsAreSubtotals="1" fieldPosition="0">
        <references count="2">
          <reference field="10" count="1" selected="0">
            <x v="1"/>
          </reference>
          <reference field="11" count="72">
            <x v="88"/>
            <x v="90"/>
            <x v="91"/>
            <x v="92"/>
            <x v="94"/>
            <x v="95"/>
            <x v="97"/>
            <x v="98"/>
            <x v="99"/>
            <x v="100"/>
            <x v="102"/>
            <x v="103"/>
            <x v="104"/>
            <x v="105"/>
            <x v="107"/>
            <x v="108"/>
            <x v="110"/>
            <x v="111"/>
            <x v="112"/>
            <x v="113"/>
            <x v="114"/>
            <x v="115"/>
            <x v="116"/>
            <x v="117"/>
            <x v="118"/>
            <x v="119"/>
            <x v="120"/>
            <x v="121"/>
            <x v="122"/>
            <x v="123"/>
            <x v="124"/>
            <x v="125"/>
            <x v="127"/>
            <x v="128"/>
            <x v="129"/>
            <x v="131"/>
            <x v="132"/>
            <x v="133"/>
            <x v="134"/>
            <x v="137"/>
            <x v="138"/>
            <x v="139"/>
            <x v="140"/>
            <x v="142"/>
            <x v="143"/>
            <x v="145"/>
            <x v="147"/>
            <x v="148"/>
            <x v="149"/>
            <x v="151"/>
            <x v="152"/>
            <x v="154"/>
            <x v="155"/>
            <x v="156"/>
            <x v="157"/>
            <x v="158"/>
            <x v="159"/>
            <x v="160"/>
            <x v="161"/>
            <x v="162"/>
            <x v="163"/>
            <x v="164"/>
            <x v="165"/>
            <x v="166"/>
            <x v="167"/>
            <x v="168"/>
            <x v="169"/>
            <x v="171"/>
            <x v="172"/>
            <x v="174"/>
            <x v="175"/>
            <x v="176"/>
          </reference>
        </references>
      </pivotArea>
    </format>
    <format dxfId="1959">
      <pivotArea collapsedLevelsAreSubtotals="1" fieldPosition="0">
        <references count="2">
          <reference field="10" count="1" selected="0">
            <x v="1"/>
          </reference>
          <reference field="11" count="14">
            <x v="89"/>
            <x v="93"/>
            <x v="101"/>
            <x v="106"/>
            <x v="109"/>
            <x v="130"/>
            <x v="135"/>
            <x v="136"/>
            <x v="141"/>
            <x v="144"/>
            <x v="146"/>
            <x v="153"/>
            <x v="170"/>
            <x v="177"/>
          </reference>
        </references>
      </pivotArea>
    </format>
    <format dxfId="1958">
      <pivotArea collapsedLevelsAreSubtotals="1" fieldPosition="0">
        <references count="2">
          <reference field="10" count="1" selected="0">
            <x v="1"/>
          </reference>
          <reference field="11" count="4">
            <x v="96"/>
            <x v="126"/>
            <x v="150"/>
            <x v="173"/>
          </reference>
        </references>
      </pivotArea>
    </format>
    <format dxfId="1957">
      <pivotArea collapsedLevelsAreSubtotals="1" fieldPosition="0">
        <references count="2">
          <reference field="10" count="1" selected="0">
            <x v="5"/>
          </reference>
          <reference field="11" count="70">
            <x v="439"/>
            <x v="440"/>
            <x v="443"/>
            <x v="444"/>
            <x v="446"/>
            <x v="447"/>
            <x v="448"/>
            <x v="449"/>
            <x v="451"/>
            <x v="452"/>
            <x v="453"/>
            <x v="454"/>
            <x v="455"/>
            <x v="456"/>
            <x v="459"/>
            <x v="460"/>
            <x v="461"/>
            <x v="462"/>
            <x v="463"/>
            <x v="464"/>
            <x v="467"/>
            <x v="468"/>
            <x v="469"/>
            <x v="472"/>
            <x v="473"/>
            <x v="474"/>
            <x v="475"/>
            <x v="476"/>
            <x v="478"/>
            <x v="479"/>
            <x v="480"/>
            <x v="481"/>
            <x v="483"/>
            <x v="484"/>
            <x v="485"/>
            <x v="486"/>
            <x v="487"/>
            <x v="488"/>
            <x v="489"/>
            <x v="490"/>
            <x v="492"/>
            <x v="493"/>
            <x v="495"/>
            <x v="497"/>
            <x v="498"/>
            <x v="499"/>
            <x v="500"/>
            <x v="501"/>
            <x v="502"/>
            <x v="503"/>
            <x v="504"/>
            <x v="505"/>
            <x v="507"/>
            <x v="508"/>
            <x v="509"/>
            <x v="510"/>
            <x v="511"/>
            <x v="512"/>
            <x v="513"/>
            <x v="514"/>
            <x v="516"/>
            <x v="517"/>
            <x v="518"/>
            <x v="520"/>
            <x v="521"/>
            <x v="522"/>
            <x v="523"/>
            <x v="524"/>
            <x v="525"/>
            <x v="526"/>
          </reference>
        </references>
      </pivotArea>
    </format>
    <format dxfId="1956">
      <pivotArea collapsedLevelsAreSubtotals="1" fieldPosition="0">
        <references count="2">
          <reference field="10" count="1" selected="0">
            <x v="5"/>
          </reference>
          <reference field="11" count="13">
            <x v="441"/>
            <x v="442"/>
            <x v="445"/>
            <x v="450"/>
            <x v="457"/>
            <x v="458"/>
            <x v="470"/>
            <x v="471"/>
            <x v="477"/>
            <x v="491"/>
            <x v="494"/>
            <x v="496"/>
            <x v="515"/>
          </reference>
        </references>
      </pivotArea>
    </format>
    <format dxfId="1955">
      <pivotArea collapsedLevelsAreSubtotals="1" fieldPosition="0">
        <references count="2">
          <reference field="10" count="1" selected="0">
            <x v="5"/>
          </reference>
          <reference field="11" count="5">
            <x v="465"/>
            <x v="466"/>
            <x v="482"/>
            <x v="506"/>
            <x v="519"/>
          </reference>
        </references>
      </pivotArea>
    </format>
    <format dxfId="1954">
      <pivotArea collapsedLevelsAreSubtotals="1" fieldPosition="0">
        <references count="2">
          <reference field="10" count="1" selected="0">
            <x v="0"/>
          </reference>
          <reference field="11" count="70">
            <x v="1"/>
            <x v="2"/>
            <x v="3"/>
            <x v="4"/>
            <x v="5"/>
            <x v="6"/>
            <x v="7"/>
            <x v="8"/>
            <x v="9"/>
            <x v="10"/>
            <x v="11"/>
            <x v="12"/>
            <x v="14"/>
            <x v="16"/>
            <x v="17"/>
            <x v="18"/>
            <x v="19"/>
            <x v="20"/>
            <x v="21"/>
            <x v="22"/>
            <x v="23"/>
            <x v="25"/>
            <x v="26"/>
            <x v="28"/>
            <x v="29"/>
            <x v="31"/>
            <x v="32"/>
            <x v="33"/>
            <x v="34"/>
            <x v="35"/>
            <x v="36"/>
            <x v="37"/>
            <x v="39"/>
            <x v="40"/>
            <x v="41"/>
            <x v="44"/>
            <x v="46"/>
            <x v="47"/>
            <x v="48"/>
            <x v="49"/>
            <x v="50"/>
            <x v="52"/>
            <x v="53"/>
            <x v="54"/>
            <x v="56"/>
            <x v="57"/>
            <x v="58"/>
            <x v="59"/>
            <x v="60"/>
            <x v="63"/>
            <x v="64"/>
            <x v="65"/>
            <x v="67"/>
            <x v="68"/>
            <x v="69"/>
            <x v="70"/>
            <x v="71"/>
            <x v="72"/>
            <x v="75"/>
            <x v="76"/>
            <x v="77"/>
            <x v="78"/>
            <x v="79"/>
            <x v="80"/>
            <x v="81"/>
            <x v="82"/>
            <x v="83"/>
            <x v="84"/>
            <x v="85"/>
            <x v="86"/>
          </reference>
        </references>
      </pivotArea>
    </format>
    <format dxfId="1953">
      <pivotArea collapsedLevelsAreSubtotals="1" fieldPosition="0">
        <references count="2">
          <reference field="10" count="1" selected="0">
            <x v="0"/>
          </reference>
          <reference field="11" count="13">
            <x v="0"/>
            <x v="15"/>
            <x v="24"/>
            <x v="27"/>
            <x v="38"/>
            <x v="42"/>
            <x v="43"/>
            <x v="45"/>
            <x v="55"/>
            <x v="62"/>
            <x v="66"/>
            <x v="73"/>
            <x v="74"/>
          </reference>
        </references>
      </pivotArea>
    </format>
    <format dxfId="1952">
      <pivotArea collapsedLevelsAreSubtotals="1" fieldPosition="0">
        <references count="2">
          <reference field="10" count="1" selected="0">
            <x v="0"/>
          </reference>
          <reference field="11" count="5">
            <x v="13"/>
            <x v="30"/>
            <x v="51"/>
            <x v="61"/>
            <x v="87"/>
          </reference>
        </references>
      </pivotArea>
    </format>
    <format dxfId="1951">
      <pivotArea collapsedLevelsAreSubtotals="1" fieldPosition="0">
        <references count="2">
          <reference field="10" count="1" selected="0">
            <x v="2"/>
          </reference>
          <reference field="11" count="65">
            <x v="179"/>
            <x v="180"/>
            <x v="181"/>
            <x v="182"/>
            <x v="183"/>
            <x v="184"/>
            <x v="185"/>
            <x v="186"/>
            <x v="188"/>
            <x v="189"/>
            <x v="191"/>
            <x v="192"/>
            <x v="193"/>
            <x v="197"/>
            <x v="199"/>
            <x v="200"/>
            <x v="201"/>
            <x v="203"/>
            <x v="204"/>
            <x v="205"/>
            <x v="207"/>
            <x v="208"/>
            <x v="209"/>
            <x v="210"/>
            <x v="211"/>
            <x v="212"/>
            <x v="213"/>
            <x v="214"/>
            <x v="215"/>
            <x v="216"/>
            <x v="217"/>
            <x v="218"/>
            <x v="219"/>
            <x v="220"/>
            <x v="221"/>
            <x v="223"/>
            <x v="224"/>
            <x v="225"/>
            <x v="226"/>
            <x v="227"/>
            <x v="228"/>
            <x v="229"/>
            <x v="231"/>
            <x v="232"/>
            <x v="233"/>
            <x v="235"/>
            <x v="236"/>
            <x v="237"/>
            <x v="239"/>
            <x v="241"/>
            <x v="242"/>
            <x v="243"/>
            <x v="244"/>
            <x v="246"/>
            <x v="247"/>
            <x v="248"/>
            <x v="249"/>
            <x v="250"/>
            <x v="251"/>
            <x v="252"/>
            <x v="253"/>
            <x v="254"/>
            <x v="255"/>
            <x v="257"/>
            <x v="258"/>
          </reference>
        </references>
      </pivotArea>
    </format>
    <format dxfId="1950">
      <pivotArea collapsedLevelsAreSubtotals="1" fieldPosition="0">
        <references count="2">
          <reference field="10" count="1" selected="0">
            <x v="2"/>
          </reference>
          <reference field="11" count="12">
            <x v="187"/>
            <x v="194"/>
            <x v="195"/>
            <x v="198"/>
            <x v="202"/>
            <x v="206"/>
            <x v="222"/>
            <x v="230"/>
            <x v="238"/>
            <x v="240"/>
            <x v="245"/>
            <x v="256"/>
          </reference>
        </references>
      </pivotArea>
    </format>
    <format dxfId="1949">
      <pivotArea collapsedLevelsAreSubtotals="1" fieldPosition="0">
        <references count="2">
          <reference field="10" count="1" selected="0">
            <x v="2"/>
          </reference>
          <reference field="11" count="4">
            <x v="178"/>
            <x v="190"/>
            <x v="196"/>
            <x v="234"/>
          </reference>
        </references>
      </pivotArea>
    </format>
    <format dxfId="1948">
      <pivotArea collapsedLevelsAreSubtotals="1" fieldPosition="0">
        <references count="2">
          <reference field="10" count="1" selected="0">
            <x v="4"/>
          </reference>
          <reference field="11" count="69">
            <x v="353"/>
            <x v="355"/>
            <x v="356"/>
            <x v="357"/>
            <x v="358"/>
            <x v="359"/>
            <x v="360"/>
            <x v="361"/>
            <x v="362"/>
            <x v="364"/>
            <x v="365"/>
            <x v="366"/>
            <x v="367"/>
            <x v="368"/>
            <x v="369"/>
            <x v="371"/>
            <x v="373"/>
            <x v="375"/>
            <x v="376"/>
            <x v="378"/>
            <x v="379"/>
            <x v="380"/>
            <x v="381"/>
            <x v="382"/>
            <x v="383"/>
            <x v="385"/>
            <x v="386"/>
            <x v="387"/>
            <x v="388"/>
            <x v="389"/>
            <x v="390"/>
            <x v="392"/>
            <x v="393"/>
            <x v="394"/>
            <x v="395"/>
            <x v="396"/>
            <x v="397"/>
            <x v="398"/>
            <x v="399"/>
            <x v="401"/>
            <x v="402"/>
            <x v="403"/>
            <x v="404"/>
            <x v="405"/>
            <x v="406"/>
            <x v="407"/>
            <x v="409"/>
            <x v="410"/>
            <x v="412"/>
            <x v="413"/>
            <x v="414"/>
            <x v="415"/>
            <x v="416"/>
            <x v="417"/>
            <x v="418"/>
            <x v="419"/>
            <x v="421"/>
            <x v="422"/>
            <x v="423"/>
            <x v="425"/>
            <x v="427"/>
            <x v="428"/>
            <x v="429"/>
            <x v="430"/>
            <x v="431"/>
            <x v="432"/>
            <x v="435"/>
            <x v="436"/>
            <x v="437"/>
          </reference>
        </references>
      </pivotArea>
    </format>
    <format dxfId="1947">
      <pivotArea collapsedLevelsAreSubtotals="1" fieldPosition="0">
        <references count="2">
          <reference field="10" count="1" selected="0">
            <x v="4"/>
          </reference>
          <reference field="11" count="13">
            <x v="363"/>
            <x v="370"/>
            <x v="372"/>
            <x v="374"/>
            <x v="377"/>
            <x v="384"/>
            <x v="400"/>
            <x v="408"/>
            <x v="411"/>
            <x v="420"/>
            <x v="424"/>
            <x v="426"/>
            <x v="433"/>
          </reference>
        </references>
      </pivotArea>
    </format>
    <format dxfId="1946">
      <pivotArea collapsedLevelsAreSubtotals="1" fieldPosition="0">
        <references count="2">
          <reference field="10" count="1" selected="0">
            <x v="4"/>
          </reference>
          <reference field="11" count="4">
            <x v="354"/>
            <x v="391"/>
            <x v="434"/>
            <x v="43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693B54-7687-42F1-A470-812557480DF0}" sourceName="Region">
  <pivotTables>
    <pivotTable tabId="5" name="Revenue by Month "/>
    <pivotTable tabId="5" name="PivotTable3"/>
    <pivotTable tabId="5" name="Top 10 SKUs by Revenue (bar)"/>
    <pivotTable tabId="5" name="PivotTable1"/>
    <pivotTable tabId="7" name="PivotTable1"/>
    <pivotTable tabId="7" name="PivotTable3"/>
    <pivotTable tabId="7" name="PivotTable4"/>
    <pivotTable tabId="7" name="PivotTable7"/>
    <pivotTable tabId="7" name="Salesperson productivity"/>
    <pivotTable tabId="9" name="PivotTable8"/>
    <pivotTable tabId="9" name="PivotTable9"/>
  </pivotTables>
  <data>
    <tabular pivotCacheId="1916605814">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8C4D9FE-EF2D-46D5-8BB7-C16A2F07F6D9}" sourceName="Country">
  <pivotTables>
    <pivotTable tabId="5" name="Revenue by Month "/>
    <pivotTable tabId="5" name="PivotTable3"/>
    <pivotTable tabId="5" name="Top 10 SKUs by Revenue (bar)"/>
    <pivotTable tabId="5" name="PivotTable1"/>
  </pivotTables>
  <data>
    <tabular pivotCacheId="1916605814">
      <items count="12">
        <i x="5" s="1"/>
        <i x="3" s="1"/>
        <i x="9" s="1"/>
        <i x="7" s="1"/>
        <i x="6" s="1"/>
        <i x="4" s="1"/>
        <i x="2" s="1"/>
        <i x="0" s="1"/>
        <i x="1" s="1"/>
        <i x="11" s="1"/>
        <i x="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72E17D5-05A6-4C12-AF9E-4238D2EE0018}" sourceName="Channel">
  <pivotTables>
    <pivotTable tabId="5" name="Revenue by Month "/>
    <pivotTable tabId="5" name="PivotTable3"/>
    <pivotTable tabId="5" name="Top 10 SKUs by Revenue (bar)"/>
    <pivotTable tabId="5" name="PivotTable1"/>
  </pivotTables>
  <data>
    <tabular pivotCacheId="1916605814">
      <items count="6">
        <i x="4" s="1"/>
        <i x="3" s="1"/>
        <i x="2" s="1"/>
        <i x="1"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C496366-8F94-460E-9D6F-966AAC612DAF}" sourceName="Salesperson">
  <pivotTables>
    <pivotTable tabId="5" name="Revenue by Month "/>
    <pivotTable tabId="5" name="PivotTable3"/>
    <pivotTable tabId="5" name="Top 10 SKUs by Revenue (bar)"/>
    <pivotTable tabId="5" name="PivotTable1"/>
    <pivotTable tabId="7" name="PivotTable1"/>
    <pivotTable tabId="7" name="PivotTable3"/>
    <pivotTable tabId="7" name="PivotTable4"/>
    <pivotTable tabId="7" name="PivotTable7"/>
    <pivotTable tabId="7" name="Salesperson productivity"/>
    <pivotTable tabId="9" name="PivotTable8"/>
    <pivotTable tabId="9" name="PivotTable9"/>
  </pivotTables>
  <data>
    <tabular pivotCacheId="1916605814">
      <items count="16">
        <i x="8" s="1"/>
        <i x="5" s="1"/>
        <i x="0" s="1"/>
        <i x="14" s="1"/>
        <i x="6" s="1"/>
        <i x="9" s="1"/>
        <i x="3" s="1"/>
        <i x="10" s="1"/>
        <i x="2" s="1"/>
        <i x="1" s="1"/>
        <i x="11" s="1"/>
        <i x="4" s="1"/>
        <i x="12" s="1"/>
        <i x="13" s="1"/>
        <i x="7"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AD1F4FB-FD5A-40AD-B754-B6F1651E3D2C}" sourceName="Product Category">
  <pivotTables>
    <pivotTable tabId="5" name="Revenue by Month "/>
    <pivotTable tabId="5" name="PivotTable3"/>
    <pivotTable tabId="5" name="Top 10 SKUs by Revenue (bar)"/>
    <pivotTable tabId="5" name="PivotTable1"/>
  </pivotTables>
  <data>
    <tabular pivotCacheId="1916605814">
      <items count="7">
        <i x="6" s="1"/>
        <i x="0" s="1"/>
        <i x="4" s="1"/>
        <i x="5"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ECC0C050-DFFA-4CD0-A63A-0957195A5254}" sourceName="Order Month">
  <pivotTables>
    <pivotTable tabId="5" name="Revenue by Month "/>
    <pivotTable tabId="5" name="PivotTable3"/>
    <pivotTable tabId="5" name="Top 10 SKUs by Revenue (bar)"/>
    <pivotTable tabId="5" name="PivotTable1"/>
  </pivotTables>
  <data>
    <tabular pivotCacheId="1916605814">
      <items count="12">
        <i x="4" s="1"/>
        <i x="2" s="1"/>
        <i x="0" s="1"/>
        <i x="7" s="1"/>
        <i x="5" s="1"/>
        <i x="9" s="1"/>
        <i x="8" s="1"/>
        <i x="11" s="1"/>
        <i x="6" s="1"/>
        <i x="1" s="1"/>
        <i x="1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_was_placed" xr10:uid="{8509F2DC-53B7-4494-B9FB-1455148734E0}" sourceName="Year order was placed">
  <pivotTables>
    <pivotTable tabId="5" name="Revenue by Month "/>
    <pivotTable tabId="5" name="PivotTable3"/>
    <pivotTable tabId="5" name="Top 10 SKUs by Revenue (bar)"/>
    <pivotTable tabId="5" name="PivotTable1"/>
  </pivotTables>
  <data>
    <tabular pivotCacheId="1916605814">
      <items count="3">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1" xr10:uid="{319E89B9-926A-4F6F-BFE6-BEAAAA030DD1}" sourceName="Order Month">
  <pivotTables>
    <pivotTable tabId="7" name="Salesperson productivity"/>
    <pivotTable tabId="7" name="PivotTable3"/>
    <pivotTable tabId="7" name="PivotTable4"/>
    <pivotTable tabId="7" name="PivotTable1"/>
    <pivotTable tabId="7" name="PivotTable7"/>
  </pivotTables>
  <data>
    <tabular pivotCacheId="1916605814">
      <items count="12">
        <i x="4" s="1"/>
        <i x="2" s="1"/>
        <i x="0" s="1"/>
        <i x="7" s="1"/>
        <i x="5" s="1"/>
        <i x="9" s="1"/>
        <i x="8" s="1"/>
        <i x="11" s="1"/>
        <i x="6" s="1"/>
        <i x="1" s="1"/>
        <i x="10"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_was_placed1" xr10:uid="{8233064E-3107-4970-96E1-DD6E76AF95AF}" sourceName="Year order was placed">
  <pivotTables>
    <pivotTable tabId="7" name="Salesperson productivity"/>
    <pivotTable tabId="7" name="PivotTable4"/>
    <pivotTable tabId="7" name="PivotTable7"/>
  </pivotTables>
  <data>
    <tabular pivotCacheId="19166058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A9244F-3668-405B-A179-2D196EAC8F57}" cache="Slicer_Region" caption="Region" columnCount="2" rowHeight="182880"/>
  <slicer name="Country 1" xr10:uid="{5B6275EB-8014-426F-A14B-AA882E912C1C}" cache="Slicer_Country" caption="Country" startItem="5" rowHeight="182880"/>
  <slicer name="Channel 1" xr10:uid="{78E82B7B-57FB-4541-A8A5-E5E4D63AB686}" cache="Slicer_Channel" caption="Channel" rowHeight="182880"/>
  <slicer name="Salesperson 1" xr10:uid="{97C6431C-8894-4E11-BB04-0285FD106CA0}" cache="Slicer_Salesperson" caption="Salesperson" startItem="7" rowHeight="182880"/>
  <slicer name="Product Category 1" xr10:uid="{380B4A90-A582-4778-99D7-98CAF0882C15}" cache="Slicer_Product_Category" caption="Product Category" startItem="3" rowHeight="182880"/>
  <slicer name="Order Month 1" xr10:uid="{EE35BBF8-A2CD-48B1-BBF1-D8A0136AAFF4}" cache="Slicer_Order_Month" caption="Order Month" startItem="6" columnCount="2" rowHeight="182880"/>
  <slicer name="Year order was placed 1" xr10:uid="{923C7121-D50D-4FF6-9618-FE8280E725F0}" cache="Slicer_Year_order_was_placed" caption="Year order was placed" columnCount="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6AAE07-6430-43B5-8C8B-814DD184DD1F}" cache="Slicer_Region" caption="Region" rowHeight="241300"/>
  <slicer name="Country" xr10:uid="{5D48D71C-0499-4F95-A337-6F66A116387D}" cache="Slicer_Country" caption="Country" rowHeight="241300"/>
  <slicer name="Channel" xr10:uid="{93AE00D1-5DB3-4612-A539-5F55FC065C5D}" cache="Slicer_Channel" caption="Channel" rowHeight="241300"/>
  <slicer name="Salesperson" xr10:uid="{934AF7EC-761D-4AAA-9FF6-8F66B17F5550}" cache="Slicer_Salesperson" caption="Salesperson" rowHeight="241300"/>
  <slicer name="Product Category" xr10:uid="{B1A9E23E-10F3-4F99-BB32-70C56B9DD2EE}" cache="Slicer_Product_Category" caption="Product Category" rowHeight="241300"/>
  <slicer name="Order Month" xr10:uid="{67E0313D-DB03-4AE1-9A03-92BCA1CA76E3}" cache="Slicer_Order_Month" caption="Order Month" rowHeight="241300"/>
  <slicer name="Year order was placed" xr10:uid="{4AC78910-1BE8-49ED-9A2F-ADE0E8F35012}" cache="Slicer_Year_order_was_placed" caption="Year order was place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E17E8A36-3889-4F11-9578-EFAB7A50D9F8}" cache="Slicer_Salesperson" caption="Salesperson" startItem="8"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2" xr10:uid="{54839BD0-D3DC-446E-B2E8-66A5679E97EA}" cache="Slicer_Order_Month1" caption="Order Month" columnCount="6" rowHeight="241300"/>
  <slicer name="Year order was placed 2" xr10:uid="{E2C7B9F4-DED0-4E23-A440-401FC0150766}" cache="Slicer_Year_order_was_placed1" caption="Year order was placed"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DB93D6-06F9-42E6-93DD-67243654BA77}" name="Table1" displayName="Table1" ref="AE3:AI635" totalsRowShown="0" headerRowDxfId="1941" headerRowBorderDxfId="1940">
  <autoFilter ref="AE3:AI635" xr:uid="{60DB93D6-06F9-42E6-93DD-67243654BA77}"/>
  <tableColumns count="5">
    <tableColumn id="1" xr3:uid="{956F0D16-BCD8-4A0D-BE88-B490C89FDCC2}" name="Order ID" dataDxfId="1939">
      <calculatedColumnFormula>X4</calculatedColumnFormula>
    </tableColumn>
    <tableColumn id="2" xr3:uid="{1F223490-6D19-4A96-97C5-B77628F2A036}" name="Region" dataDxfId="1938">
      <calculatedColumnFormula>Y4</calculatedColumnFormula>
    </tableColumn>
    <tableColumn id="3" xr3:uid="{4CDFB74A-852C-4F07-8358-6D2DC339D742}" name="Quarter2" dataDxfId="1937">
      <calculatedColumnFormula>Z4</calculatedColumnFormula>
    </tableColumn>
    <tableColumn id="4" xr3:uid="{9A2E6DDF-99A1-462C-B430-8CC0039022BC}" name="Unit Cost" dataDxfId="1936" dataCellStyle="Percent">
      <calculatedColumnFormula>AA4</calculatedColumnFormula>
    </tableColumn>
    <tableColumn id="6" xr3:uid="{D31112B5-42D1-4470-A11C-76C0638451E7}" name="Discount % limits" dataDxfId="1935" dataCellStyle="Percent">
      <calculatedColumnFormula>AB4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4.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4.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B388-B827-417E-BB04-73F8036AFDB7}">
  <dimension ref="F1:U17"/>
  <sheetViews>
    <sheetView showGridLines="0" topLeftCell="H1" zoomScale="80" zoomScaleNormal="80" workbookViewId="0">
      <selection activeCell="U1" sqref="U1"/>
    </sheetView>
  </sheetViews>
  <sheetFormatPr defaultRowHeight="12.75" x14ac:dyDescent="0.2"/>
  <cols>
    <col min="1" max="5" width="9.140625" style="44"/>
    <col min="6" max="6" width="22.85546875" style="44" customWidth="1"/>
    <col min="7" max="7" width="9.85546875" style="44" customWidth="1"/>
    <col min="8" max="8" width="22" style="44" customWidth="1"/>
    <col min="9" max="9" width="6.42578125" style="44" customWidth="1"/>
    <col min="10" max="10" width="10.42578125" style="44" customWidth="1"/>
    <col min="11" max="11" width="6" style="44" customWidth="1"/>
    <col min="12" max="13" width="13.140625" style="44" customWidth="1"/>
    <col min="14" max="14" width="7.7109375" style="44" customWidth="1"/>
    <col min="15" max="15" width="10.7109375" style="44" customWidth="1"/>
    <col min="16" max="16" width="9.140625" style="44"/>
    <col min="17" max="18" width="8" style="44" customWidth="1"/>
    <col min="19" max="19" width="9.140625" style="44"/>
    <col min="20" max="20" width="19.140625" style="44" customWidth="1"/>
    <col min="21" max="21" width="14.5703125" style="44" customWidth="1"/>
    <col min="22" max="16384" width="9.140625" style="44"/>
  </cols>
  <sheetData>
    <row r="1" spans="6:21" ht="21" customHeight="1" x14ac:dyDescent="0.2">
      <c r="F1" s="66" t="str">
        <f>IF(AND(ISBLANK($U$1),ISBLANK($U$2),ISBLANK($U$3)),"Sales Revenue &amp; KPI Overview",IF(AND(NOT(ISBLANK($U$1)),NOT(ISBLANK($U$2)),NOT(ISBLANK($U$3))),"Full Impact Forecast",IF(AND(NOT(ISBLANK($U$1)),NOT(ISBLANK($U$2))),"Projected Revenue with Discount Cap &amp; Cost Inflation",IF(AND(NOT(ISBLANK($U$2)),NOT(ISBLANK($U$3))),"Revenue with Volume Growth &amp; Cost Inflation",IF(AND(NOT(ISBLANK($U$1)),NOT(ISBLANK($U$3))),"Revenue with Discount Cap &amp; Volume Growth",IF(AND(ISBLANK($U$2),ISBLANK($U$3)),"Global Discount Forecast",IF(AND(ISBLANK($U$1),ISBLANK($U$3)),"Cost Inflation Forecast","Target Volume Forecast")))))))</f>
        <v>Sales Revenue &amp; KPI Overview</v>
      </c>
      <c r="G1" s="66"/>
      <c r="H1" s="66"/>
      <c r="I1" s="66"/>
      <c r="J1" s="66"/>
      <c r="K1" s="66"/>
      <c r="L1" s="66"/>
      <c r="M1" s="66"/>
      <c r="N1" s="66"/>
      <c r="O1" s="66"/>
      <c r="P1" s="66"/>
      <c r="Q1" s="66"/>
      <c r="R1" s="66"/>
      <c r="T1" s="45" t="s">
        <v>1460</v>
      </c>
      <c r="U1" s="46"/>
    </row>
    <row r="2" spans="6:21" ht="21.75" customHeight="1" x14ac:dyDescent="0.2">
      <c r="F2" s="66"/>
      <c r="G2" s="66"/>
      <c r="H2" s="66"/>
      <c r="I2" s="66"/>
      <c r="J2" s="66"/>
      <c r="K2" s="66"/>
      <c r="L2" s="66"/>
      <c r="M2" s="66"/>
      <c r="N2" s="66"/>
      <c r="O2" s="66"/>
      <c r="P2" s="66"/>
      <c r="Q2" s="66"/>
      <c r="R2" s="66"/>
      <c r="T2" s="45" t="s">
        <v>1461</v>
      </c>
      <c r="U2" s="46"/>
    </row>
    <row r="3" spans="6:21" ht="21" x14ac:dyDescent="0.35">
      <c r="F3" s="47" t="s">
        <v>1476</v>
      </c>
      <c r="G3" s="48"/>
      <c r="H3" s="49" t="s">
        <v>1473</v>
      </c>
      <c r="I3" s="48"/>
      <c r="J3" s="47" t="s">
        <v>1474</v>
      </c>
      <c r="K3" s="47"/>
      <c r="L3" s="48"/>
      <c r="M3" s="47" t="s">
        <v>1477</v>
      </c>
      <c r="N3" s="47"/>
      <c r="O3" s="48"/>
      <c r="P3" s="47" t="s">
        <v>1475</v>
      </c>
      <c r="T3" s="45" t="s">
        <v>1462</v>
      </c>
      <c r="U3" s="46"/>
    </row>
    <row r="4" spans="6:21" ht="21" x14ac:dyDescent="0.35">
      <c r="F4" s="54">
        <f>SUM('Working Data'!$U:$U)</f>
        <v>9639609.0633713789</v>
      </c>
      <c r="H4" s="54">
        <f>SUM('Working Data'!$V:$V)</f>
        <v>2111861.3533713771</v>
      </c>
      <c r="J4" s="65">
        <f>AVERAGE('Working Data'!$W:$W)</f>
        <v>0.22130624117445685</v>
      </c>
      <c r="K4" s="65"/>
      <c r="M4" s="64">
        <f>AVERAGE('Working Data'!$U:$U)</f>
        <v>15252.545986347119</v>
      </c>
      <c r="N4" s="64"/>
      <c r="P4" s="65">
        <f>COUNTIF('Working Data'!$D:$D,"&lt;=7")/COUNT('Working Data'!$D:$D)</f>
        <v>0.23076923076923078</v>
      </c>
      <c r="Q4" s="65"/>
      <c r="R4" s="55"/>
    </row>
    <row r="5" spans="6:21" x14ac:dyDescent="0.2">
      <c r="J5" s="67"/>
      <c r="K5" s="67"/>
      <c r="P5" s="67"/>
      <c r="Q5" s="67"/>
    </row>
    <row r="6" spans="6:21" ht="21" x14ac:dyDescent="0.35">
      <c r="U6" s="50"/>
    </row>
    <row r="7" spans="6:21" x14ac:dyDescent="0.2">
      <c r="U7" s="51"/>
    </row>
    <row r="8" spans="6:21" ht="21" x14ac:dyDescent="0.35">
      <c r="U8" s="50"/>
    </row>
    <row r="9" spans="6:21" x14ac:dyDescent="0.2">
      <c r="T9" s="52"/>
      <c r="U9" s="51"/>
    </row>
    <row r="10" spans="6:21" x14ac:dyDescent="0.2">
      <c r="U10" s="63"/>
    </row>
    <row r="11" spans="6:21" x14ac:dyDescent="0.2">
      <c r="U11" s="63"/>
    </row>
    <row r="12" spans="6:21" x14ac:dyDescent="0.2">
      <c r="T12" s="53"/>
      <c r="U12" s="51"/>
    </row>
    <row r="13" spans="6:21" ht="21" x14ac:dyDescent="0.35">
      <c r="U13" s="50"/>
    </row>
    <row r="14" spans="6:21" ht="21" x14ac:dyDescent="0.35">
      <c r="U14" s="50"/>
    </row>
    <row r="15" spans="6:21" x14ac:dyDescent="0.2">
      <c r="U15" s="51"/>
    </row>
    <row r="16" spans="6:21" x14ac:dyDescent="0.2">
      <c r="U16" s="63"/>
    </row>
    <row r="17" spans="21:21" x14ac:dyDescent="0.2">
      <c r="U17" s="63"/>
    </row>
  </sheetData>
  <mergeCells count="8">
    <mergeCell ref="U10:U11"/>
    <mergeCell ref="U16:U17"/>
    <mergeCell ref="M4:N4"/>
    <mergeCell ref="P4:Q4"/>
    <mergeCell ref="F1:R2"/>
    <mergeCell ref="J4:K4"/>
    <mergeCell ref="J5:K5"/>
    <mergeCell ref="P5:Q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A3C4E-254D-4D9D-95EC-EBD72DAB5F25}">
  <dimension ref="A3:AI636"/>
  <sheetViews>
    <sheetView topLeftCell="U1" zoomScaleNormal="100" workbookViewId="0">
      <selection activeCell="X3" sqref="X3:AB636"/>
    </sheetView>
  </sheetViews>
  <sheetFormatPr defaultRowHeight="15" x14ac:dyDescent="0.25"/>
  <cols>
    <col min="1" max="1" width="13.140625" bestFit="1" customWidth="1"/>
    <col min="2" max="2" width="21.140625" bestFit="1" customWidth="1"/>
    <col min="3" max="3" width="25.140625" bestFit="1" customWidth="1"/>
    <col min="8" max="8" width="18.28515625" bestFit="1" customWidth="1"/>
    <col min="9" max="9" width="16.28515625" bestFit="1" customWidth="1"/>
    <col min="10" max="10" width="11.5703125" bestFit="1" customWidth="1"/>
    <col min="11" max="11" width="12.140625" bestFit="1" customWidth="1"/>
    <col min="12" max="13" width="11.5703125" bestFit="1" customWidth="1"/>
    <col min="14" max="14" width="12.5703125" bestFit="1" customWidth="1"/>
    <col min="15" max="15" width="13.28515625" bestFit="1" customWidth="1"/>
    <col min="16" max="16" width="11.5703125" bestFit="1" customWidth="1"/>
    <col min="17" max="17" width="25.140625" bestFit="1" customWidth="1"/>
    <col min="18" max="18" width="13.140625" bestFit="1" customWidth="1"/>
    <col min="19" max="19" width="18.28515625" bestFit="1" customWidth="1"/>
    <col min="20" max="20" width="25.140625" bestFit="1" customWidth="1"/>
    <col min="21" max="22" width="11.5703125" bestFit="1" customWidth="1"/>
    <col min="23" max="23" width="13.140625" bestFit="1" customWidth="1"/>
    <col min="24" max="26" width="16.7109375" bestFit="1" customWidth="1"/>
    <col min="27" max="28" width="18.5703125" bestFit="1" customWidth="1"/>
    <col min="29" max="30" width="9.42578125" customWidth="1"/>
    <col min="31" max="31" width="19" style="4" customWidth="1"/>
    <col min="32" max="33" width="11.42578125" style="4" customWidth="1"/>
    <col min="34" max="34" width="11.42578125" style="19" customWidth="1"/>
    <col min="35" max="35" width="16.42578125" style="11" customWidth="1"/>
    <col min="36" max="36" width="14.42578125" bestFit="1" customWidth="1"/>
    <col min="38" max="38" width="10.5703125" bestFit="1" customWidth="1"/>
    <col min="39" max="39" width="9.5703125" bestFit="1" customWidth="1"/>
    <col min="40" max="40" width="17.7109375" bestFit="1" customWidth="1"/>
    <col min="41" max="41" width="13.28515625" bestFit="1" customWidth="1"/>
  </cols>
  <sheetData>
    <row r="3" spans="1:35" x14ac:dyDescent="0.25">
      <c r="A3" s="24" t="s">
        <v>1440</v>
      </c>
      <c r="B3" t="s">
        <v>1455</v>
      </c>
      <c r="H3" s="24" t="s">
        <v>1458</v>
      </c>
      <c r="I3" s="24" t="s">
        <v>1457</v>
      </c>
      <c r="R3" s="24" t="s">
        <v>1440</v>
      </c>
      <c r="S3" t="s">
        <v>1458</v>
      </c>
      <c r="T3" t="s">
        <v>1459</v>
      </c>
      <c r="X3" s="24" t="s">
        <v>1427</v>
      </c>
      <c r="Y3" s="24" t="s">
        <v>3</v>
      </c>
      <c r="Z3" s="24" t="s">
        <v>1504</v>
      </c>
      <c r="AA3" s="24" t="s">
        <v>1428</v>
      </c>
      <c r="AB3" s="24" t="s">
        <v>1432</v>
      </c>
      <c r="AC3" s="24"/>
      <c r="AE3" s="57" t="s">
        <v>1427</v>
      </c>
      <c r="AF3" s="57" t="s">
        <v>3</v>
      </c>
      <c r="AG3" s="57" t="s">
        <v>1504</v>
      </c>
      <c r="AH3" s="59" t="s">
        <v>1428</v>
      </c>
      <c r="AI3" s="58" t="s">
        <v>1432</v>
      </c>
    </row>
    <row r="4" spans="1:35" x14ac:dyDescent="0.25">
      <c r="A4" s="25" t="s">
        <v>1443</v>
      </c>
      <c r="B4" s="19">
        <v>625592.70693734998</v>
      </c>
      <c r="H4" s="24" t="s">
        <v>1440</v>
      </c>
      <c r="I4" t="s">
        <v>711</v>
      </c>
      <c r="J4" t="s">
        <v>710</v>
      </c>
      <c r="K4" t="s">
        <v>709</v>
      </c>
      <c r="L4" t="s">
        <v>708</v>
      </c>
      <c r="M4" t="s">
        <v>707</v>
      </c>
      <c r="N4" t="s">
        <v>1430</v>
      </c>
      <c r="O4" t="s">
        <v>1441</v>
      </c>
      <c r="R4" s="25" t="s">
        <v>781</v>
      </c>
      <c r="S4" s="19">
        <v>65188.659999999996</v>
      </c>
      <c r="T4" s="30">
        <v>0.59672531214528945</v>
      </c>
      <c r="X4" t="s">
        <v>620</v>
      </c>
      <c r="Y4" t="s">
        <v>647</v>
      </c>
      <c r="Z4" t="s">
        <v>1506</v>
      </c>
      <c r="AA4" s="19">
        <v>1209.22</v>
      </c>
      <c r="AB4" s="30" t="s">
        <v>1499</v>
      </c>
      <c r="AC4" s="56"/>
      <c r="AE4" s="4" t="str">
        <f t="shared" ref="AE4:AE67" si="0">X4</f>
        <v>ORD-2023-107265</v>
      </c>
      <c r="AF4" s="4" t="str">
        <f t="shared" ref="AF4:AF67" si="1">Y4</f>
        <v>Asia</v>
      </c>
      <c r="AG4" s="4" t="str">
        <f t="shared" ref="AG4:AG67" si="2">Z4</f>
        <v>Q2</v>
      </c>
      <c r="AH4" s="19">
        <f t="shared" ref="AH4:AH67" si="3">AA4</f>
        <v>1209.22</v>
      </c>
      <c r="AI4" s="11" t="str">
        <f t="shared" ref="AI4:AI67" si="4">AB4</f>
        <v>0.1-0.2</v>
      </c>
    </row>
    <row r="5" spans="1:35" x14ac:dyDescent="0.25">
      <c r="A5" s="25" t="s">
        <v>1444</v>
      </c>
      <c r="B5" s="19">
        <v>849078.84242892009</v>
      </c>
      <c r="H5" s="25" t="s">
        <v>646</v>
      </c>
      <c r="I5" s="19">
        <v>127780.36154975997</v>
      </c>
      <c r="J5" s="19">
        <v>115663.95359717002</v>
      </c>
      <c r="K5" s="19">
        <v>96681.533956000014</v>
      </c>
      <c r="L5" s="19">
        <v>93027.888234769969</v>
      </c>
      <c r="M5" s="19">
        <v>87748.836085789968</v>
      </c>
      <c r="N5" s="19">
        <v>12862.25821589</v>
      </c>
      <c r="O5" s="19">
        <v>533764.83163937996</v>
      </c>
      <c r="R5" s="25" t="s">
        <v>1345</v>
      </c>
      <c r="S5" s="19">
        <v>45921.930324399997</v>
      </c>
      <c r="T5" s="30">
        <v>0.57163590338715287</v>
      </c>
      <c r="X5" t="s">
        <v>464</v>
      </c>
      <c r="Y5" t="s">
        <v>647</v>
      </c>
      <c r="Z5" t="s">
        <v>1507</v>
      </c>
      <c r="AA5" s="19">
        <v>946.99</v>
      </c>
      <c r="AB5" s="30" t="s">
        <v>1499</v>
      </c>
      <c r="AC5" s="56"/>
      <c r="AE5" s="4" t="str">
        <f t="shared" si="0"/>
        <v>ORD-2023-109927</v>
      </c>
      <c r="AF5" s="4" t="str">
        <f t="shared" si="1"/>
        <v>Asia</v>
      </c>
      <c r="AG5" s="4" t="str">
        <f t="shared" si="2"/>
        <v>Q3</v>
      </c>
      <c r="AH5" s="19">
        <f t="shared" si="3"/>
        <v>946.99</v>
      </c>
      <c r="AI5" s="11" t="str">
        <f t="shared" si="4"/>
        <v>0.1-0.2</v>
      </c>
    </row>
    <row r="6" spans="1:35" x14ac:dyDescent="0.25">
      <c r="A6" s="25" t="s">
        <v>1445</v>
      </c>
      <c r="B6" s="19">
        <v>699940.27634832996</v>
      </c>
      <c r="H6" s="25" t="s">
        <v>648</v>
      </c>
      <c r="I6" s="19">
        <v>175514.36648371004</v>
      </c>
      <c r="J6" s="19">
        <v>104438.95285786001</v>
      </c>
      <c r="K6" s="19">
        <v>53060.27541222002</v>
      </c>
      <c r="L6" s="19">
        <v>181844.58170268999</v>
      </c>
      <c r="M6" s="19">
        <v>27320.005694799984</v>
      </c>
      <c r="N6" s="19">
        <v>777.95999999999913</v>
      </c>
      <c r="O6" s="19">
        <v>542956.14215127996</v>
      </c>
      <c r="R6" s="25" t="s">
        <v>1096</v>
      </c>
      <c r="S6" s="19">
        <v>42149.285558719988</v>
      </c>
      <c r="T6" s="30">
        <v>0.51806221374218386</v>
      </c>
      <c r="X6" t="s">
        <v>22</v>
      </c>
      <c r="Y6" t="s">
        <v>646</v>
      </c>
      <c r="Z6" t="s">
        <v>1505</v>
      </c>
      <c r="AA6" s="19">
        <v>28.38</v>
      </c>
      <c r="AB6" s="30" t="s">
        <v>1499</v>
      </c>
      <c r="AC6" s="56"/>
      <c r="AE6" s="4" t="str">
        <f t="shared" si="0"/>
        <v>ORD-2023-112666</v>
      </c>
      <c r="AF6" s="4" t="str">
        <f t="shared" si="1"/>
        <v>Africa</v>
      </c>
      <c r="AG6" s="4" t="str">
        <f t="shared" si="2"/>
        <v>Q1</v>
      </c>
      <c r="AH6" s="19">
        <f t="shared" si="3"/>
        <v>28.38</v>
      </c>
      <c r="AI6" s="11" t="str">
        <f t="shared" si="4"/>
        <v>0.1-0.2</v>
      </c>
    </row>
    <row r="7" spans="1:35" x14ac:dyDescent="0.25">
      <c r="A7" s="25" t="s">
        <v>1446</v>
      </c>
      <c r="B7" s="19">
        <v>826169.27736704005</v>
      </c>
      <c r="H7" s="25" t="s">
        <v>647</v>
      </c>
      <c r="I7" s="19">
        <v>154525.01600788001</v>
      </c>
      <c r="J7" s="19">
        <v>82314.573984050003</v>
      </c>
      <c r="K7" s="19">
        <v>35587.826734380011</v>
      </c>
      <c r="L7" s="19">
        <v>110282.29477534996</v>
      </c>
      <c r="M7" s="19">
        <v>76616.391801780017</v>
      </c>
      <c r="N7" s="19">
        <v>13685.926910310001</v>
      </c>
      <c r="O7" s="19">
        <v>473012.03021375003</v>
      </c>
      <c r="R7" s="25" t="s">
        <v>957</v>
      </c>
      <c r="S7" s="19">
        <v>34798.743868799982</v>
      </c>
      <c r="T7" s="30">
        <v>0.5473880897111062</v>
      </c>
      <c r="X7" t="s">
        <v>533</v>
      </c>
      <c r="Y7" t="s">
        <v>646</v>
      </c>
      <c r="Z7" t="s">
        <v>1506</v>
      </c>
      <c r="AA7" s="19">
        <v>327.97</v>
      </c>
      <c r="AB7" s="30" t="s">
        <v>1498</v>
      </c>
      <c r="AC7" s="56"/>
      <c r="AE7" s="4" t="str">
        <f t="shared" si="0"/>
        <v>ORD-2023-125739</v>
      </c>
      <c r="AF7" s="4" t="str">
        <f t="shared" si="1"/>
        <v>Africa</v>
      </c>
      <c r="AG7" s="4" t="str">
        <f t="shared" si="2"/>
        <v>Q2</v>
      </c>
      <c r="AH7" s="19">
        <f t="shared" si="3"/>
        <v>327.97</v>
      </c>
      <c r="AI7" s="11" t="str">
        <f t="shared" si="4"/>
        <v>0-0.1</v>
      </c>
    </row>
    <row r="8" spans="1:35" x14ac:dyDescent="0.25">
      <c r="A8" s="25" t="s">
        <v>1447</v>
      </c>
      <c r="B8" s="19">
        <v>1143465.3255961097</v>
      </c>
      <c r="H8" s="25" t="s">
        <v>649</v>
      </c>
      <c r="I8" s="19">
        <v>181830.29148414001</v>
      </c>
      <c r="J8" s="19">
        <v>76156.020964699987</v>
      </c>
      <c r="K8" s="19">
        <v>43264.465382850009</v>
      </c>
      <c r="L8" s="19">
        <v>132913.82107929004</v>
      </c>
      <c r="M8" s="19">
        <v>120954.58469904997</v>
      </c>
      <c r="N8" s="19">
        <v>7009.1657569400004</v>
      </c>
      <c r="O8" s="19">
        <v>562128.34936697001</v>
      </c>
      <c r="R8" s="25" t="s">
        <v>1164</v>
      </c>
      <c r="S8" s="19">
        <v>32830.14</v>
      </c>
      <c r="T8" s="30">
        <v>0.56547483406579491</v>
      </c>
      <c r="X8" t="s">
        <v>588</v>
      </c>
      <c r="Y8" t="s">
        <v>648</v>
      </c>
      <c r="Z8" t="s">
        <v>1508</v>
      </c>
      <c r="AA8" s="19">
        <v>856.1</v>
      </c>
      <c r="AB8" s="30" t="s">
        <v>1498</v>
      </c>
      <c r="AC8" s="56"/>
      <c r="AE8" s="4" t="str">
        <f t="shared" si="0"/>
        <v>ORD-2023-126505</v>
      </c>
      <c r="AF8" s="4" t="str">
        <f t="shared" si="1"/>
        <v>Americas</v>
      </c>
      <c r="AG8" s="4" t="str">
        <f t="shared" si="2"/>
        <v>Q4</v>
      </c>
      <c r="AH8" s="19">
        <f t="shared" si="3"/>
        <v>856.1</v>
      </c>
      <c r="AI8" s="11" t="str">
        <f t="shared" si="4"/>
        <v>0-0.1</v>
      </c>
    </row>
    <row r="9" spans="1:35" x14ac:dyDescent="0.25">
      <c r="A9" s="25" t="s">
        <v>1448</v>
      </c>
      <c r="B9" s="19">
        <v>1129353.8751600902</v>
      </c>
      <c r="H9" s="25" t="s">
        <v>1441</v>
      </c>
      <c r="I9" s="19">
        <v>639650.03552548995</v>
      </c>
      <c r="J9" s="19">
        <v>378573.50140378001</v>
      </c>
      <c r="K9" s="19">
        <v>228594.10148545005</v>
      </c>
      <c r="L9" s="19">
        <v>518068.58579209994</v>
      </c>
      <c r="M9" s="19">
        <v>312639.81828141992</v>
      </c>
      <c r="N9" s="19">
        <v>34335.310883140002</v>
      </c>
      <c r="O9" s="19">
        <v>2111861.3533713799</v>
      </c>
      <c r="R9" s="25" t="s">
        <v>971</v>
      </c>
      <c r="S9" s="19">
        <v>32063.753504959997</v>
      </c>
      <c r="T9" s="30">
        <v>0.27803664009457946</v>
      </c>
      <c r="X9" t="s">
        <v>61</v>
      </c>
      <c r="Y9" t="s">
        <v>646</v>
      </c>
      <c r="Z9" t="s">
        <v>1506</v>
      </c>
      <c r="AA9" s="19">
        <v>337.75</v>
      </c>
      <c r="AB9" s="30" t="s">
        <v>1498</v>
      </c>
      <c r="AC9" s="56"/>
      <c r="AE9" s="4" t="str">
        <f t="shared" si="0"/>
        <v>ORD-2023-128295</v>
      </c>
      <c r="AF9" s="4" t="str">
        <f t="shared" si="1"/>
        <v>Africa</v>
      </c>
      <c r="AG9" s="4" t="str">
        <f t="shared" si="2"/>
        <v>Q2</v>
      </c>
      <c r="AH9" s="19">
        <f t="shared" si="3"/>
        <v>337.75</v>
      </c>
      <c r="AI9" s="11" t="str">
        <f t="shared" si="4"/>
        <v>0-0.1</v>
      </c>
    </row>
    <row r="10" spans="1:35" x14ac:dyDescent="0.25">
      <c r="A10" s="25" t="s">
        <v>1449</v>
      </c>
      <c r="B10" s="19">
        <v>1150273.1789273496</v>
      </c>
      <c r="J10" s="19"/>
      <c r="K10" s="19"/>
      <c r="L10" s="19"/>
      <c r="M10" s="19"/>
      <c r="N10" s="19"/>
      <c r="R10" s="25" t="s">
        <v>834</v>
      </c>
      <c r="S10" s="19">
        <v>31475.329999999998</v>
      </c>
      <c r="T10" s="30">
        <v>0.59634877331538205</v>
      </c>
      <c r="X10" t="s">
        <v>382</v>
      </c>
      <c r="Y10" t="s">
        <v>648</v>
      </c>
      <c r="Z10" t="s">
        <v>1507</v>
      </c>
      <c r="AA10" s="19">
        <v>1279.56</v>
      </c>
      <c r="AB10" s="30" t="s">
        <v>1499</v>
      </c>
      <c r="AC10" s="56"/>
      <c r="AE10" s="4" t="str">
        <f t="shared" si="0"/>
        <v>ORD-2023-132101</v>
      </c>
      <c r="AF10" s="4" t="str">
        <f t="shared" si="1"/>
        <v>Americas</v>
      </c>
      <c r="AG10" s="4" t="str">
        <f t="shared" si="2"/>
        <v>Q3</v>
      </c>
      <c r="AH10" s="19">
        <f t="shared" si="3"/>
        <v>1279.56</v>
      </c>
      <c r="AI10" s="11" t="str">
        <f t="shared" si="4"/>
        <v>0.1-0.2</v>
      </c>
    </row>
    <row r="11" spans="1:35" x14ac:dyDescent="0.25">
      <c r="A11" s="25" t="s">
        <v>1450</v>
      </c>
      <c r="B11" s="19">
        <v>961205.12200742972</v>
      </c>
      <c r="J11" s="19"/>
      <c r="K11" s="19"/>
      <c r="L11" s="19"/>
      <c r="M11" s="19"/>
      <c r="N11" s="19"/>
      <c r="R11" s="25" t="s">
        <v>1155</v>
      </c>
      <c r="S11" s="19">
        <v>30931.040139719982</v>
      </c>
      <c r="T11" s="30">
        <v>0.35928876098819978</v>
      </c>
      <c r="X11" t="s">
        <v>216</v>
      </c>
      <c r="Y11" t="s">
        <v>648</v>
      </c>
      <c r="Z11" t="s">
        <v>1507</v>
      </c>
      <c r="AA11" s="19">
        <v>590.33000000000004</v>
      </c>
      <c r="AB11" s="30" t="s">
        <v>1498</v>
      </c>
      <c r="AC11" s="56"/>
      <c r="AE11" s="4" t="str">
        <f t="shared" si="0"/>
        <v>ORD-2023-133848</v>
      </c>
      <c r="AF11" s="4" t="str">
        <f t="shared" si="1"/>
        <v>Americas</v>
      </c>
      <c r="AG11" s="4" t="str">
        <f t="shared" si="2"/>
        <v>Q3</v>
      </c>
      <c r="AH11" s="19">
        <f t="shared" si="3"/>
        <v>590.33000000000004</v>
      </c>
      <c r="AI11" s="11" t="str">
        <f t="shared" si="4"/>
        <v>0-0.1</v>
      </c>
    </row>
    <row r="12" spans="1:35" x14ac:dyDescent="0.25">
      <c r="A12" s="25" t="s">
        <v>1451</v>
      </c>
      <c r="B12" s="19">
        <v>571165.24069643999</v>
      </c>
      <c r="J12" s="19"/>
      <c r="K12" s="19"/>
      <c r="L12" s="19"/>
      <c r="M12" s="19"/>
      <c r="N12" s="19"/>
      <c r="R12" s="25" t="s">
        <v>1080</v>
      </c>
      <c r="S12" s="19">
        <v>28504.178787970006</v>
      </c>
      <c r="T12" s="30">
        <v>0.40182380502071502</v>
      </c>
      <c r="X12" t="s">
        <v>566</v>
      </c>
      <c r="Y12" t="s">
        <v>647</v>
      </c>
      <c r="Z12" t="s">
        <v>1505</v>
      </c>
      <c r="AA12" s="19">
        <v>1171.17</v>
      </c>
      <c r="AB12" s="30" t="s">
        <v>1499</v>
      </c>
      <c r="AC12" s="56"/>
      <c r="AE12" s="4" t="str">
        <f t="shared" si="0"/>
        <v>ORD-2023-139236</v>
      </c>
      <c r="AF12" s="4" t="str">
        <f t="shared" si="1"/>
        <v>Asia</v>
      </c>
      <c r="AG12" s="4" t="str">
        <f t="shared" si="2"/>
        <v>Q1</v>
      </c>
      <c r="AH12" s="19">
        <f t="shared" si="3"/>
        <v>1171.17</v>
      </c>
      <c r="AI12" s="11" t="str">
        <f t="shared" si="4"/>
        <v>0.1-0.2</v>
      </c>
    </row>
    <row r="13" spans="1:35" x14ac:dyDescent="0.25">
      <c r="A13" s="25" t="s">
        <v>1452</v>
      </c>
      <c r="B13" s="19">
        <v>560649.84003024991</v>
      </c>
      <c r="J13" s="19"/>
      <c r="K13" s="19"/>
      <c r="L13" s="19"/>
      <c r="M13" s="19"/>
      <c r="N13" s="19"/>
      <c r="R13" s="25" t="s">
        <v>1254</v>
      </c>
      <c r="S13" s="19">
        <v>28191.999300000003</v>
      </c>
      <c r="T13" s="30">
        <v>0.48797306388620471</v>
      </c>
      <c r="X13" t="s">
        <v>339</v>
      </c>
      <c r="Y13" t="s">
        <v>646</v>
      </c>
      <c r="Z13" t="s">
        <v>1506</v>
      </c>
      <c r="AA13" s="19">
        <v>653.86</v>
      </c>
      <c r="AB13" s="30" t="s">
        <v>1499</v>
      </c>
      <c r="AC13" s="56"/>
      <c r="AE13" s="4" t="str">
        <f t="shared" si="0"/>
        <v>ORD-2023-144816</v>
      </c>
      <c r="AF13" s="4" t="str">
        <f t="shared" si="1"/>
        <v>Africa</v>
      </c>
      <c r="AG13" s="4" t="str">
        <f t="shared" si="2"/>
        <v>Q2</v>
      </c>
      <c r="AH13" s="19">
        <f t="shared" si="3"/>
        <v>653.86</v>
      </c>
      <c r="AI13" s="11" t="str">
        <f t="shared" si="4"/>
        <v>0.1-0.2</v>
      </c>
    </row>
    <row r="14" spans="1:35" x14ac:dyDescent="0.25">
      <c r="A14" s="25" t="s">
        <v>1453</v>
      </c>
      <c r="B14" s="19">
        <v>466577.44179933006</v>
      </c>
      <c r="J14" s="19"/>
      <c r="K14" s="19"/>
      <c r="L14" s="19"/>
      <c r="M14" s="19"/>
      <c r="N14" s="19"/>
      <c r="R14" s="25" t="s">
        <v>1441</v>
      </c>
      <c r="S14" s="19">
        <v>372055.06148456997</v>
      </c>
      <c r="T14" s="30">
        <v>0.49227573963566085</v>
      </c>
      <c r="X14" t="s">
        <v>453</v>
      </c>
      <c r="Y14" t="s">
        <v>646</v>
      </c>
      <c r="Z14" t="s">
        <v>1505</v>
      </c>
      <c r="AA14" s="19">
        <v>352.65</v>
      </c>
      <c r="AB14" s="30" t="s">
        <v>1498</v>
      </c>
      <c r="AC14" s="56"/>
      <c r="AE14" s="4" t="str">
        <f t="shared" si="0"/>
        <v>ORD-2023-156396</v>
      </c>
      <c r="AF14" s="4" t="str">
        <f t="shared" si="1"/>
        <v>Africa</v>
      </c>
      <c r="AG14" s="4" t="str">
        <f t="shared" si="2"/>
        <v>Q1</v>
      </c>
      <c r="AH14" s="19">
        <f t="shared" si="3"/>
        <v>352.65</v>
      </c>
      <c r="AI14" s="11" t="str">
        <f t="shared" si="4"/>
        <v>0-0.1</v>
      </c>
    </row>
    <row r="15" spans="1:35" x14ac:dyDescent="0.25">
      <c r="A15" s="25" t="s">
        <v>1454</v>
      </c>
      <c r="B15" s="19">
        <v>656137.93607274012</v>
      </c>
      <c r="J15" s="19"/>
      <c r="K15" s="19"/>
      <c r="L15" s="19"/>
      <c r="M15" s="19"/>
      <c r="N15" s="19"/>
      <c r="X15" t="s">
        <v>181</v>
      </c>
      <c r="Y15" t="s">
        <v>647</v>
      </c>
      <c r="Z15" t="s">
        <v>1506</v>
      </c>
      <c r="AA15" s="19">
        <v>329.03</v>
      </c>
      <c r="AB15" s="30" t="s">
        <v>1499</v>
      </c>
      <c r="AC15" s="56"/>
      <c r="AE15" s="4" t="str">
        <f t="shared" si="0"/>
        <v>ORD-2023-157993</v>
      </c>
      <c r="AF15" s="4" t="str">
        <f t="shared" si="1"/>
        <v>Asia</v>
      </c>
      <c r="AG15" s="4" t="str">
        <f t="shared" si="2"/>
        <v>Q2</v>
      </c>
      <c r="AH15" s="19">
        <f t="shared" si="3"/>
        <v>329.03</v>
      </c>
      <c r="AI15" s="11" t="str">
        <f t="shared" si="4"/>
        <v>0.1-0.2</v>
      </c>
    </row>
    <row r="16" spans="1:35" x14ac:dyDescent="0.25">
      <c r="A16" s="25" t="s">
        <v>1441</v>
      </c>
      <c r="B16" s="19">
        <v>9639609.0633713789</v>
      </c>
      <c r="J16" s="19"/>
      <c r="K16" s="19"/>
      <c r="L16" s="19"/>
      <c r="M16" s="19"/>
      <c r="N16" s="19"/>
      <c r="X16" t="s">
        <v>95</v>
      </c>
      <c r="Y16" t="s">
        <v>646</v>
      </c>
      <c r="Z16" t="s">
        <v>1505</v>
      </c>
      <c r="AA16" s="19">
        <v>1410.05</v>
      </c>
      <c r="AB16" s="30" t="s">
        <v>1499</v>
      </c>
      <c r="AC16" s="56"/>
      <c r="AE16" s="4" t="str">
        <f t="shared" si="0"/>
        <v>ORD-2023-159379</v>
      </c>
      <c r="AF16" s="4" t="str">
        <f t="shared" si="1"/>
        <v>Africa</v>
      </c>
      <c r="AG16" s="4" t="str">
        <f t="shared" si="2"/>
        <v>Q1</v>
      </c>
      <c r="AH16" s="19">
        <f t="shared" si="3"/>
        <v>1410.05</v>
      </c>
      <c r="AI16" s="11" t="str">
        <f t="shared" si="4"/>
        <v>0.1-0.2</v>
      </c>
    </row>
    <row r="17" spans="10:35" x14ac:dyDescent="0.25">
      <c r="J17" s="19"/>
      <c r="K17" s="19"/>
      <c r="L17" s="19"/>
      <c r="M17" s="19"/>
      <c r="N17" s="19"/>
      <c r="X17" t="s">
        <v>376</v>
      </c>
      <c r="Y17" t="s">
        <v>646</v>
      </c>
      <c r="Z17" t="s">
        <v>1507</v>
      </c>
      <c r="AA17" s="19">
        <v>834.26</v>
      </c>
      <c r="AB17" s="30" t="s">
        <v>1498</v>
      </c>
      <c r="AC17" s="56"/>
      <c r="AE17" s="4" t="str">
        <f t="shared" si="0"/>
        <v>ORD-2023-159821</v>
      </c>
      <c r="AF17" s="4" t="str">
        <f t="shared" si="1"/>
        <v>Africa</v>
      </c>
      <c r="AG17" s="4" t="str">
        <f t="shared" si="2"/>
        <v>Q3</v>
      </c>
      <c r="AH17" s="19">
        <f t="shared" si="3"/>
        <v>834.26</v>
      </c>
      <c r="AI17" s="11" t="str">
        <f t="shared" si="4"/>
        <v>0-0.1</v>
      </c>
    </row>
    <row r="18" spans="10:35" x14ac:dyDescent="0.25">
      <c r="J18" s="19"/>
      <c r="K18" s="19"/>
      <c r="L18" s="19"/>
      <c r="M18" s="19"/>
      <c r="N18" s="19"/>
      <c r="X18" t="s">
        <v>343</v>
      </c>
      <c r="Y18" t="s">
        <v>648</v>
      </c>
      <c r="Z18" t="s">
        <v>1508</v>
      </c>
      <c r="AA18" s="19">
        <v>1373.31</v>
      </c>
      <c r="AB18" s="30" t="s">
        <v>1500</v>
      </c>
      <c r="AC18" s="56"/>
      <c r="AE18" s="4" t="str">
        <f t="shared" si="0"/>
        <v>ORD-2023-163610</v>
      </c>
      <c r="AF18" s="4" t="str">
        <f t="shared" si="1"/>
        <v>Americas</v>
      </c>
      <c r="AG18" s="4" t="str">
        <f t="shared" si="2"/>
        <v>Q4</v>
      </c>
      <c r="AH18" s="19">
        <f t="shared" si="3"/>
        <v>1373.31</v>
      </c>
      <c r="AI18" s="11" t="str">
        <f t="shared" si="4"/>
        <v>0.2-0.3</v>
      </c>
    </row>
    <row r="19" spans="10:35" x14ac:dyDescent="0.25">
      <c r="J19" s="19"/>
      <c r="K19" s="19"/>
      <c r="L19" s="19"/>
      <c r="M19" s="19"/>
      <c r="N19" s="19"/>
      <c r="X19" t="s">
        <v>315</v>
      </c>
      <c r="Y19" t="s">
        <v>647</v>
      </c>
      <c r="Z19" t="s">
        <v>1508</v>
      </c>
      <c r="AA19" s="19">
        <v>649.91</v>
      </c>
      <c r="AB19" s="30" t="s">
        <v>1499</v>
      </c>
      <c r="AC19" s="56"/>
      <c r="AE19" s="4" t="str">
        <f t="shared" si="0"/>
        <v>ORD-2023-166668</v>
      </c>
      <c r="AF19" s="4" t="str">
        <f t="shared" si="1"/>
        <v>Asia</v>
      </c>
      <c r="AG19" s="4" t="str">
        <f t="shared" si="2"/>
        <v>Q4</v>
      </c>
      <c r="AH19" s="19">
        <f t="shared" si="3"/>
        <v>649.91</v>
      </c>
      <c r="AI19" s="11" t="str">
        <f t="shared" si="4"/>
        <v>0.1-0.2</v>
      </c>
    </row>
    <row r="20" spans="10:35" x14ac:dyDescent="0.25">
      <c r="J20" s="19"/>
      <c r="K20" s="19"/>
      <c r="L20" s="19"/>
      <c r="M20" s="19"/>
      <c r="N20" s="19"/>
      <c r="X20" t="s">
        <v>468</v>
      </c>
      <c r="Y20" t="s">
        <v>648</v>
      </c>
      <c r="Z20" t="s">
        <v>1506</v>
      </c>
      <c r="AA20" s="19">
        <v>813.97</v>
      </c>
      <c r="AB20" s="30" t="s">
        <v>1498</v>
      </c>
      <c r="AC20" s="56"/>
      <c r="AE20" s="4" t="str">
        <f t="shared" si="0"/>
        <v>ORD-2023-172095</v>
      </c>
      <c r="AF20" s="4" t="str">
        <f t="shared" si="1"/>
        <v>Americas</v>
      </c>
      <c r="AG20" s="4" t="str">
        <f t="shared" si="2"/>
        <v>Q2</v>
      </c>
      <c r="AH20" s="19">
        <f t="shared" si="3"/>
        <v>813.97</v>
      </c>
      <c r="AI20" s="11" t="str">
        <f t="shared" si="4"/>
        <v>0-0.1</v>
      </c>
    </row>
    <row r="21" spans="10:35" x14ac:dyDescent="0.25">
      <c r="J21" s="19"/>
      <c r="K21" s="19"/>
      <c r="L21" s="19"/>
      <c r="M21" s="19"/>
      <c r="N21" s="19"/>
      <c r="X21" t="s">
        <v>592</v>
      </c>
      <c r="Y21" t="s">
        <v>649</v>
      </c>
      <c r="Z21" t="s">
        <v>1506</v>
      </c>
      <c r="AA21" s="19">
        <v>751.28</v>
      </c>
      <c r="AB21" s="30" t="s">
        <v>1499</v>
      </c>
      <c r="AC21" s="56"/>
      <c r="AE21" s="4" t="str">
        <f t="shared" si="0"/>
        <v>ORD-2023-173313</v>
      </c>
      <c r="AF21" s="4" t="str">
        <f t="shared" si="1"/>
        <v>Europe</v>
      </c>
      <c r="AG21" s="4" t="str">
        <f t="shared" si="2"/>
        <v>Q2</v>
      </c>
      <c r="AH21" s="19">
        <f t="shared" si="3"/>
        <v>751.28</v>
      </c>
      <c r="AI21" s="11" t="str">
        <f t="shared" si="4"/>
        <v>0.1-0.2</v>
      </c>
    </row>
    <row r="22" spans="10:35" x14ac:dyDescent="0.25">
      <c r="J22" s="19"/>
      <c r="K22" s="19"/>
      <c r="L22" s="19"/>
      <c r="M22" s="19"/>
      <c r="N22" s="19"/>
      <c r="X22" t="s">
        <v>208</v>
      </c>
      <c r="Y22" t="s">
        <v>648</v>
      </c>
      <c r="Z22" t="s">
        <v>1506</v>
      </c>
      <c r="AA22" s="19">
        <v>249.71</v>
      </c>
      <c r="AB22" s="30" t="s">
        <v>1498</v>
      </c>
      <c r="AC22" s="56"/>
      <c r="AE22" s="4" t="str">
        <f t="shared" si="0"/>
        <v>ORD-2023-177794</v>
      </c>
      <c r="AF22" s="4" t="str">
        <f t="shared" si="1"/>
        <v>Americas</v>
      </c>
      <c r="AG22" s="4" t="str">
        <f t="shared" si="2"/>
        <v>Q2</v>
      </c>
      <c r="AH22" s="19">
        <f t="shared" si="3"/>
        <v>249.71</v>
      </c>
      <c r="AI22" s="11" t="str">
        <f t="shared" si="4"/>
        <v>0-0.1</v>
      </c>
    </row>
    <row r="23" spans="10:35" x14ac:dyDescent="0.25">
      <c r="J23" s="19"/>
      <c r="K23" s="19"/>
      <c r="L23" s="19"/>
      <c r="M23" s="19"/>
      <c r="N23" s="19"/>
      <c r="X23" t="s">
        <v>137</v>
      </c>
      <c r="Y23" t="s">
        <v>646</v>
      </c>
      <c r="Z23" t="s">
        <v>1508</v>
      </c>
      <c r="AA23" s="19">
        <v>1395.49</v>
      </c>
      <c r="AB23" s="30" t="s">
        <v>1500</v>
      </c>
      <c r="AC23" s="56"/>
      <c r="AE23" s="4" t="str">
        <f t="shared" si="0"/>
        <v>ORD-2023-178249</v>
      </c>
      <c r="AF23" s="4" t="str">
        <f t="shared" si="1"/>
        <v>Africa</v>
      </c>
      <c r="AG23" s="4" t="str">
        <f t="shared" si="2"/>
        <v>Q4</v>
      </c>
      <c r="AH23" s="19">
        <f t="shared" si="3"/>
        <v>1395.49</v>
      </c>
      <c r="AI23" s="11" t="str">
        <f t="shared" si="4"/>
        <v>0.2-0.3</v>
      </c>
    </row>
    <row r="24" spans="10:35" x14ac:dyDescent="0.25">
      <c r="J24" s="19"/>
      <c r="K24" s="19"/>
      <c r="L24" s="19"/>
      <c r="M24" s="19"/>
      <c r="N24" s="19"/>
      <c r="X24" t="s">
        <v>347</v>
      </c>
      <c r="Y24" t="s">
        <v>649</v>
      </c>
      <c r="Z24" t="s">
        <v>1508</v>
      </c>
      <c r="AA24" s="19">
        <v>1184.99</v>
      </c>
      <c r="AB24" s="30" t="s">
        <v>1498</v>
      </c>
      <c r="AC24" s="56"/>
      <c r="AE24" s="4" t="str">
        <f t="shared" si="0"/>
        <v>ORD-2023-181257</v>
      </c>
      <c r="AF24" s="4" t="str">
        <f t="shared" si="1"/>
        <v>Europe</v>
      </c>
      <c r="AG24" s="4" t="str">
        <f t="shared" si="2"/>
        <v>Q4</v>
      </c>
      <c r="AH24" s="19">
        <f t="shared" si="3"/>
        <v>1184.99</v>
      </c>
      <c r="AI24" s="11" t="str">
        <f t="shared" si="4"/>
        <v>0-0.1</v>
      </c>
    </row>
    <row r="25" spans="10:35" x14ac:dyDescent="0.25">
      <c r="J25" s="19"/>
      <c r="K25" s="19"/>
      <c r="L25" s="19"/>
      <c r="M25" s="19"/>
      <c r="N25" s="19"/>
      <c r="X25" t="s">
        <v>454</v>
      </c>
      <c r="Y25" t="s">
        <v>647</v>
      </c>
      <c r="Z25" t="s">
        <v>1506</v>
      </c>
      <c r="AA25" s="19">
        <v>979.59</v>
      </c>
      <c r="AB25" s="30" t="s">
        <v>1499</v>
      </c>
      <c r="AC25" s="56"/>
      <c r="AE25" s="4" t="str">
        <f t="shared" si="0"/>
        <v>ORD-2023-184577</v>
      </c>
      <c r="AF25" s="4" t="str">
        <f t="shared" si="1"/>
        <v>Asia</v>
      </c>
      <c r="AG25" s="4" t="str">
        <f t="shared" si="2"/>
        <v>Q2</v>
      </c>
      <c r="AH25" s="19">
        <f t="shared" si="3"/>
        <v>979.59</v>
      </c>
      <c r="AI25" s="11" t="str">
        <f t="shared" si="4"/>
        <v>0.1-0.2</v>
      </c>
    </row>
    <row r="26" spans="10:35" x14ac:dyDescent="0.25">
      <c r="J26" s="19"/>
      <c r="K26" s="19"/>
      <c r="L26" s="19"/>
      <c r="M26" s="19"/>
      <c r="N26" s="19"/>
      <c r="X26" t="s">
        <v>472</v>
      </c>
      <c r="Y26" t="s">
        <v>649</v>
      </c>
      <c r="Z26" t="s">
        <v>1508</v>
      </c>
      <c r="AA26" s="19">
        <v>174.74</v>
      </c>
      <c r="AB26" s="30" t="s">
        <v>1499</v>
      </c>
      <c r="AC26" s="56"/>
      <c r="AE26" s="4" t="str">
        <f t="shared" si="0"/>
        <v>ORD-2023-191563</v>
      </c>
      <c r="AF26" s="4" t="str">
        <f t="shared" si="1"/>
        <v>Europe</v>
      </c>
      <c r="AG26" s="4" t="str">
        <f t="shared" si="2"/>
        <v>Q4</v>
      </c>
      <c r="AH26" s="19">
        <f t="shared" si="3"/>
        <v>174.74</v>
      </c>
      <c r="AI26" s="11" t="str">
        <f t="shared" si="4"/>
        <v>0.1-0.2</v>
      </c>
    </row>
    <row r="27" spans="10:35" x14ac:dyDescent="0.25">
      <c r="J27" s="19"/>
      <c r="K27" s="19"/>
      <c r="L27" s="19"/>
      <c r="M27" s="19"/>
      <c r="N27" s="19"/>
      <c r="X27" t="s">
        <v>163</v>
      </c>
      <c r="Y27" t="s">
        <v>649</v>
      </c>
      <c r="Z27" t="s">
        <v>1507</v>
      </c>
      <c r="AA27" s="19">
        <v>376.83</v>
      </c>
      <c r="AB27" s="30" t="s">
        <v>1499</v>
      </c>
      <c r="AC27" s="56"/>
      <c r="AE27" s="4" t="str">
        <f t="shared" si="0"/>
        <v>ORD-2023-192324</v>
      </c>
      <c r="AF27" s="4" t="str">
        <f t="shared" si="1"/>
        <v>Europe</v>
      </c>
      <c r="AG27" s="4" t="str">
        <f t="shared" si="2"/>
        <v>Q3</v>
      </c>
      <c r="AH27" s="19">
        <f t="shared" si="3"/>
        <v>376.83</v>
      </c>
      <c r="AI27" s="11" t="str">
        <f t="shared" si="4"/>
        <v>0.1-0.2</v>
      </c>
    </row>
    <row r="28" spans="10:35" x14ac:dyDescent="0.25">
      <c r="J28" s="19"/>
      <c r="K28" s="19"/>
      <c r="L28" s="19"/>
      <c r="M28" s="19"/>
      <c r="N28" s="19"/>
      <c r="X28" t="s">
        <v>239</v>
      </c>
      <c r="Y28" t="s">
        <v>648</v>
      </c>
      <c r="Z28" t="s">
        <v>1508</v>
      </c>
      <c r="AA28" s="19">
        <v>1080.43</v>
      </c>
      <c r="AB28" s="30" t="s">
        <v>1499</v>
      </c>
      <c r="AC28" s="56"/>
      <c r="AE28" s="4" t="str">
        <f t="shared" si="0"/>
        <v>ORD-2023-195665</v>
      </c>
      <c r="AF28" s="4" t="str">
        <f t="shared" si="1"/>
        <v>Americas</v>
      </c>
      <c r="AG28" s="4" t="str">
        <f t="shared" si="2"/>
        <v>Q4</v>
      </c>
      <c r="AH28" s="19">
        <f t="shared" si="3"/>
        <v>1080.43</v>
      </c>
      <c r="AI28" s="11" t="str">
        <f t="shared" si="4"/>
        <v>0.1-0.2</v>
      </c>
    </row>
    <row r="29" spans="10:35" x14ac:dyDescent="0.25">
      <c r="J29" s="19"/>
      <c r="K29" s="19"/>
      <c r="L29" s="19"/>
      <c r="M29" s="19"/>
      <c r="N29" s="19"/>
      <c r="X29" t="s">
        <v>205</v>
      </c>
      <c r="Y29" t="s">
        <v>649</v>
      </c>
      <c r="Z29" t="s">
        <v>1507</v>
      </c>
      <c r="AA29" s="19">
        <v>446.69</v>
      </c>
      <c r="AB29" s="30" t="s">
        <v>1498</v>
      </c>
      <c r="AC29" s="56"/>
      <c r="AE29" s="4" t="str">
        <f t="shared" si="0"/>
        <v>ORD-2023-197661</v>
      </c>
      <c r="AF29" s="4" t="str">
        <f t="shared" si="1"/>
        <v>Europe</v>
      </c>
      <c r="AG29" s="4" t="str">
        <f t="shared" si="2"/>
        <v>Q3</v>
      </c>
      <c r="AH29" s="19">
        <f t="shared" si="3"/>
        <v>446.69</v>
      </c>
      <c r="AI29" s="11" t="str">
        <f t="shared" si="4"/>
        <v>0-0.1</v>
      </c>
    </row>
    <row r="30" spans="10:35" x14ac:dyDescent="0.25">
      <c r="J30" s="19"/>
      <c r="K30" s="19"/>
      <c r="L30" s="19"/>
      <c r="M30" s="19"/>
      <c r="N30" s="19"/>
      <c r="X30" t="s">
        <v>362</v>
      </c>
      <c r="Y30" t="s">
        <v>646</v>
      </c>
      <c r="Z30" t="s">
        <v>1508</v>
      </c>
      <c r="AA30" s="19">
        <v>932.61</v>
      </c>
      <c r="AB30" s="30" t="s">
        <v>1499</v>
      </c>
      <c r="AC30" s="56"/>
      <c r="AE30" s="4" t="str">
        <f t="shared" si="0"/>
        <v>ORD-2023-208944</v>
      </c>
      <c r="AF30" s="4" t="str">
        <f t="shared" si="1"/>
        <v>Africa</v>
      </c>
      <c r="AG30" s="4" t="str">
        <f t="shared" si="2"/>
        <v>Q4</v>
      </c>
      <c r="AH30" s="19">
        <f t="shared" si="3"/>
        <v>932.61</v>
      </c>
      <c r="AI30" s="11" t="str">
        <f t="shared" si="4"/>
        <v>0.1-0.2</v>
      </c>
    </row>
    <row r="31" spans="10:35" x14ac:dyDescent="0.25">
      <c r="J31" s="19"/>
      <c r="K31" s="19"/>
      <c r="L31" s="19"/>
      <c r="M31" s="19"/>
      <c r="N31" s="19"/>
      <c r="X31" t="s">
        <v>293</v>
      </c>
      <c r="Y31" t="s">
        <v>647</v>
      </c>
      <c r="Z31" t="s">
        <v>1508</v>
      </c>
      <c r="AA31" s="19">
        <v>953.46</v>
      </c>
      <c r="AB31" s="30" t="s">
        <v>1499</v>
      </c>
      <c r="AC31" s="56"/>
      <c r="AE31" s="4" t="str">
        <f t="shared" si="0"/>
        <v>ORD-2023-211715</v>
      </c>
      <c r="AF31" s="4" t="str">
        <f t="shared" si="1"/>
        <v>Asia</v>
      </c>
      <c r="AG31" s="4" t="str">
        <f t="shared" si="2"/>
        <v>Q4</v>
      </c>
      <c r="AH31" s="19">
        <f t="shared" si="3"/>
        <v>953.46</v>
      </c>
      <c r="AI31" s="11" t="str">
        <f t="shared" si="4"/>
        <v>0.1-0.2</v>
      </c>
    </row>
    <row r="32" spans="10:35" x14ac:dyDescent="0.25">
      <c r="J32" s="19"/>
      <c r="K32" s="19"/>
      <c r="L32" s="19"/>
      <c r="M32" s="19"/>
      <c r="N32" s="19"/>
      <c r="X32" t="s">
        <v>365</v>
      </c>
      <c r="Y32" t="s">
        <v>649</v>
      </c>
      <c r="Z32" t="s">
        <v>1508</v>
      </c>
      <c r="AA32" s="19">
        <v>879.08</v>
      </c>
      <c r="AB32" s="30" t="s">
        <v>1499</v>
      </c>
      <c r="AC32" s="56"/>
      <c r="AE32" s="4" t="str">
        <f t="shared" si="0"/>
        <v>ORD-2023-212701</v>
      </c>
      <c r="AF32" s="4" t="str">
        <f t="shared" si="1"/>
        <v>Europe</v>
      </c>
      <c r="AG32" s="4" t="str">
        <f t="shared" si="2"/>
        <v>Q4</v>
      </c>
      <c r="AH32" s="19">
        <f t="shared" si="3"/>
        <v>879.08</v>
      </c>
      <c r="AI32" s="11" t="str">
        <f t="shared" si="4"/>
        <v>0.1-0.2</v>
      </c>
    </row>
    <row r="33" spans="10:35" x14ac:dyDescent="0.25">
      <c r="J33" s="19"/>
      <c r="K33" s="19"/>
      <c r="L33" s="19"/>
      <c r="M33" s="19"/>
      <c r="N33" s="19"/>
      <c r="X33" t="s">
        <v>550</v>
      </c>
      <c r="Y33" t="s">
        <v>649</v>
      </c>
      <c r="Z33" t="s">
        <v>1507</v>
      </c>
      <c r="AA33" s="19">
        <v>479.5</v>
      </c>
      <c r="AB33" s="30" t="s">
        <v>1499</v>
      </c>
      <c r="AC33" s="56"/>
      <c r="AE33" s="4" t="str">
        <f t="shared" si="0"/>
        <v>ORD-2023-215819</v>
      </c>
      <c r="AF33" s="4" t="str">
        <f t="shared" si="1"/>
        <v>Europe</v>
      </c>
      <c r="AG33" s="4" t="str">
        <f t="shared" si="2"/>
        <v>Q3</v>
      </c>
      <c r="AH33" s="19">
        <f t="shared" si="3"/>
        <v>479.5</v>
      </c>
      <c r="AI33" s="11" t="str">
        <f t="shared" si="4"/>
        <v>0.1-0.2</v>
      </c>
    </row>
    <row r="34" spans="10:35" x14ac:dyDescent="0.25">
      <c r="J34" s="19"/>
      <c r="K34" s="19"/>
      <c r="L34" s="19"/>
      <c r="M34" s="19"/>
      <c r="N34" s="19"/>
      <c r="X34" t="s">
        <v>69</v>
      </c>
      <c r="Y34" t="s">
        <v>649</v>
      </c>
      <c r="Z34" t="s">
        <v>1507</v>
      </c>
      <c r="AA34" s="19">
        <v>44.42</v>
      </c>
      <c r="AB34" s="30" t="s">
        <v>1499</v>
      </c>
      <c r="AC34" s="56"/>
      <c r="AE34" s="4" t="str">
        <f t="shared" si="0"/>
        <v>ORD-2023-235230</v>
      </c>
      <c r="AF34" s="4" t="str">
        <f t="shared" si="1"/>
        <v>Europe</v>
      </c>
      <c r="AG34" s="4" t="str">
        <f t="shared" si="2"/>
        <v>Q3</v>
      </c>
      <c r="AH34" s="19">
        <f t="shared" si="3"/>
        <v>44.42</v>
      </c>
      <c r="AI34" s="11" t="str">
        <f t="shared" si="4"/>
        <v>0.1-0.2</v>
      </c>
    </row>
    <row r="35" spans="10:35" x14ac:dyDescent="0.25">
      <c r="X35" t="s">
        <v>80</v>
      </c>
      <c r="Y35" t="s">
        <v>648</v>
      </c>
      <c r="Z35" t="s">
        <v>1508</v>
      </c>
      <c r="AA35" s="19">
        <v>1303.1099999999999</v>
      </c>
      <c r="AB35" s="30" t="s">
        <v>1499</v>
      </c>
      <c r="AC35" s="56"/>
      <c r="AE35" s="4" t="str">
        <f t="shared" si="0"/>
        <v>ORD-2023-239789</v>
      </c>
      <c r="AF35" s="4" t="str">
        <f t="shared" si="1"/>
        <v>Americas</v>
      </c>
      <c r="AG35" s="4" t="str">
        <f t="shared" si="2"/>
        <v>Q4</v>
      </c>
      <c r="AH35" s="19">
        <f t="shared" si="3"/>
        <v>1303.1099999999999</v>
      </c>
      <c r="AI35" s="11" t="str">
        <f t="shared" si="4"/>
        <v>0.1-0.2</v>
      </c>
    </row>
    <row r="36" spans="10:35" x14ac:dyDescent="0.25">
      <c r="X36" t="s">
        <v>178</v>
      </c>
      <c r="Y36" t="s">
        <v>647</v>
      </c>
      <c r="Z36" t="s">
        <v>1505</v>
      </c>
      <c r="AA36" s="19">
        <v>135.12</v>
      </c>
      <c r="AB36" s="30" t="s">
        <v>1499</v>
      </c>
      <c r="AC36" s="56"/>
      <c r="AE36" s="4" t="str">
        <f t="shared" si="0"/>
        <v>ORD-2023-240507</v>
      </c>
      <c r="AF36" s="4" t="str">
        <f t="shared" si="1"/>
        <v>Asia</v>
      </c>
      <c r="AG36" s="4" t="str">
        <f t="shared" si="2"/>
        <v>Q1</v>
      </c>
      <c r="AH36" s="19">
        <f t="shared" si="3"/>
        <v>135.12</v>
      </c>
      <c r="AI36" s="11" t="str">
        <f t="shared" si="4"/>
        <v>0.1-0.2</v>
      </c>
    </row>
    <row r="37" spans="10:35" x14ac:dyDescent="0.25">
      <c r="X37" t="s">
        <v>485</v>
      </c>
      <c r="Y37" t="s">
        <v>649</v>
      </c>
      <c r="Z37" t="s">
        <v>1507</v>
      </c>
      <c r="AA37" s="19">
        <v>784.46</v>
      </c>
      <c r="AB37" s="30" t="s">
        <v>1499</v>
      </c>
      <c r="AC37" s="56"/>
      <c r="AE37" s="4" t="str">
        <f t="shared" si="0"/>
        <v>ORD-2023-243704</v>
      </c>
      <c r="AF37" s="4" t="str">
        <f t="shared" si="1"/>
        <v>Europe</v>
      </c>
      <c r="AG37" s="4" t="str">
        <f t="shared" si="2"/>
        <v>Q3</v>
      </c>
      <c r="AH37" s="19">
        <f t="shared" si="3"/>
        <v>784.46</v>
      </c>
      <c r="AI37" s="11" t="str">
        <f t="shared" si="4"/>
        <v>0.1-0.2</v>
      </c>
    </row>
    <row r="38" spans="10:35" x14ac:dyDescent="0.25">
      <c r="X38" t="s">
        <v>595</v>
      </c>
      <c r="Y38" t="s">
        <v>648</v>
      </c>
      <c r="Z38" t="s">
        <v>1506</v>
      </c>
      <c r="AA38" s="19">
        <v>860.4</v>
      </c>
      <c r="AB38" s="30" t="s">
        <v>1498</v>
      </c>
      <c r="AC38" s="56"/>
      <c r="AE38" s="4" t="str">
        <f t="shared" si="0"/>
        <v>ORD-2023-244375</v>
      </c>
      <c r="AF38" s="4" t="str">
        <f t="shared" si="1"/>
        <v>Americas</v>
      </c>
      <c r="AG38" s="4" t="str">
        <f t="shared" si="2"/>
        <v>Q2</v>
      </c>
      <c r="AH38" s="19">
        <f t="shared" si="3"/>
        <v>860.4</v>
      </c>
      <c r="AI38" s="11" t="str">
        <f t="shared" si="4"/>
        <v>0-0.1</v>
      </c>
    </row>
    <row r="39" spans="10:35" x14ac:dyDescent="0.25">
      <c r="X39" t="s">
        <v>640</v>
      </c>
      <c r="Y39" t="s">
        <v>647</v>
      </c>
      <c r="Z39" t="s">
        <v>1508</v>
      </c>
      <c r="AA39" s="19">
        <v>1346.81</v>
      </c>
      <c r="AB39" s="30" t="s">
        <v>1499</v>
      </c>
      <c r="AC39" s="56"/>
      <c r="AE39" s="4" t="str">
        <f t="shared" si="0"/>
        <v>ORD-2023-249805</v>
      </c>
      <c r="AF39" s="4" t="str">
        <f t="shared" si="1"/>
        <v>Asia</v>
      </c>
      <c r="AG39" s="4" t="str">
        <f t="shared" si="2"/>
        <v>Q4</v>
      </c>
      <c r="AH39" s="19">
        <f t="shared" si="3"/>
        <v>1346.81</v>
      </c>
      <c r="AI39" s="11" t="str">
        <f t="shared" si="4"/>
        <v>0.1-0.2</v>
      </c>
    </row>
    <row r="40" spans="10:35" x14ac:dyDescent="0.25">
      <c r="X40" t="s">
        <v>121</v>
      </c>
      <c r="Y40" t="s">
        <v>646</v>
      </c>
      <c r="Z40" t="s">
        <v>1506</v>
      </c>
      <c r="AA40" s="19">
        <v>12.85</v>
      </c>
      <c r="AB40" s="30" t="s">
        <v>1499</v>
      </c>
      <c r="AC40" s="56"/>
      <c r="AE40" s="4" t="str">
        <f t="shared" si="0"/>
        <v>ORD-2023-251563</v>
      </c>
      <c r="AF40" s="4" t="str">
        <f t="shared" si="1"/>
        <v>Africa</v>
      </c>
      <c r="AG40" s="4" t="str">
        <f t="shared" si="2"/>
        <v>Q2</v>
      </c>
      <c r="AH40" s="19">
        <f t="shared" si="3"/>
        <v>12.85</v>
      </c>
      <c r="AI40" s="11" t="str">
        <f t="shared" si="4"/>
        <v>0.1-0.2</v>
      </c>
    </row>
    <row r="41" spans="10:35" x14ac:dyDescent="0.25">
      <c r="X41" t="s">
        <v>284</v>
      </c>
      <c r="Y41" t="s">
        <v>648</v>
      </c>
      <c r="Z41" t="s">
        <v>1507</v>
      </c>
      <c r="AA41" s="19">
        <v>232.73</v>
      </c>
      <c r="AB41" s="30" t="s">
        <v>1499</v>
      </c>
      <c r="AC41" s="56"/>
      <c r="AE41" s="4" t="str">
        <f t="shared" si="0"/>
        <v>ORD-2023-253245</v>
      </c>
      <c r="AF41" s="4" t="str">
        <f t="shared" si="1"/>
        <v>Americas</v>
      </c>
      <c r="AG41" s="4" t="str">
        <f t="shared" si="2"/>
        <v>Q3</v>
      </c>
      <c r="AH41" s="19">
        <f t="shared" si="3"/>
        <v>232.73</v>
      </c>
      <c r="AI41" s="11" t="str">
        <f t="shared" si="4"/>
        <v>0.1-0.2</v>
      </c>
    </row>
    <row r="42" spans="10:35" x14ac:dyDescent="0.25">
      <c r="X42" t="s">
        <v>271</v>
      </c>
      <c r="Y42" t="s">
        <v>649</v>
      </c>
      <c r="Z42" t="s">
        <v>1506</v>
      </c>
      <c r="AA42" s="19">
        <v>516.96</v>
      </c>
      <c r="AB42" s="30" t="s">
        <v>1499</v>
      </c>
      <c r="AC42" s="56"/>
      <c r="AE42" s="4" t="str">
        <f t="shared" si="0"/>
        <v>ORD-2023-256951</v>
      </c>
      <c r="AF42" s="4" t="str">
        <f t="shared" si="1"/>
        <v>Europe</v>
      </c>
      <c r="AG42" s="4" t="str">
        <f t="shared" si="2"/>
        <v>Q2</v>
      </c>
      <c r="AH42" s="19">
        <f t="shared" si="3"/>
        <v>516.96</v>
      </c>
      <c r="AI42" s="11" t="str">
        <f t="shared" si="4"/>
        <v>0.1-0.2</v>
      </c>
    </row>
    <row r="43" spans="10:35" x14ac:dyDescent="0.25">
      <c r="X43" t="s">
        <v>104</v>
      </c>
      <c r="Y43" t="s">
        <v>647</v>
      </c>
      <c r="Z43" t="s">
        <v>1506</v>
      </c>
      <c r="AA43" s="19">
        <v>55.65</v>
      </c>
      <c r="AB43" s="30" t="s">
        <v>1498</v>
      </c>
      <c r="AC43" s="56"/>
      <c r="AE43" s="4" t="str">
        <f t="shared" si="0"/>
        <v>ORD-2023-258768</v>
      </c>
      <c r="AF43" s="4" t="str">
        <f t="shared" si="1"/>
        <v>Asia</v>
      </c>
      <c r="AG43" s="4" t="str">
        <f t="shared" si="2"/>
        <v>Q2</v>
      </c>
      <c r="AH43" s="19">
        <f t="shared" si="3"/>
        <v>55.65</v>
      </c>
      <c r="AI43" s="11" t="str">
        <f t="shared" si="4"/>
        <v>0-0.1</v>
      </c>
    </row>
    <row r="44" spans="10:35" x14ac:dyDescent="0.25">
      <c r="X44" t="s">
        <v>354</v>
      </c>
      <c r="Y44" t="s">
        <v>646</v>
      </c>
      <c r="Z44" t="s">
        <v>1507</v>
      </c>
      <c r="AA44" s="19">
        <v>661.45</v>
      </c>
      <c r="AB44" s="30" t="s">
        <v>1503</v>
      </c>
      <c r="AC44" s="56"/>
      <c r="AE44" s="4" t="str">
        <f t="shared" si="0"/>
        <v>ORD-2023-261081</v>
      </c>
      <c r="AF44" s="4" t="str">
        <f t="shared" si="1"/>
        <v>Africa</v>
      </c>
      <c r="AG44" s="4" t="str">
        <f t="shared" si="2"/>
        <v>Q3</v>
      </c>
      <c r="AH44" s="19">
        <f t="shared" si="3"/>
        <v>661.45</v>
      </c>
      <c r="AI44" s="11" t="str">
        <f t="shared" si="4"/>
        <v>0.5-0.6</v>
      </c>
    </row>
    <row r="45" spans="10:35" x14ac:dyDescent="0.25">
      <c r="X45" t="s">
        <v>39</v>
      </c>
      <c r="Y45" t="s">
        <v>648</v>
      </c>
      <c r="Z45" t="s">
        <v>1505</v>
      </c>
      <c r="AA45" s="19">
        <v>948.55</v>
      </c>
      <c r="AB45" s="30" t="s">
        <v>1498</v>
      </c>
      <c r="AC45" s="56"/>
      <c r="AE45" s="4" t="str">
        <f t="shared" si="0"/>
        <v>ORD-2023-271836</v>
      </c>
      <c r="AF45" s="4" t="str">
        <f t="shared" si="1"/>
        <v>Americas</v>
      </c>
      <c r="AG45" s="4" t="str">
        <f t="shared" si="2"/>
        <v>Q1</v>
      </c>
      <c r="AH45" s="19">
        <f t="shared" si="3"/>
        <v>948.55</v>
      </c>
      <c r="AI45" s="11" t="str">
        <f t="shared" si="4"/>
        <v>0-0.1</v>
      </c>
    </row>
    <row r="46" spans="10:35" x14ac:dyDescent="0.25">
      <c r="X46" t="s">
        <v>235</v>
      </c>
      <c r="Y46" t="s">
        <v>648</v>
      </c>
      <c r="Z46" t="s">
        <v>1507</v>
      </c>
      <c r="AA46" s="19">
        <v>145.58000000000001</v>
      </c>
      <c r="AB46" s="30" t="s">
        <v>1500</v>
      </c>
      <c r="AC46" s="56"/>
      <c r="AE46" s="4" t="str">
        <f t="shared" si="0"/>
        <v>ORD-2023-271918</v>
      </c>
      <c r="AF46" s="4" t="str">
        <f t="shared" si="1"/>
        <v>Americas</v>
      </c>
      <c r="AG46" s="4" t="str">
        <f t="shared" si="2"/>
        <v>Q3</v>
      </c>
      <c r="AH46" s="19">
        <f t="shared" si="3"/>
        <v>145.58000000000001</v>
      </c>
      <c r="AI46" s="11" t="str">
        <f t="shared" si="4"/>
        <v>0.2-0.3</v>
      </c>
    </row>
    <row r="47" spans="10:35" x14ac:dyDescent="0.25">
      <c r="X47" t="s">
        <v>296</v>
      </c>
      <c r="Y47" t="s">
        <v>646</v>
      </c>
      <c r="Z47" t="s">
        <v>1507</v>
      </c>
      <c r="AA47" s="19">
        <v>91.85</v>
      </c>
      <c r="AB47" s="30" t="s">
        <v>1498</v>
      </c>
      <c r="AC47" s="56"/>
      <c r="AE47" s="4" t="str">
        <f t="shared" si="0"/>
        <v>ORD-2023-274037</v>
      </c>
      <c r="AF47" s="4" t="str">
        <f t="shared" si="1"/>
        <v>Africa</v>
      </c>
      <c r="AG47" s="4" t="str">
        <f t="shared" si="2"/>
        <v>Q3</v>
      </c>
      <c r="AH47" s="19">
        <f t="shared" si="3"/>
        <v>91.85</v>
      </c>
      <c r="AI47" s="11" t="str">
        <f t="shared" si="4"/>
        <v>0-0.1</v>
      </c>
    </row>
    <row r="48" spans="10:35" x14ac:dyDescent="0.25">
      <c r="X48" t="s">
        <v>265</v>
      </c>
      <c r="Y48" t="s">
        <v>648</v>
      </c>
      <c r="Z48" t="s">
        <v>1505</v>
      </c>
      <c r="AA48" s="19">
        <v>481.71</v>
      </c>
      <c r="AB48" s="30" t="s">
        <v>1500</v>
      </c>
      <c r="AC48" s="56"/>
      <c r="AE48" s="4" t="str">
        <f t="shared" si="0"/>
        <v>ORD-2023-276806</v>
      </c>
      <c r="AF48" s="4" t="str">
        <f t="shared" si="1"/>
        <v>Americas</v>
      </c>
      <c r="AG48" s="4" t="str">
        <f t="shared" si="2"/>
        <v>Q1</v>
      </c>
      <c r="AH48" s="19">
        <f t="shared" si="3"/>
        <v>481.71</v>
      </c>
      <c r="AI48" s="11" t="str">
        <f t="shared" si="4"/>
        <v>0.2-0.3</v>
      </c>
    </row>
    <row r="49" spans="24:35" x14ac:dyDescent="0.25">
      <c r="X49" t="s">
        <v>391</v>
      </c>
      <c r="Y49" t="s">
        <v>646</v>
      </c>
      <c r="Z49" t="s">
        <v>1505</v>
      </c>
      <c r="AA49" s="19">
        <v>1113.7</v>
      </c>
      <c r="AB49" s="30" t="s">
        <v>1499</v>
      </c>
      <c r="AC49" s="56"/>
      <c r="AE49" s="4" t="str">
        <f t="shared" si="0"/>
        <v>ORD-2023-281890</v>
      </c>
      <c r="AF49" s="4" t="str">
        <f t="shared" si="1"/>
        <v>Africa</v>
      </c>
      <c r="AG49" s="4" t="str">
        <f t="shared" si="2"/>
        <v>Q1</v>
      </c>
      <c r="AH49" s="19">
        <f t="shared" si="3"/>
        <v>1113.7</v>
      </c>
      <c r="AI49" s="11" t="str">
        <f t="shared" si="4"/>
        <v>0.1-0.2</v>
      </c>
    </row>
    <row r="50" spans="24:35" x14ac:dyDescent="0.25">
      <c r="X50" t="s">
        <v>555</v>
      </c>
      <c r="Y50" t="s">
        <v>646</v>
      </c>
      <c r="Z50" t="s">
        <v>1507</v>
      </c>
      <c r="AA50" s="19">
        <v>1258.72</v>
      </c>
      <c r="AB50" s="30" t="s">
        <v>1498</v>
      </c>
      <c r="AC50" s="56"/>
      <c r="AE50" s="4" t="str">
        <f t="shared" si="0"/>
        <v>ORD-2023-286720</v>
      </c>
      <c r="AF50" s="4" t="str">
        <f t="shared" si="1"/>
        <v>Africa</v>
      </c>
      <c r="AG50" s="4" t="str">
        <f t="shared" si="2"/>
        <v>Q3</v>
      </c>
      <c r="AH50" s="19">
        <f t="shared" si="3"/>
        <v>1258.72</v>
      </c>
      <c r="AI50" s="11" t="str">
        <f t="shared" si="4"/>
        <v>0-0.1</v>
      </c>
    </row>
    <row r="51" spans="24:35" x14ac:dyDescent="0.25">
      <c r="X51" t="s">
        <v>187</v>
      </c>
      <c r="Y51" t="s">
        <v>648</v>
      </c>
      <c r="Z51" t="s">
        <v>1505</v>
      </c>
      <c r="AA51" s="19">
        <v>6.85</v>
      </c>
      <c r="AB51" s="30" t="s">
        <v>1498</v>
      </c>
      <c r="AC51" s="56"/>
      <c r="AE51" s="4" t="str">
        <f t="shared" si="0"/>
        <v>ORD-2023-286994</v>
      </c>
      <c r="AF51" s="4" t="str">
        <f t="shared" si="1"/>
        <v>Americas</v>
      </c>
      <c r="AG51" s="4" t="str">
        <f t="shared" si="2"/>
        <v>Q1</v>
      </c>
      <c r="AH51" s="19">
        <f t="shared" si="3"/>
        <v>6.85</v>
      </c>
      <c r="AI51" s="11" t="str">
        <f t="shared" si="4"/>
        <v>0-0.1</v>
      </c>
    </row>
    <row r="52" spans="24:35" x14ac:dyDescent="0.25">
      <c r="X52" t="s">
        <v>240</v>
      </c>
      <c r="Y52" t="s">
        <v>647</v>
      </c>
      <c r="Z52" t="s">
        <v>1507</v>
      </c>
      <c r="AA52" s="19">
        <v>1352.44</v>
      </c>
      <c r="AB52" s="30" t="s">
        <v>1499</v>
      </c>
      <c r="AC52" s="56"/>
      <c r="AE52" s="4" t="str">
        <f t="shared" si="0"/>
        <v>ORD-2023-290237</v>
      </c>
      <c r="AF52" s="4" t="str">
        <f t="shared" si="1"/>
        <v>Asia</v>
      </c>
      <c r="AG52" s="4" t="str">
        <f t="shared" si="2"/>
        <v>Q3</v>
      </c>
      <c r="AH52" s="19">
        <f t="shared" si="3"/>
        <v>1352.44</v>
      </c>
      <c r="AI52" s="11" t="str">
        <f t="shared" si="4"/>
        <v>0.1-0.2</v>
      </c>
    </row>
    <row r="53" spans="24:35" x14ac:dyDescent="0.25">
      <c r="X53" t="s">
        <v>93</v>
      </c>
      <c r="Y53" t="s">
        <v>649</v>
      </c>
      <c r="Z53" t="s">
        <v>1506</v>
      </c>
      <c r="AA53" s="19">
        <v>357.36</v>
      </c>
      <c r="AB53" s="30" t="s">
        <v>1500</v>
      </c>
      <c r="AC53" s="56"/>
      <c r="AE53" s="4" t="str">
        <f t="shared" si="0"/>
        <v>ORD-2023-290279</v>
      </c>
      <c r="AF53" s="4" t="str">
        <f t="shared" si="1"/>
        <v>Europe</v>
      </c>
      <c r="AG53" s="4" t="str">
        <f t="shared" si="2"/>
        <v>Q2</v>
      </c>
      <c r="AH53" s="19">
        <f t="shared" si="3"/>
        <v>357.36</v>
      </c>
      <c r="AI53" s="11" t="str">
        <f t="shared" si="4"/>
        <v>0.2-0.3</v>
      </c>
    </row>
    <row r="54" spans="24:35" x14ac:dyDescent="0.25">
      <c r="X54" t="s">
        <v>64</v>
      </c>
      <c r="Y54" t="s">
        <v>649</v>
      </c>
      <c r="Z54" t="s">
        <v>1507</v>
      </c>
      <c r="AA54" s="19">
        <v>1303.56</v>
      </c>
      <c r="AB54" s="30" t="s">
        <v>1499</v>
      </c>
      <c r="AC54" s="56"/>
      <c r="AE54" s="4" t="str">
        <f t="shared" si="0"/>
        <v>ORD-2023-292714</v>
      </c>
      <c r="AF54" s="4" t="str">
        <f t="shared" si="1"/>
        <v>Europe</v>
      </c>
      <c r="AG54" s="4" t="str">
        <f t="shared" si="2"/>
        <v>Q3</v>
      </c>
      <c r="AH54" s="19">
        <f t="shared" si="3"/>
        <v>1303.56</v>
      </c>
      <c r="AI54" s="11" t="str">
        <f t="shared" si="4"/>
        <v>0.1-0.2</v>
      </c>
    </row>
    <row r="55" spans="24:35" x14ac:dyDescent="0.25">
      <c r="X55" t="s">
        <v>618</v>
      </c>
      <c r="Y55" t="s">
        <v>649</v>
      </c>
      <c r="Z55" t="s">
        <v>1506</v>
      </c>
      <c r="AA55" s="19">
        <v>405.66</v>
      </c>
      <c r="AB55" s="30" t="s">
        <v>1499</v>
      </c>
      <c r="AC55" s="56"/>
      <c r="AE55" s="4" t="str">
        <f t="shared" si="0"/>
        <v>ORD-2023-294716</v>
      </c>
      <c r="AF55" s="4" t="str">
        <f t="shared" si="1"/>
        <v>Europe</v>
      </c>
      <c r="AG55" s="4" t="str">
        <f t="shared" si="2"/>
        <v>Q2</v>
      </c>
      <c r="AH55" s="19">
        <f t="shared" si="3"/>
        <v>405.66</v>
      </c>
      <c r="AI55" s="11" t="str">
        <f t="shared" si="4"/>
        <v>0.1-0.2</v>
      </c>
    </row>
    <row r="56" spans="24:35" x14ac:dyDescent="0.25">
      <c r="X56" t="s">
        <v>241</v>
      </c>
      <c r="Y56" t="s">
        <v>648</v>
      </c>
      <c r="Z56" t="s">
        <v>1508</v>
      </c>
      <c r="AA56" s="19">
        <v>1239.8399999999999</v>
      </c>
      <c r="AB56" s="30" t="s">
        <v>1498</v>
      </c>
      <c r="AC56" s="56"/>
      <c r="AE56" s="4" t="str">
        <f t="shared" si="0"/>
        <v>ORD-2023-302041</v>
      </c>
      <c r="AF56" s="4" t="str">
        <f t="shared" si="1"/>
        <v>Americas</v>
      </c>
      <c r="AG56" s="4" t="str">
        <f t="shared" si="2"/>
        <v>Q4</v>
      </c>
      <c r="AH56" s="19">
        <f t="shared" si="3"/>
        <v>1239.8399999999999</v>
      </c>
      <c r="AI56" s="11" t="str">
        <f t="shared" si="4"/>
        <v>0-0.1</v>
      </c>
    </row>
    <row r="57" spans="24:35" x14ac:dyDescent="0.25">
      <c r="X57" t="s">
        <v>183</v>
      </c>
      <c r="Y57" t="s">
        <v>647</v>
      </c>
      <c r="Z57" t="s">
        <v>1508</v>
      </c>
      <c r="AA57" s="19">
        <v>906.81</v>
      </c>
      <c r="AB57" s="30" t="s">
        <v>1499</v>
      </c>
      <c r="AC57" s="56"/>
      <c r="AE57" s="4" t="str">
        <f t="shared" si="0"/>
        <v>ORD-2023-304451</v>
      </c>
      <c r="AF57" s="4" t="str">
        <f t="shared" si="1"/>
        <v>Asia</v>
      </c>
      <c r="AG57" s="4" t="str">
        <f t="shared" si="2"/>
        <v>Q4</v>
      </c>
      <c r="AH57" s="19">
        <f t="shared" si="3"/>
        <v>906.81</v>
      </c>
      <c r="AI57" s="11" t="str">
        <f t="shared" si="4"/>
        <v>0.1-0.2</v>
      </c>
    </row>
    <row r="58" spans="24:35" x14ac:dyDescent="0.25">
      <c r="X58" t="s">
        <v>60</v>
      </c>
      <c r="Y58" t="s">
        <v>647</v>
      </c>
      <c r="Z58" t="s">
        <v>1506</v>
      </c>
      <c r="AA58" s="19">
        <v>826.55</v>
      </c>
      <c r="AB58" s="30" t="s">
        <v>1499</v>
      </c>
      <c r="AC58" s="56"/>
      <c r="AE58" s="4" t="str">
        <f t="shared" si="0"/>
        <v>ORD-2023-308124</v>
      </c>
      <c r="AF58" s="4" t="str">
        <f t="shared" si="1"/>
        <v>Asia</v>
      </c>
      <c r="AG58" s="4" t="str">
        <f t="shared" si="2"/>
        <v>Q2</v>
      </c>
      <c r="AH58" s="19">
        <f t="shared" si="3"/>
        <v>826.55</v>
      </c>
      <c r="AI58" s="11" t="str">
        <f t="shared" si="4"/>
        <v>0.1-0.2</v>
      </c>
    </row>
    <row r="59" spans="24:35" x14ac:dyDescent="0.25">
      <c r="X59" t="s">
        <v>159</v>
      </c>
      <c r="Y59" t="s">
        <v>648</v>
      </c>
      <c r="Z59" t="s">
        <v>1507</v>
      </c>
      <c r="AA59" s="19">
        <v>578.85</v>
      </c>
      <c r="AB59" s="30" t="s">
        <v>1498</v>
      </c>
      <c r="AC59" s="56"/>
      <c r="AE59" s="4" t="str">
        <f t="shared" si="0"/>
        <v>ORD-2023-309373</v>
      </c>
      <c r="AF59" s="4" t="str">
        <f t="shared" si="1"/>
        <v>Americas</v>
      </c>
      <c r="AG59" s="4" t="str">
        <f t="shared" si="2"/>
        <v>Q3</v>
      </c>
      <c r="AH59" s="19">
        <f t="shared" si="3"/>
        <v>578.85</v>
      </c>
      <c r="AI59" s="11" t="str">
        <f t="shared" si="4"/>
        <v>0-0.1</v>
      </c>
    </row>
    <row r="60" spans="24:35" x14ac:dyDescent="0.25">
      <c r="X60" t="s">
        <v>198</v>
      </c>
      <c r="Y60" t="s">
        <v>646</v>
      </c>
      <c r="Z60" t="s">
        <v>1507</v>
      </c>
      <c r="AA60" s="19">
        <v>790.63</v>
      </c>
      <c r="AB60" s="30" t="s">
        <v>1499</v>
      </c>
      <c r="AC60" s="56"/>
      <c r="AE60" s="4" t="str">
        <f t="shared" si="0"/>
        <v>ORD-2023-334213</v>
      </c>
      <c r="AF60" s="4" t="str">
        <f t="shared" si="1"/>
        <v>Africa</v>
      </c>
      <c r="AG60" s="4" t="str">
        <f t="shared" si="2"/>
        <v>Q3</v>
      </c>
      <c r="AH60" s="19">
        <f t="shared" si="3"/>
        <v>790.63</v>
      </c>
      <c r="AI60" s="11" t="str">
        <f t="shared" si="4"/>
        <v>0.1-0.2</v>
      </c>
    </row>
    <row r="61" spans="24:35" x14ac:dyDescent="0.25">
      <c r="X61" t="s">
        <v>589</v>
      </c>
      <c r="Y61" t="s">
        <v>649</v>
      </c>
      <c r="Z61" t="s">
        <v>1506</v>
      </c>
      <c r="AA61" s="19">
        <v>81.489999999999995</v>
      </c>
      <c r="AB61" s="30" t="s">
        <v>1499</v>
      </c>
      <c r="AC61" s="56"/>
      <c r="AE61" s="4" t="str">
        <f t="shared" si="0"/>
        <v>ORD-2023-340056</v>
      </c>
      <c r="AF61" s="4" t="str">
        <f t="shared" si="1"/>
        <v>Europe</v>
      </c>
      <c r="AG61" s="4" t="str">
        <f t="shared" si="2"/>
        <v>Q2</v>
      </c>
      <c r="AH61" s="19">
        <f t="shared" si="3"/>
        <v>81.489999999999995</v>
      </c>
      <c r="AI61" s="11" t="str">
        <f t="shared" si="4"/>
        <v>0.1-0.2</v>
      </c>
    </row>
    <row r="62" spans="24:35" x14ac:dyDescent="0.25">
      <c r="X62" t="s">
        <v>96</v>
      </c>
      <c r="Y62" t="s">
        <v>648</v>
      </c>
      <c r="Z62" t="s">
        <v>1507</v>
      </c>
      <c r="AA62" s="19">
        <v>1183.95</v>
      </c>
      <c r="AB62" s="30" t="s">
        <v>1500</v>
      </c>
      <c r="AC62" s="56"/>
      <c r="AE62" s="4" t="str">
        <f t="shared" si="0"/>
        <v>ORD-2023-343322</v>
      </c>
      <c r="AF62" s="4" t="str">
        <f t="shared" si="1"/>
        <v>Americas</v>
      </c>
      <c r="AG62" s="4" t="str">
        <f t="shared" si="2"/>
        <v>Q3</v>
      </c>
      <c r="AH62" s="19">
        <f t="shared" si="3"/>
        <v>1183.95</v>
      </c>
      <c r="AI62" s="11" t="str">
        <f t="shared" si="4"/>
        <v>0.2-0.3</v>
      </c>
    </row>
    <row r="63" spans="24:35" x14ac:dyDescent="0.25">
      <c r="X63" t="s">
        <v>527</v>
      </c>
      <c r="Y63" t="s">
        <v>649</v>
      </c>
      <c r="Z63" t="s">
        <v>1506</v>
      </c>
      <c r="AA63" s="19">
        <v>804.17</v>
      </c>
      <c r="AB63" s="30" t="s">
        <v>1498</v>
      </c>
      <c r="AC63" s="56"/>
      <c r="AE63" s="4" t="str">
        <f t="shared" si="0"/>
        <v>ORD-2023-349264</v>
      </c>
      <c r="AF63" s="4" t="str">
        <f t="shared" si="1"/>
        <v>Europe</v>
      </c>
      <c r="AG63" s="4" t="str">
        <f t="shared" si="2"/>
        <v>Q2</v>
      </c>
      <c r="AH63" s="19">
        <f t="shared" si="3"/>
        <v>804.17</v>
      </c>
      <c r="AI63" s="11" t="str">
        <f t="shared" si="4"/>
        <v>0-0.1</v>
      </c>
    </row>
    <row r="64" spans="24:35" x14ac:dyDescent="0.25">
      <c r="X64" t="s">
        <v>577</v>
      </c>
      <c r="Y64" t="s">
        <v>648</v>
      </c>
      <c r="Z64" t="s">
        <v>1506</v>
      </c>
      <c r="AA64" s="19">
        <v>671.05</v>
      </c>
      <c r="AB64" s="30" t="s">
        <v>1499</v>
      </c>
      <c r="AC64" s="56"/>
      <c r="AE64" s="4" t="str">
        <f t="shared" si="0"/>
        <v>ORD-2023-356427</v>
      </c>
      <c r="AF64" s="4" t="str">
        <f t="shared" si="1"/>
        <v>Americas</v>
      </c>
      <c r="AG64" s="4" t="str">
        <f t="shared" si="2"/>
        <v>Q2</v>
      </c>
      <c r="AH64" s="19">
        <f t="shared" si="3"/>
        <v>671.05</v>
      </c>
      <c r="AI64" s="11" t="str">
        <f t="shared" si="4"/>
        <v>0.1-0.2</v>
      </c>
    </row>
    <row r="65" spans="24:35" x14ac:dyDescent="0.25">
      <c r="X65" t="s">
        <v>330</v>
      </c>
      <c r="Y65" t="s">
        <v>647</v>
      </c>
      <c r="Z65" t="s">
        <v>1506</v>
      </c>
      <c r="AA65" s="19">
        <v>291.18</v>
      </c>
      <c r="AB65" s="30" t="s">
        <v>1499</v>
      </c>
      <c r="AC65" s="56"/>
      <c r="AE65" s="4" t="str">
        <f t="shared" si="0"/>
        <v>ORD-2023-363031</v>
      </c>
      <c r="AF65" s="4" t="str">
        <f t="shared" si="1"/>
        <v>Asia</v>
      </c>
      <c r="AG65" s="4" t="str">
        <f t="shared" si="2"/>
        <v>Q2</v>
      </c>
      <c r="AH65" s="19">
        <f t="shared" si="3"/>
        <v>291.18</v>
      </c>
      <c r="AI65" s="11" t="str">
        <f t="shared" si="4"/>
        <v>0.1-0.2</v>
      </c>
    </row>
    <row r="66" spans="24:35" x14ac:dyDescent="0.25">
      <c r="X66" t="s">
        <v>406</v>
      </c>
      <c r="Y66" t="s">
        <v>647</v>
      </c>
      <c r="Z66" t="s">
        <v>1508</v>
      </c>
      <c r="AA66" s="19">
        <v>1132.03</v>
      </c>
      <c r="AB66" s="30" t="s">
        <v>1501</v>
      </c>
      <c r="AC66" s="56"/>
      <c r="AE66" s="4" t="str">
        <f t="shared" si="0"/>
        <v>ORD-2023-368449</v>
      </c>
      <c r="AF66" s="4" t="str">
        <f t="shared" si="1"/>
        <v>Asia</v>
      </c>
      <c r="AG66" s="4" t="str">
        <f t="shared" si="2"/>
        <v>Q4</v>
      </c>
      <c r="AH66" s="19">
        <f t="shared" si="3"/>
        <v>1132.03</v>
      </c>
      <c r="AI66" s="11" t="str">
        <f t="shared" si="4"/>
        <v>0.3-0.4</v>
      </c>
    </row>
    <row r="67" spans="24:35" x14ac:dyDescent="0.25">
      <c r="X67" t="s">
        <v>303</v>
      </c>
      <c r="Y67" t="s">
        <v>646</v>
      </c>
      <c r="Z67" t="s">
        <v>1507</v>
      </c>
      <c r="AA67" s="19">
        <v>1271.56</v>
      </c>
      <c r="AB67" s="30" t="s">
        <v>1499</v>
      </c>
      <c r="AC67" s="56"/>
      <c r="AE67" s="4" t="str">
        <f t="shared" si="0"/>
        <v>ORD-2023-369150</v>
      </c>
      <c r="AF67" s="4" t="str">
        <f t="shared" si="1"/>
        <v>Africa</v>
      </c>
      <c r="AG67" s="4" t="str">
        <f t="shared" si="2"/>
        <v>Q3</v>
      </c>
      <c r="AH67" s="19">
        <f t="shared" si="3"/>
        <v>1271.56</v>
      </c>
      <c r="AI67" s="11" t="str">
        <f t="shared" si="4"/>
        <v>0.1-0.2</v>
      </c>
    </row>
    <row r="68" spans="24:35" x14ac:dyDescent="0.25">
      <c r="X68" t="s">
        <v>287</v>
      </c>
      <c r="Y68" t="s">
        <v>648</v>
      </c>
      <c r="Z68" t="s">
        <v>1507</v>
      </c>
      <c r="AA68" s="19">
        <v>1082.3800000000001</v>
      </c>
      <c r="AB68" s="30" t="s">
        <v>1499</v>
      </c>
      <c r="AC68" s="56"/>
      <c r="AE68" s="4" t="str">
        <f t="shared" ref="AE68:AE131" si="5">X68</f>
        <v>ORD-2023-369160</v>
      </c>
      <c r="AF68" s="4" t="str">
        <f t="shared" ref="AF68:AF131" si="6">Y68</f>
        <v>Americas</v>
      </c>
      <c r="AG68" s="4" t="str">
        <f t="shared" ref="AG68:AG131" si="7">Z68</f>
        <v>Q3</v>
      </c>
      <c r="AH68" s="19">
        <f t="shared" ref="AH68:AH131" si="8">AA68</f>
        <v>1082.3800000000001</v>
      </c>
      <c r="AI68" s="11" t="str">
        <f t="shared" ref="AI68:AI131" si="9">AB68</f>
        <v>0.1-0.2</v>
      </c>
    </row>
    <row r="69" spans="24:35" x14ac:dyDescent="0.25">
      <c r="X69" t="s">
        <v>17</v>
      </c>
      <c r="Y69" t="s">
        <v>646</v>
      </c>
      <c r="Z69" t="s">
        <v>1505</v>
      </c>
      <c r="AA69" s="19">
        <v>1460.76</v>
      </c>
      <c r="AB69" s="30" t="s">
        <v>1499</v>
      </c>
      <c r="AC69" s="56"/>
      <c r="AE69" s="4" t="str">
        <f t="shared" si="5"/>
        <v>ORD-2023-373538</v>
      </c>
      <c r="AF69" s="4" t="str">
        <f t="shared" si="6"/>
        <v>Africa</v>
      </c>
      <c r="AG69" s="4" t="str">
        <f t="shared" si="7"/>
        <v>Q1</v>
      </c>
      <c r="AH69" s="19">
        <f t="shared" si="8"/>
        <v>1460.76</v>
      </c>
      <c r="AI69" s="11" t="str">
        <f t="shared" si="9"/>
        <v>0.1-0.2</v>
      </c>
    </row>
    <row r="70" spans="24:35" x14ac:dyDescent="0.25">
      <c r="X70" t="s">
        <v>107</v>
      </c>
      <c r="Y70" t="s">
        <v>648</v>
      </c>
      <c r="Z70" t="s">
        <v>1506</v>
      </c>
      <c r="AA70" s="19">
        <v>804.01</v>
      </c>
      <c r="AB70" s="30" t="s">
        <v>1498</v>
      </c>
      <c r="AC70" s="56"/>
      <c r="AE70" s="4" t="str">
        <f t="shared" si="5"/>
        <v>ORD-2023-374486</v>
      </c>
      <c r="AF70" s="4" t="str">
        <f t="shared" si="6"/>
        <v>Americas</v>
      </c>
      <c r="AG70" s="4" t="str">
        <f t="shared" si="7"/>
        <v>Q2</v>
      </c>
      <c r="AH70" s="19">
        <f t="shared" si="8"/>
        <v>804.01</v>
      </c>
      <c r="AI70" s="11" t="str">
        <f t="shared" si="9"/>
        <v>0-0.1</v>
      </c>
    </row>
    <row r="71" spans="24:35" x14ac:dyDescent="0.25">
      <c r="X71" t="s">
        <v>307</v>
      </c>
      <c r="Y71" t="s">
        <v>649</v>
      </c>
      <c r="Z71" t="s">
        <v>1507</v>
      </c>
      <c r="AA71" s="19">
        <v>209.81</v>
      </c>
      <c r="AB71" s="30" t="s">
        <v>1498</v>
      </c>
      <c r="AC71" s="56"/>
      <c r="AE71" s="4" t="str">
        <f t="shared" si="5"/>
        <v>ORD-2023-375011</v>
      </c>
      <c r="AF71" s="4" t="str">
        <f t="shared" si="6"/>
        <v>Europe</v>
      </c>
      <c r="AG71" s="4" t="str">
        <f t="shared" si="7"/>
        <v>Q3</v>
      </c>
      <c r="AH71" s="19">
        <f t="shared" si="8"/>
        <v>209.81</v>
      </c>
      <c r="AI71" s="11" t="str">
        <f t="shared" si="9"/>
        <v>0-0.1</v>
      </c>
    </row>
    <row r="72" spans="24:35" x14ac:dyDescent="0.25">
      <c r="X72" t="s">
        <v>449</v>
      </c>
      <c r="Y72" t="s">
        <v>646</v>
      </c>
      <c r="Z72" t="s">
        <v>1508</v>
      </c>
      <c r="AA72" s="19">
        <v>774.12</v>
      </c>
      <c r="AB72" s="30" t="s">
        <v>1498</v>
      </c>
      <c r="AC72" s="56"/>
      <c r="AE72" s="4" t="str">
        <f t="shared" si="5"/>
        <v>ORD-2023-378104</v>
      </c>
      <c r="AF72" s="4" t="str">
        <f t="shared" si="6"/>
        <v>Africa</v>
      </c>
      <c r="AG72" s="4" t="str">
        <f t="shared" si="7"/>
        <v>Q4</v>
      </c>
      <c r="AH72" s="19">
        <f t="shared" si="8"/>
        <v>774.12</v>
      </c>
      <c r="AI72" s="11" t="str">
        <f t="shared" si="9"/>
        <v>0-0.1</v>
      </c>
    </row>
    <row r="73" spans="24:35" x14ac:dyDescent="0.25">
      <c r="X73" t="s">
        <v>600</v>
      </c>
      <c r="Y73" t="s">
        <v>648</v>
      </c>
      <c r="Z73" t="s">
        <v>1506</v>
      </c>
      <c r="AA73" s="19">
        <v>64.5</v>
      </c>
      <c r="AB73" s="30" t="s">
        <v>1498</v>
      </c>
      <c r="AC73" s="56"/>
      <c r="AE73" s="4" t="str">
        <f t="shared" si="5"/>
        <v>ORD-2023-378676</v>
      </c>
      <c r="AF73" s="4" t="str">
        <f t="shared" si="6"/>
        <v>Americas</v>
      </c>
      <c r="AG73" s="4" t="str">
        <f t="shared" si="7"/>
        <v>Q2</v>
      </c>
      <c r="AH73" s="19">
        <f t="shared" si="8"/>
        <v>64.5</v>
      </c>
      <c r="AI73" s="11" t="str">
        <f t="shared" si="9"/>
        <v>0-0.1</v>
      </c>
    </row>
    <row r="74" spans="24:35" x14ac:dyDescent="0.25">
      <c r="X74" t="s">
        <v>214</v>
      </c>
      <c r="Y74" t="s">
        <v>648</v>
      </c>
      <c r="Z74" t="s">
        <v>1505</v>
      </c>
      <c r="AA74" s="19">
        <v>833.57</v>
      </c>
      <c r="AB74" s="30" t="s">
        <v>1498</v>
      </c>
      <c r="AC74" s="56"/>
      <c r="AE74" s="4" t="str">
        <f t="shared" si="5"/>
        <v>ORD-2023-382017</v>
      </c>
      <c r="AF74" s="4" t="str">
        <f t="shared" si="6"/>
        <v>Americas</v>
      </c>
      <c r="AG74" s="4" t="str">
        <f t="shared" si="7"/>
        <v>Q1</v>
      </c>
      <c r="AH74" s="19">
        <f t="shared" si="8"/>
        <v>833.57</v>
      </c>
      <c r="AI74" s="11" t="str">
        <f t="shared" si="9"/>
        <v>0-0.1</v>
      </c>
    </row>
    <row r="75" spans="24:35" x14ac:dyDescent="0.25">
      <c r="X75" t="s">
        <v>89</v>
      </c>
      <c r="Y75" t="s">
        <v>646</v>
      </c>
      <c r="Z75" t="s">
        <v>1506</v>
      </c>
      <c r="AA75" s="19">
        <v>917.88</v>
      </c>
      <c r="AB75" s="30" t="s">
        <v>1501</v>
      </c>
      <c r="AC75" s="56"/>
      <c r="AE75" s="4" t="str">
        <f t="shared" si="5"/>
        <v>ORD-2023-382272</v>
      </c>
      <c r="AF75" s="4" t="str">
        <f t="shared" si="6"/>
        <v>Africa</v>
      </c>
      <c r="AG75" s="4" t="str">
        <f t="shared" si="7"/>
        <v>Q2</v>
      </c>
      <c r="AH75" s="19">
        <f t="shared" si="8"/>
        <v>917.88</v>
      </c>
      <c r="AI75" s="11" t="str">
        <f t="shared" si="9"/>
        <v>0.3-0.4</v>
      </c>
    </row>
    <row r="76" spans="24:35" x14ac:dyDescent="0.25">
      <c r="X76" t="s">
        <v>378</v>
      </c>
      <c r="Y76" t="s">
        <v>649</v>
      </c>
      <c r="Z76" t="s">
        <v>1506</v>
      </c>
      <c r="AA76" s="19">
        <v>605.82000000000005</v>
      </c>
      <c r="AB76" s="30" t="s">
        <v>1499</v>
      </c>
      <c r="AC76" s="56"/>
      <c r="AE76" s="4" t="str">
        <f t="shared" si="5"/>
        <v>ORD-2023-386663</v>
      </c>
      <c r="AF76" s="4" t="str">
        <f t="shared" si="6"/>
        <v>Europe</v>
      </c>
      <c r="AG76" s="4" t="str">
        <f t="shared" si="7"/>
        <v>Q2</v>
      </c>
      <c r="AH76" s="19">
        <f t="shared" si="8"/>
        <v>605.82000000000005</v>
      </c>
      <c r="AI76" s="11" t="str">
        <f t="shared" si="9"/>
        <v>0.1-0.2</v>
      </c>
    </row>
    <row r="77" spans="24:35" x14ac:dyDescent="0.25">
      <c r="X77" t="s">
        <v>219</v>
      </c>
      <c r="Y77" t="s">
        <v>649</v>
      </c>
      <c r="Z77" t="s">
        <v>1506</v>
      </c>
      <c r="AA77" s="19">
        <v>1178.42</v>
      </c>
      <c r="AB77" s="30" t="s">
        <v>1498</v>
      </c>
      <c r="AC77" s="56"/>
      <c r="AE77" s="4" t="str">
        <f t="shared" si="5"/>
        <v>ORD-2023-390998</v>
      </c>
      <c r="AF77" s="4" t="str">
        <f t="shared" si="6"/>
        <v>Europe</v>
      </c>
      <c r="AG77" s="4" t="str">
        <f t="shared" si="7"/>
        <v>Q2</v>
      </c>
      <c r="AH77" s="19">
        <f t="shared" si="8"/>
        <v>1178.42</v>
      </c>
      <c r="AI77" s="11" t="str">
        <f t="shared" si="9"/>
        <v>0-0.1</v>
      </c>
    </row>
    <row r="78" spans="24:35" x14ac:dyDescent="0.25">
      <c r="X78" t="s">
        <v>200</v>
      </c>
      <c r="Y78" t="s">
        <v>649</v>
      </c>
      <c r="Z78" t="s">
        <v>1506</v>
      </c>
      <c r="AA78" s="19">
        <v>734.34</v>
      </c>
      <c r="AB78" s="30" t="s">
        <v>1498</v>
      </c>
      <c r="AC78" s="56"/>
      <c r="AE78" s="4" t="str">
        <f t="shared" si="5"/>
        <v>ORD-2023-399631</v>
      </c>
      <c r="AF78" s="4" t="str">
        <f t="shared" si="6"/>
        <v>Europe</v>
      </c>
      <c r="AG78" s="4" t="str">
        <f t="shared" si="7"/>
        <v>Q2</v>
      </c>
      <c r="AH78" s="19">
        <f t="shared" si="8"/>
        <v>734.34</v>
      </c>
      <c r="AI78" s="11" t="str">
        <f t="shared" si="9"/>
        <v>0-0.1</v>
      </c>
    </row>
    <row r="79" spans="24:35" x14ac:dyDescent="0.25">
      <c r="X79" t="s">
        <v>512</v>
      </c>
      <c r="Y79" t="s">
        <v>648</v>
      </c>
      <c r="Z79" t="s">
        <v>1508</v>
      </c>
      <c r="AA79" s="19">
        <v>509.31</v>
      </c>
      <c r="AB79" s="30" t="s">
        <v>1498</v>
      </c>
      <c r="AC79" s="56"/>
      <c r="AE79" s="4" t="str">
        <f t="shared" si="5"/>
        <v>ORD-2023-406606</v>
      </c>
      <c r="AF79" s="4" t="str">
        <f t="shared" si="6"/>
        <v>Americas</v>
      </c>
      <c r="AG79" s="4" t="str">
        <f t="shared" si="7"/>
        <v>Q4</v>
      </c>
      <c r="AH79" s="19">
        <f t="shared" si="8"/>
        <v>509.31</v>
      </c>
      <c r="AI79" s="11" t="str">
        <f t="shared" si="9"/>
        <v>0-0.1</v>
      </c>
    </row>
    <row r="80" spans="24:35" x14ac:dyDescent="0.25">
      <c r="X80" t="s">
        <v>67</v>
      </c>
      <c r="Y80" t="s">
        <v>646</v>
      </c>
      <c r="Z80" t="s">
        <v>1505</v>
      </c>
      <c r="AA80" s="19">
        <v>533.26</v>
      </c>
      <c r="AB80" s="30" t="s">
        <v>1498</v>
      </c>
      <c r="AC80" s="56"/>
      <c r="AE80" s="4" t="str">
        <f t="shared" si="5"/>
        <v>ORD-2023-419187</v>
      </c>
      <c r="AF80" s="4" t="str">
        <f t="shared" si="6"/>
        <v>Africa</v>
      </c>
      <c r="AG80" s="4" t="str">
        <f t="shared" si="7"/>
        <v>Q1</v>
      </c>
      <c r="AH80" s="19">
        <f t="shared" si="8"/>
        <v>533.26</v>
      </c>
      <c r="AI80" s="11" t="str">
        <f t="shared" si="9"/>
        <v>0-0.1</v>
      </c>
    </row>
    <row r="81" spans="24:35" x14ac:dyDescent="0.25">
      <c r="X81" t="s">
        <v>114</v>
      </c>
      <c r="Y81" t="s">
        <v>649</v>
      </c>
      <c r="Z81" t="s">
        <v>1505</v>
      </c>
      <c r="AA81" s="19">
        <v>1200.78</v>
      </c>
      <c r="AB81" s="30" t="s">
        <v>1500</v>
      </c>
      <c r="AC81" s="56"/>
      <c r="AE81" s="4" t="str">
        <f t="shared" si="5"/>
        <v>ORD-2023-422918</v>
      </c>
      <c r="AF81" s="4" t="str">
        <f t="shared" si="6"/>
        <v>Europe</v>
      </c>
      <c r="AG81" s="4" t="str">
        <f t="shared" si="7"/>
        <v>Q1</v>
      </c>
      <c r="AH81" s="19">
        <f t="shared" si="8"/>
        <v>1200.78</v>
      </c>
      <c r="AI81" s="11" t="str">
        <f t="shared" si="9"/>
        <v>0.2-0.3</v>
      </c>
    </row>
    <row r="82" spans="24:35" x14ac:dyDescent="0.25">
      <c r="X82" t="s">
        <v>133</v>
      </c>
      <c r="Y82" t="s">
        <v>647</v>
      </c>
      <c r="Z82" t="s">
        <v>1506</v>
      </c>
      <c r="AA82" s="19">
        <v>339.61</v>
      </c>
      <c r="AB82" s="30" t="s">
        <v>1498</v>
      </c>
      <c r="AC82" s="56"/>
      <c r="AE82" s="4" t="str">
        <f t="shared" si="5"/>
        <v>ORD-2023-427304</v>
      </c>
      <c r="AF82" s="4" t="str">
        <f t="shared" si="6"/>
        <v>Asia</v>
      </c>
      <c r="AG82" s="4" t="str">
        <f t="shared" si="7"/>
        <v>Q2</v>
      </c>
      <c r="AH82" s="19">
        <f t="shared" si="8"/>
        <v>339.61</v>
      </c>
      <c r="AI82" s="11" t="str">
        <f t="shared" si="9"/>
        <v>0-0.1</v>
      </c>
    </row>
    <row r="83" spans="24:35" x14ac:dyDescent="0.25">
      <c r="X83" t="s">
        <v>147</v>
      </c>
      <c r="Y83" t="s">
        <v>649</v>
      </c>
      <c r="Z83" t="s">
        <v>1505</v>
      </c>
      <c r="AA83" s="19">
        <v>941.2</v>
      </c>
      <c r="AB83" s="30" t="s">
        <v>1500</v>
      </c>
      <c r="AC83" s="56"/>
      <c r="AE83" s="4" t="str">
        <f t="shared" si="5"/>
        <v>ORD-2023-430904</v>
      </c>
      <c r="AF83" s="4" t="str">
        <f t="shared" si="6"/>
        <v>Europe</v>
      </c>
      <c r="AG83" s="4" t="str">
        <f t="shared" si="7"/>
        <v>Q1</v>
      </c>
      <c r="AH83" s="19">
        <f t="shared" si="8"/>
        <v>941.2</v>
      </c>
      <c r="AI83" s="11" t="str">
        <f t="shared" si="9"/>
        <v>0.2-0.3</v>
      </c>
    </row>
    <row r="84" spans="24:35" x14ac:dyDescent="0.25">
      <c r="X84" t="s">
        <v>230</v>
      </c>
      <c r="Y84" t="s">
        <v>647</v>
      </c>
      <c r="Z84" t="s">
        <v>1508</v>
      </c>
      <c r="AA84" s="19">
        <v>1085.6099999999999</v>
      </c>
      <c r="AB84" s="30" t="s">
        <v>1499</v>
      </c>
      <c r="AC84" s="56"/>
      <c r="AE84" s="4" t="str">
        <f t="shared" si="5"/>
        <v>ORD-2023-431328</v>
      </c>
      <c r="AF84" s="4" t="str">
        <f t="shared" si="6"/>
        <v>Asia</v>
      </c>
      <c r="AG84" s="4" t="str">
        <f t="shared" si="7"/>
        <v>Q4</v>
      </c>
      <c r="AH84" s="19">
        <f t="shared" si="8"/>
        <v>1085.6099999999999</v>
      </c>
      <c r="AI84" s="11" t="str">
        <f t="shared" si="9"/>
        <v>0.1-0.2</v>
      </c>
    </row>
    <row r="85" spans="24:35" x14ac:dyDescent="0.25">
      <c r="X85" t="s">
        <v>510</v>
      </c>
      <c r="Y85" t="s">
        <v>648</v>
      </c>
      <c r="Z85" t="s">
        <v>1506</v>
      </c>
      <c r="AA85" s="19">
        <v>1292.8599999999999</v>
      </c>
      <c r="AB85" s="30" t="s">
        <v>1499</v>
      </c>
      <c r="AC85" s="56"/>
      <c r="AE85" s="4" t="str">
        <f t="shared" si="5"/>
        <v>ORD-2023-434071</v>
      </c>
      <c r="AF85" s="4" t="str">
        <f t="shared" si="6"/>
        <v>Americas</v>
      </c>
      <c r="AG85" s="4" t="str">
        <f t="shared" si="7"/>
        <v>Q2</v>
      </c>
      <c r="AH85" s="19">
        <f t="shared" si="8"/>
        <v>1292.8599999999999</v>
      </c>
      <c r="AI85" s="11" t="str">
        <f t="shared" si="9"/>
        <v>0.1-0.2</v>
      </c>
    </row>
    <row r="86" spans="24:35" x14ac:dyDescent="0.25">
      <c r="X86" t="s">
        <v>186</v>
      </c>
      <c r="Y86" t="s">
        <v>647</v>
      </c>
      <c r="Z86" t="s">
        <v>1507</v>
      </c>
      <c r="AA86" s="19">
        <v>845.63</v>
      </c>
      <c r="AB86" s="30" t="s">
        <v>1499</v>
      </c>
      <c r="AC86" s="56"/>
      <c r="AE86" s="4" t="str">
        <f t="shared" si="5"/>
        <v>ORD-2023-450877</v>
      </c>
      <c r="AF86" s="4" t="str">
        <f t="shared" si="6"/>
        <v>Asia</v>
      </c>
      <c r="AG86" s="4" t="str">
        <f t="shared" si="7"/>
        <v>Q3</v>
      </c>
      <c r="AH86" s="19">
        <f t="shared" si="8"/>
        <v>845.63</v>
      </c>
      <c r="AI86" s="11" t="str">
        <f t="shared" si="9"/>
        <v>0.1-0.2</v>
      </c>
    </row>
    <row r="87" spans="24:35" x14ac:dyDescent="0.25">
      <c r="X87" t="s">
        <v>628</v>
      </c>
      <c r="Y87" t="s">
        <v>649</v>
      </c>
      <c r="Z87" t="s">
        <v>1507</v>
      </c>
      <c r="AA87" s="19">
        <v>1418.51</v>
      </c>
      <c r="AB87" s="30" t="s">
        <v>1499</v>
      </c>
      <c r="AC87" s="56"/>
      <c r="AE87" s="4" t="str">
        <f t="shared" si="5"/>
        <v>ORD-2023-451931</v>
      </c>
      <c r="AF87" s="4" t="str">
        <f t="shared" si="6"/>
        <v>Europe</v>
      </c>
      <c r="AG87" s="4" t="str">
        <f t="shared" si="7"/>
        <v>Q3</v>
      </c>
      <c r="AH87" s="19">
        <f t="shared" si="8"/>
        <v>1418.51</v>
      </c>
      <c r="AI87" s="11" t="str">
        <f t="shared" si="9"/>
        <v>0.1-0.2</v>
      </c>
    </row>
    <row r="88" spans="24:35" x14ac:dyDescent="0.25">
      <c r="X88" t="s">
        <v>558</v>
      </c>
      <c r="Y88" t="s">
        <v>649</v>
      </c>
      <c r="Z88" t="s">
        <v>1507</v>
      </c>
      <c r="AA88" s="19">
        <v>460.21</v>
      </c>
      <c r="AB88" s="30" t="s">
        <v>1499</v>
      </c>
      <c r="AC88" s="56"/>
      <c r="AE88" s="4" t="str">
        <f t="shared" si="5"/>
        <v>ORD-2023-453699</v>
      </c>
      <c r="AF88" s="4" t="str">
        <f t="shared" si="6"/>
        <v>Europe</v>
      </c>
      <c r="AG88" s="4" t="str">
        <f t="shared" si="7"/>
        <v>Q3</v>
      </c>
      <c r="AH88" s="19">
        <f t="shared" si="8"/>
        <v>460.21</v>
      </c>
      <c r="AI88" s="11" t="str">
        <f t="shared" si="9"/>
        <v>0.1-0.2</v>
      </c>
    </row>
    <row r="89" spans="24:35" x14ac:dyDescent="0.25">
      <c r="X89" t="s">
        <v>644</v>
      </c>
      <c r="Y89" t="s">
        <v>647</v>
      </c>
      <c r="Z89" t="s">
        <v>1508</v>
      </c>
      <c r="AA89" s="19">
        <v>807.11</v>
      </c>
      <c r="AB89" s="30" t="s">
        <v>1499</v>
      </c>
      <c r="AC89" s="56"/>
      <c r="AE89" s="4" t="str">
        <f t="shared" si="5"/>
        <v>ORD-2023-455933</v>
      </c>
      <c r="AF89" s="4" t="str">
        <f t="shared" si="6"/>
        <v>Asia</v>
      </c>
      <c r="AG89" s="4" t="str">
        <f t="shared" si="7"/>
        <v>Q4</v>
      </c>
      <c r="AH89" s="19">
        <f t="shared" si="8"/>
        <v>807.11</v>
      </c>
      <c r="AI89" s="11" t="str">
        <f t="shared" si="9"/>
        <v>0.1-0.2</v>
      </c>
    </row>
    <row r="90" spans="24:35" x14ac:dyDescent="0.25">
      <c r="X90" t="s">
        <v>535</v>
      </c>
      <c r="Y90" t="s">
        <v>647</v>
      </c>
      <c r="Z90" t="s">
        <v>1506</v>
      </c>
      <c r="AA90" s="19">
        <v>1286.1600000000001</v>
      </c>
      <c r="AB90" s="30" t="s">
        <v>1499</v>
      </c>
      <c r="AC90" s="56"/>
      <c r="AE90" s="4" t="str">
        <f t="shared" si="5"/>
        <v>ORD-2023-472050</v>
      </c>
      <c r="AF90" s="4" t="str">
        <f t="shared" si="6"/>
        <v>Asia</v>
      </c>
      <c r="AG90" s="4" t="str">
        <f t="shared" si="7"/>
        <v>Q2</v>
      </c>
      <c r="AH90" s="19">
        <f t="shared" si="8"/>
        <v>1286.1600000000001</v>
      </c>
      <c r="AI90" s="11" t="str">
        <f t="shared" si="9"/>
        <v>0.1-0.2</v>
      </c>
    </row>
    <row r="91" spans="24:35" x14ac:dyDescent="0.25">
      <c r="X91" t="s">
        <v>562</v>
      </c>
      <c r="Y91" t="s">
        <v>649</v>
      </c>
      <c r="Z91" t="s">
        <v>1505</v>
      </c>
      <c r="AA91" s="19">
        <v>880.02</v>
      </c>
      <c r="AB91" s="30" t="s">
        <v>1499</v>
      </c>
      <c r="AC91" s="56"/>
      <c r="AE91" s="4" t="str">
        <f t="shared" si="5"/>
        <v>ORD-2023-472078</v>
      </c>
      <c r="AF91" s="4" t="str">
        <f t="shared" si="6"/>
        <v>Europe</v>
      </c>
      <c r="AG91" s="4" t="str">
        <f t="shared" si="7"/>
        <v>Q1</v>
      </c>
      <c r="AH91" s="19">
        <f t="shared" si="8"/>
        <v>880.02</v>
      </c>
      <c r="AI91" s="11" t="str">
        <f t="shared" si="9"/>
        <v>0.1-0.2</v>
      </c>
    </row>
    <row r="92" spans="24:35" x14ac:dyDescent="0.25">
      <c r="X92" t="s">
        <v>270</v>
      </c>
      <c r="Y92" t="s">
        <v>647</v>
      </c>
      <c r="Z92" t="s">
        <v>1508</v>
      </c>
      <c r="AA92" s="19">
        <v>1470.26</v>
      </c>
      <c r="AB92" s="30" t="s">
        <v>1499</v>
      </c>
      <c r="AC92" s="56"/>
      <c r="AE92" s="4" t="str">
        <f t="shared" si="5"/>
        <v>ORD-2023-474313</v>
      </c>
      <c r="AF92" s="4" t="str">
        <f t="shared" si="6"/>
        <v>Asia</v>
      </c>
      <c r="AG92" s="4" t="str">
        <f t="shared" si="7"/>
        <v>Q4</v>
      </c>
      <c r="AH92" s="19">
        <f t="shared" si="8"/>
        <v>1470.26</v>
      </c>
      <c r="AI92" s="11" t="str">
        <f t="shared" si="9"/>
        <v>0.1-0.2</v>
      </c>
    </row>
    <row r="93" spans="24:35" x14ac:dyDescent="0.25">
      <c r="X93" t="s">
        <v>366</v>
      </c>
      <c r="Y93" t="s">
        <v>646</v>
      </c>
      <c r="Z93" t="s">
        <v>1507</v>
      </c>
      <c r="AA93" s="19">
        <v>956.38</v>
      </c>
      <c r="AB93" s="30" t="s">
        <v>1498</v>
      </c>
      <c r="AC93" s="56"/>
      <c r="AE93" s="4" t="str">
        <f t="shared" si="5"/>
        <v>ORD-2023-479747</v>
      </c>
      <c r="AF93" s="4" t="str">
        <f t="shared" si="6"/>
        <v>Africa</v>
      </c>
      <c r="AG93" s="4" t="str">
        <f t="shared" si="7"/>
        <v>Q3</v>
      </c>
      <c r="AH93" s="19">
        <f t="shared" si="8"/>
        <v>956.38</v>
      </c>
      <c r="AI93" s="11" t="str">
        <f t="shared" si="9"/>
        <v>0-0.1</v>
      </c>
    </row>
    <row r="94" spans="24:35" x14ac:dyDescent="0.25">
      <c r="X94" t="s">
        <v>79</v>
      </c>
      <c r="Y94" t="s">
        <v>646</v>
      </c>
      <c r="Z94" t="s">
        <v>1505</v>
      </c>
      <c r="AA94" s="19">
        <v>498.5</v>
      </c>
      <c r="AB94" s="30" t="s">
        <v>1499</v>
      </c>
      <c r="AC94" s="56"/>
      <c r="AE94" s="4" t="str">
        <f t="shared" si="5"/>
        <v>ORD-2023-480975</v>
      </c>
      <c r="AF94" s="4" t="str">
        <f t="shared" si="6"/>
        <v>Africa</v>
      </c>
      <c r="AG94" s="4" t="str">
        <f t="shared" si="7"/>
        <v>Q1</v>
      </c>
      <c r="AH94" s="19">
        <f t="shared" si="8"/>
        <v>498.5</v>
      </c>
      <c r="AI94" s="11" t="str">
        <f t="shared" si="9"/>
        <v>0.1-0.2</v>
      </c>
    </row>
    <row r="95" spans="24:35" x14ac:dyDescent="0.25">
      <c r="X95" t="s">
        <v>561</v>
      </c>
      <c r="Y95" t="s">
        <v>648</v>
      </c>
      <c r="Z95" t="s">
        <v>1507</v>
      </c>
      <c r="AA95" s="19">
        <v>1299.03</v>
      </c>
      <c r="AB95" s="30" t="s">
        <v>1500</v>
      </c>
      <c r="AC95" s="56"/>
      <c r="AE95" s="4" t="str">
        <f t="shared" si="5"/>
        <v>ORD-2023-488227</v>
      </c>
      <c r="AF95" s="4" t="str">
        <f t="shared" si="6"/>
        <v>Americas</v>
      </c>
      <c r="AG95" s="4" t="str">
        <f t="shared" si="7"/>
        <v>Q3</v>
      </c>
      <c r="AH95" s="19">
        <f t="shared" si="8"/>
        <v>1299.03</v>
      </c>
      <c r="AI95" s="11" t="str">
        <f t="shared" si="9"/>
        <v>0.2-0.3</v>
      </c>
    </row>
    <row r="96" spans="24:35" x14ac:dyDescent="0.25">
      <c r="X96" t="s">
        <v>166</v>
      </c>
      <c r="Y96" t="s">
        <v>646</v>
      </c>
      <c r="Z96" t="s">
        <v>1507</v>
      </c>
      <c r="AA96" s="19">
        <v>1001.96</v>
      </c>
      <c r="AB96" s="30" t="s">
        <v>1498</v>
      </c>
      <c r="AC96" s="56"/>
      <c r="AE96" s="4" t="str">
        <f t="shared" si="5"/>
        <v>ORD-2023-497686</v>
      </c>
      <c r="AF96" s="4" t="str">
        <f t="shared" si="6"/>
        <v>Africa</v>
      </c>
      <c r="AG96" s="4" t="str">
        <f t="shared" si="7"/>
        <v>Q3</v>
      </c>
      <c r="AH96" s="19">
        <f t="shared" si="8"/>
        <v>1001.96</v>
      </c>
      <c r="AI96" s="11" t="str">
        <f t="shared" si="9"/>
        <v>0-0.1</v>
      </c>
    </row>
    <row r="97" spans="24:35" x14ac:dyDescent="0.25">
      <c r="X97" t="s">
        <v>238</v>
      </c>
      <c r="Y97" t="s">
        <v>649</v>
      </c>
      <c r="Z97" t="s">
        <v>1506</v>
      </c>
      <c r="AA97" s="19">
        <v>1089.1500000000001</v>
      </c>
      <c r="AB97" s="30" t="s">
        <v>1498</v>
      </c>
      <c r="AC97" s="56"/>
      <c r="AE97" s="4" t="str">
        <f t="shared" si="5"/>
        <v>ORD-2023-501220</v>
      </c>
      <c r="AF97" s="4" t="str">
        <f t="shared" si="6"/>
        <v>Europe</v>
      </c>
      <c r="AG97" s="4" t="str">
        <f t="shared" si="7"/>
        <v>Q2</v>
      </c>
      <c r="AH97" s="19">
        <f t="shared" si="8"/>
        <v>1089.1500000000001</v>
      </c>
      <c r="AI97" s="11" t="str">
        <f t="shared" si="9"/>
        <v>0-0.1</v>
      </c>
    </row>
    <row r="98" spans="24:35" x14ac:dyDescent="0.25">
      <c r="X98" t="s">
        <v>630</v>
      </c>
      <c r="Y98" t="s">
        <v>646</v>
      </c>
      <c r="Z98" t="s">
        <v>1508</v>
      </c>
      <c r="AA98" s="19">
        <v>391.16</v>
      </c>
      <c r="AB98" s="30" t="s">
        <v>1498</v>
      </c>
      <c r="AC98" s="56"/>
      <c r="AE98" s="4" t="str">
        <f t="shared" si="5"/>
        <v>ORD-2023-502205</v>
      </c>
      <c r="AF98" s="4" t="str">
        <f t="shared" si="6"/>
        <v>Africa</v>
      </c>
      <c r="AG98" s="4" t="str">
        <f t="shared" si="7"/>
        <v>Q4</v>
      </c>
      <c r="AH98" s="19">
        <f t="shared" si="8"/>
        <v>391.16</v>
      </c>
      <c r="AI98" s="11" t="str">
        <f t="shared" si="9"/>
        <v>0-0.1</v>
      </c>
    </row>
    <row r="99" spans="24:35" x14ac:dyDescent="0.25">
      <c r="X99" t="s">
        <v>254</v>
      </c>
      <c r="Y99" t="s">
        <v>647</v>
      </c>
      <c r="Z99" t="s">
        <v>1507</v>
      </c>
      <c r="AA99" s="19">
        <v>385.32</v>
      </c>
      <c r="AB99" s="30" t="s">
        <v>1498</v>
      </c>
      <c r="AC99" s="56"/>
      <c r="AE99" s="4" t="str">
        <f t="shared" si="5"/>
        <v>ORD-2023-517216</v>
      </c>
      <c r="AF99" s="4" t="str">
        <f t="shared" si="6"/>
        <v>Asia</v>
      </c>
      <c r="AG99" s="4" t="str">
        <f t="shared" si="7"/>
        <v>Q3</v>
      </c>
      <c r="AH99" s="19">
        <f t="shared" si="8"/>
        <v>385.32</v>
      </c>
      <c r="AI99" s="11" t="str">
        <f t="shared" si="9"/>
        <v>0-0.1</v>
      </c>
    </row>
    <row r="100" spans="24:35" x14ac:dyDescent="0.25">
      <c r="X100" t="s">
        <v>275</v>
      </c>
      <c r="Y100" t="s">
        <v>649</v>
      </c>
      <c r="Z100" t="s">
        <v>1506</v>
      </c>
      <c r="AA100" s="19">
        <v>1471.58</v>
      </c>
      <c r="AB100" s="30" t="s">
        <v>1498</v>
      </c>
      <c r="AC100" s="56"/>
      <c r="AE100" s="4" t="str">
        <f t="shared" si="5"/>
        <v>ORD-2023-521280</v>
      </c>
      <c r="AF100" s="4" t="str">
        <f t="shared" si="6"/>
        <v>Europe</v>
      </c>
      <c r="AG100" s="4" t="str">
        <f t="shared" si="7"/>
        <v>Q2</v>
      </c>
      <c r="AH100" s="19">
        <f t="shared" si="8"/>
        <v>1471.58</v>
      </c>
      <c r="AI100" s="11" t="str">
        <f t="shared" si="9"/>
        <v>0-0.1</v>
      </c>
    </row>
    <row r="101" spans="24:35" x14ac:dyDescent="0.25">
      <c r="X101" t="s">
        <v>144</v>
      </c>
      <c r="Y101" t="s">
        <v>648</v>
      </c>
      <c r="Z101" t="s">
        <v>1505</v>
      </c>
      <c r="AA101" s="19">
        <v>413.52</v>
      </c>
      <c r="AB101" s="30" t="s">
        <v>1499</v>
      </c>
      <c r="AC101" s="56"/>
      <c r="AE101" s="4" t="str">
        <f t="shared" si="5"/>
        <v>ORD-2023-521818</v>
      </c>
      <c r="AF101" s="4" t="str">
        <f t="shared" si="6"/>
        <v>Americas</v>
      </c>
      <c r="AG101" s="4" t="str">
        <f t="shared" si="7"/>
        <v>Q1</v>
      </c>
      <c r="AH101" s="19">
        <f t="shared" si="8"/>
        <v>413.52</v>
      </c>
      <c r="AI101" s="11" t="str">
        <f t="shared" si="9"/>
        <v>0.1-0.2</v>
      </c>
    </row>
    <row r="102" spans="24:35" x14ac:dyDescent="0.25">
      <c r="Y102" t="s">
        <v>647</v>
      </c>
      <c r="Z102" t="s">
        <v>1505</v>
      </c>
      <c r="AA102" s="19">
        <v>1262.0999999999999</v>
      </c>
      <c r="AB102" s="30" t="s">
        <v>1500</v>
      </c>
      <c r="AC102" s="56"/>
      <c r="AE102" s="4">
        <f t="shared" si="5"/>
        <v>0</v>
      </c>
      <c r="AF102" s="4" t="str">
        <f t="shared" si="6"/>
        <v>Asia</v>
      </c>
      <c r="AG102" s="4" t="str">
        <f t="shared" si="7"/>
        <v>Q1</v>
      </c>
      <c r="AH102" s="19">
        <f t="shared" si="8"/>
        <v>1262.0999999999999</v>
      </c>
      <c r="AI102" s="11" t="str">
        <f t="shared" si="9"/>
        <v>0.2-0.3</v>
      </c>
    </row>
    <row r="103" spans="24:35" x14ac:dyDescent="0.25">
      <c r="X103" t="s">
        <v>547</v>
      </c>
      <c r="Y103" t="s">
        <v>646</v>
      </c>
      <c r="Z103" t="s">
        <v>1507</v>
      </c>
      <c r="AA103" s="19">
        <v>676.37</v>
      </c>
      <c r="AB103" s="30" t="s">
        <v>1498</v>
      </c>
      <c r="AC103" s="56"/>
      <c r="AE103" s="4" t="str">
        <f t="shared" si="5"/>
        <v>ORD-2023-525643</v>
      </c>
      <c r="AF103" s="4" t="str">
        <f t="shared" si="6"/>
        <v>Africa</v>
      </c>
      <c r="AG103" s="4" t="str">
        <f t="shared" si="7"/>
        <v>Q3</v>
      </c>
      <c r="AH103" s="19">
        <f t="shared" si="8"/>
        <v>676.37</v>
      </c>
      <c r="AI103" s="11" t="str">
        <f t="shared" si="9"/>
        <v>0-0.1</v>
      </c>
    </row>
    <row r="104" spans="24:35" x14ac:dyDescent="0.25">
      <c r="X104" t="s">
        <v>341</v>
      </c>
      <c r="Y104" t="s">
        <v>646</v>
      </c>
      <c r="Z104" t="s">
        <v>1506</v>
      </c>
      <c r="AA104" s="19">
        <v>894.23</v>
      </c>
      <c r="AB104" s="30" t="s">
        <v>1499</v>
      </c>
      <c r="AC104" s="56"/>
      <c r="AE104" s="4" t="str">
        <f t="shared" si="5"/>
        <v>ORD-2023-536542</v>
      </c>
      <c r="AF104" s="4" t="str">
        <f t="shared" si="6"/>
        <v>Africa</v>
      </c>
      <c r="AG104" s="4" t="str">
        <f t="shared" si="7"/>
        <v>Q2</v>
      </c>
      <c r="AH104" s="19">
        <f t="shared" si="8"/>
        <v>894.23</v>
      </c>
      <c r="AI104" s="11" t="str">
        <f t="shared" si="9"/>
        <v>0.1-0.2</v>
      </c>
    </row>
    <row r="105" spans="24:35" x14ac:dyDescent="0.25">
      <c r="X105" t="s">
        <v>474</v>
      </c>
      <c r="Y105" t="s">
        <v>647</v>
      </c>
      <c r="Z105" t="s">
        <v>1507</v>
      </c>
      <c r="AA105" s="19">
        <v>141.26</v>
      </c>
      <c r="AB105" s="30" t="s">
        <v>1499</v>
      </c>
      <c r="AC105" s="56"/>
      <c r="AE105" s="4" t="str">
        <f t="shared" si="5"/>
        <v>ORD-2023-539967</v>
      </c>
      <c r="AF105" s="4" t="str">
        <f t="shared" si="6"/>
        <v>Asia</v>
      </c>
      <c r="AG105" s="4" t="str">
        <f t="shared" si="7"/>
        <v>Q3</v>
      </c>
      <c r="AH105" s="19">
        <f t="shared" si="8"/>
        <v>141.26</v>
      </c>
      <c r="AI105" s="11" t="str">
        <f t="shared" si="9"/>
        <v>0.1-0.2</v>
      </c>
    </row>
    <row r="106" spans="24:35" x14ac:dyDescent="0.25">
      <c r="X106" t="s">
        <v>386</v>
      </c>
      <c r="Y106" t="s">
        <v>646</v>
      </c>
      <c r="Z106" t="s">
        <v>1506</v>
      </c>
      <c r="AA106" s="19">
        <v>720.35</v>
      </c>
      <c r="AB106" s="30" t="s">
        <v>1499</v>
      </c>
      <c r="AC106" s="56"/>
      <c r="AE106" s="4" t="str">
        <f t="shared" si="5"/>
        <v>ORD-2023-545150</v>
      </c>
      <c r="AF106" s="4" t="str">
        <f t="shared" si="6"/>
        <v>Africa</v>
      </c>
      <c r="AG106" s="4" t="str">
        <f t="shared" si="7"/>
        <v>Q2</v>
      </c>
      <c r="AH106" s="19">
        <f t="shared" si="8"/>
        <v>720.35</v>
      </c>
      <c r="AI106" s="11" t="str">
        <f t="shared" si="9"/>
        <v>0.1-0.2</v>
      </c>
    </row>
    <row r="107" spans="24:35" x14ac:dyDescent="0.25">
      <c r="X107" t="s">
        <v>81</v>
      </c>
      <c r="Y107" t="s">
        <v>649</v>
      </c>
      <c r="Z107" t="s">
        <v>1505</v>
      </c>
      <c r="AA107" s="19">
        <v>1082.17</v>
      </c>
      <c r="AB107" s="30" t="s">
        <v>1499</v>
      </c>
      <c r="AC107" s="56"/>
      <c r="AE107" s="4" t="str">
        <f t="shared" si="5"/>
        <v>ORD-2023-548874</v>
      </c>
      <c r="AF107" s="4" t="str">
        <f t="shared" si="6"/>
        <v>Europe</v>
      </c>
      <c r="AG107" s="4" t="str">
        <f t="shared" si="7"/>
        <v>Q1</v>
      </c>
      <c r="AH107" s="19">
        <f t="shared" si="8"/>
        <v>1082.17</v>
      </c>
      <c r="AI107" s="11" t="str">
        <f t="shared" si="9"/>
        <v>0.1-0.2</v>
      </c>
    </row>
    <row r="108" spans="24:35" x14ac:dyDescent="0.25">
      <c r="X108" t="s">
        <v>641</v>
      </c>
      <c r="Y108" t="s">
        <v>647</v>
      </c>
      <c r="Z108" t="s">
        <v>1507</v>
      </c>
      <c r="AA108" s="19">
        <v>226.04</v>
      </c>
      <c r="AB108" s="30" t="s">
        <v>1499</v>
      </c>
      <c r="AC108" s="56"/>
      <c r="AE108" s="4" t="str">
        <f t="shared" si="5"/>
        <v>ORD-2023-548934</v>
      </c>
      <c r="AF108" s="4" t="str">
        <f t="shared" si="6"/>
        <v>Asia</v>
      </c>
      <c r="AG108" s="4" t="str">
        <f t="shared" si="7"/>
        <v>Q3</v>
      </c>
      <c r="AH108" s="19">
        <f t="shared" si="8"/>
        <v>226.04</v>
      </c>
      <c r="AI108" s="11" t="str">
        <f t="shared" si="9"/>
        <v>0.1-0.2</v>
      </c>
    </row>
    <row r="109" spans="24:35" x14ac:dyDescent="0.25">
      <c r="X109" t="s">
        <v>619</v>
      </c>
      <c r="Y109" t="s">
        <v>648</v>
      </c>
      <c r="Z109" t="s">
        <v>1507</v>
      </c>
      <c r="AA109" s="19">
        <v>689.33</v>
      </c>
      <c r="AB109" s="30" t="s">
        <v>1499</v>
      </c>
      <c r="AC109" s="56"/>
      <c r="AE109" s="4" t="str">
        <f t="shared" si="5"/>
        <v>ORD-2023-552115</v>
      </c>
      <c r="AF109" s="4" t="str">
        <f t="shared" si="6"/>
        <v>Americas</v>
      </c>
      <c r="AG109" s="4" t="str">
        <f t="shared" si="7"/>
        <v>Q3</v>
      </c>
      <c r="AH109" s="19">
        <f t="shared" si="8"/>
        <v>689.33</v>
      </c>
      <c r="AI109" s="11" t="str">
        <f t="shared" si="9"/>
        <v>0.1-0.2</v>
      </c>
    </row>
    <row r="110" spans="24:35" x14ac:dyDescent="0.25">
      <c r="X110" t="s">
        <v>639</v>
      </c>
      <c r="Y110" t="s">
        <v>647</v>
      </c>
      <c r="Z110" t="s">
        <v>1508</v>
      </c>
      <c r="AA110" s="19">
        <v>1349.04</v>
      </c>
      <c r="AB110" s="30" t="s">
        <v>1499</v>
      </c>
      <c r="AC110" s="56"/>
      <c r="AE110" s="4" t="str">
        <f t="shared" si="5"/>
        <v>ORD-2023-561823</v>
      </c>
      <c r="AF110" s="4" t="str">
        <f t="shared" si="6"/>
        <v>Asia</v>
      </c>
      <c r="AG110" s="4" t="str">
        <f t="shared" si="7"/>
        <v>Q4</v>
      </c>
      <c r="AH110" s="19">
        <f t="shared" si="8"/>
        <v>1349.04</v>
      </c>
      <c r="AI110" s="11" t="str">
        <f t="shared" si="9"/>
        <v>0.1-0.2</v>
      </c>
    </row>
    <row r="111" spans="24:35" x14ac:dyDescent="0.25">
      <c r="X111" t="s">
        <v>46</v>
      </c>
      <c r="Y111" t="s">
        <v>648</v>
      </c>
      <c r="Z111" t="s">
        <v>1505</v>
      </c>
      <c r="AA111" s="19">
        <v>1242.6600000000001</v>
      </c>
      <c r="AB111" s="30" t="s">
        <v>1498</v>
      </c>
      <c r="AC111" s="56"/>
      <c r="AE111" s="4" t="str">
        <f t="shared" si="5"/>
        <v>ORD-2023-562894</v>
      </c>
      <c r="AF111" s="4" t="str">
        <f t="shared" si="6"/>
        <v>Americas</v>
      </c>
      <c r="AG111" s="4" t="str">
        <f t="shared" si="7"/>
        <v>Q1</v>
      </c>
      <c r="AH111" s="19">
        <f t="shared" si="8"/>
        <v>1242.6600000000001</v>
      </c>
      <c r="AI111" s="11" t="str">
        <f t="shared" si="9"/>
        <v>0-0.1</v>
      </c>
    </row>
    <row r="112" spans="24:35" x14ac:dyDescent="0.25">
      <c r="X112" t="s">
        <v>530</v>
      </c>
      <c r="Y112" t="s">
        <v>647</v>
      </c>
      <c r="Z112" t="s">
        <v>1507</v>
      </c>
      <c r="AA112" s="19">
        <v>649.13</v>
      </c>
      <c r="AB112" s="30" t="s">
        <v>1499</v>
      </c>
      <c r="AC112" s="56"/>
      <c r="AE112" s="4" t="str">
        <f t="shared" si="5"/>
        <v>ORD-2023-568013</v>
      </c>
      <c r="AF112" s="4" t="str">
        <f t="shared" si="6"/>
        <v>Asia</v>
      </c>
      <c r="AG112" s="4" t="str">
        <f t="shared" si="7"/>
        <v>Q3</v>
      </c>
      <c r="AH112" s="19">
        <f t="shared" si="8"/>
        <v>649.13</v>
      </c>
      <c r="AI112" s="11" t="str">
        <f t="shared" si="9"/>
        <v>0.1-0.2</v>
      </c>
    </row>
    <row r="113" spans="24:35" x14ac:dyDescent="0.25">
      <c r="X113" t="s">
        <v>492</v>
      </c>
      <c r="Y113" t="s">
        <v>649</v>
      </c>
      <c r="Z113" t="s">
        <v>1507</v>
      </c>
      <c r="AA113" s="19">
        <v>1039.03</v>
      </c>
      <c r="AB113" s="30" t="s">
        <v>1500</v>
      </c>
      <c r="AC113" s="56"/>
      <c r="AE113" s="4" t="str">
        <f t="shared" si="5"/>
        <v>ORD-2023-569862</v>
      </c>
      <c r="AF113" s="4" t="str">
        <f t="shared" si="6"/>
        <v>Europe</v>
      </c>
      <c r="AG113" s="4" t="str">
        <f t="shared" si="7"/>
        <v>Q3</v>
      </c>
      <c r="AH113" s="19">
        <f t="shared" si="8"/>
        <v>1039.03</v>
      </c>
      <c r="AI113" s="11" t="str">
        <f t="shared" si="9"/>
        <v>0.2-0.3</v>
      </c>
    </row>
    <row r="114" spans="24:35" x14ac:dyDescent="0.25">
      <c r="X114" t="s">
        <v>359</v>
      </c>
      <c r="Y114" t="s">
        <v>647</v>
      </c>
      <c r="Z114" t="s">
        <v>1508</v>
      </c>
      <c r="AA114" s="19">
        <v>1495.79</v>
      </c>
      <c r="AB114" s="30" t="s">
        <v>1498</v>
      </c>
      <c r="AC114" s="56"/>
      <c r="AE114" s="4" t="str">
        <f t="shared" si="5"/>
        <v>ORD-2023-573146</v>
      </c>
      <c r="AF114" s="4" t="str">
        <f t="shared" si="6"/>
        <v>Asia</v>
      </c>
      <c r="AG114" s="4" t="str">
        <f t="shared" si="7"/>
        <v>Q4</v>
      </c>
      <c r="AH114" s="19">
        <f t="shared" si="8"/>
        <v>1495.79</v>
      </c>
      <c r="AI114" s="11" t="str">
        <f t="shared" si="9"/>
        <v>0-0.1</v>
      </c>
    </row>
    <row r="115" spans="24:35" x14ac:dyDescent="0.25">
      <c r="X115" t="s">
        <v>514</v>
      </c>
      <c r="Y115" t="s">
        <v>647</v>
      </c>
      <c r="Z115" t="s">
        <v>1506</v>
      </c>
      <c r="AA115" s="19">
        <v>475.37</v>
      </c>
      <c r="AB115" s="30" t="s">
        <v>1498</v>
      </c>
      <c r="AC115" s="56"/>
      <c r="AE115" s="4" t="str">
        <f t="shared" si="5"/>
        <v>ORD-2023-573656</v>
      </c>
      <c r="AF115" s="4" t="str">
        <f t="shared" si="6"/>
        <v>Asia</v>
      </c>
      <c r="AG115" s="4" t="str">
        <f t="shared" si="7"/>
        <v>Q2</v>
      </c>
      <c r="AH115" s="19">
        <f t="shared" si="8"/>
        <v>475.37</v>
      </c>
      <c r="AI115" s="11" t="str">
        <f t="shared" si="9"/>
        <v>0-0.1</v>
      </c>
    </row>
    <row r="116" spans="24:35" x14ac:dyDescent="0.25">
      <c r="X116" t="s">
        <v>212</v>
      </c>
      <c r="Y116" t="s">
        <v>649</v>
      </c>
      <c r="Z116" t="s">
        <v>1505</v>
      </c>
      <c r="AA116" s="19">
        <v>1142.8800000000001</v>
      </c>
      <c r="AB116" s="30" t="s">
        <v>1499</v>
      </c>
      <c r="AC116" s="56"/>
      <c r="AE116" s="4" t="str">
        <f t="shared" si="5"/>
        <v>ORD-2023-575584</v>
      </c>
      <c r="AF116" s="4" t="str">
        <f t="shared" si="6"/>
        <v>Europe</v>
      </c>
      <c r="AG116" s="4" t="str">
        <f t="shared" si="7"/>
        <v>Q1</v>
      </c>
      <c r="AH116" s="19">
        <f t="shared" si="8"/>
        <v>1142.8800000000001</v>
      </c>
      <c r="AI116" s="11" t="str">
        <f t="shared" si="9"/>
        <v>0.1-0.2</v>
      </c>
    </row>
    <row r="117" spans="24:35" x14ac:dyDescent="0.25">
      <c r="X117" t="s">
        <v>136</v>
      </c>
      <c r="Y117" t="s">
        <v>649</v>
      </c>
      <c r="Z117" t="s">
        <v>1508</v>
      </c>
      <c r="AA117" s="19">
        <v>1297.42</v>
      </c>
      <c r="AB117" s="30" t="s">
        <v>1498</v>
      </c>
      <c r="AC117" s="56"/>
      <c r="AE117" s="4" t="str">
        <f t="shared" si="5"/>
        <v>ORD-2023-576840</v>
      </c>
      <c r="AF117" s="4" t="str">
        <f t="shared" si="6"/>
        <v>Europe</v>
      </c>
      <c r="AG117" s="4" t="str">
        <f t="shared" si="7"/>
        <v>Q4</v>
      </c>
      <c r="AH117" s="19">
        <f t="shared" si="8"/>
        <v>1297.42</v>
      </c>
      <c r="AI117" s="11" t="str">
        <f t="shared" si="9"/>
        <v>0-0.1</v>
      </c>
    </row>
    <row r="118" spans="24:35" x14ac:dyDescent="0.25">
      <c r="X118" t="s">
        <v>460</v>
      </c>
      <c r="Y118" t="s">
        <v>647</v>
      </c>
      <c r="Z118" t="s">
        <v>1508</v>
      </c>
      <c r="AA118" s="19">
        <v>625.37</v>
      </c>
      <c r="AB118" s="30" t="s">
        <v>1498</v>
      </c>
      <c r="AC118" s="56"/>
      <c r="AE118" s="4" t="str">
        <f t="shared" si="5"/>
        <v>ORD-2023-580751</v>
      </c>
      <c r="AF118" s="4" t="str">
        <f t="shared" si="6"/>
        <v>Asia</v>
      </c>
      <c r="AG118" s="4" t="str">
        <f t="shared" si="7"/>
        <v>Q4</v>
      </c>
      <c r="AH118" s="19">
        <f t="shared" si="8"/>
        <v>625.37</v>
      </c>
      <c r="AI118" s="11" t="str">
        <f t="shared" si="9"/>
        <v>0-0.1</v>
      </c>
    </row>
    <row r="119" spans="24:35" x14ac:dyDescent="0.25">
      <c r="X119" t="s">
        <v>470</v>
      </c>
      <c r="Y119" t="s">
        <v>648</v>
      </c>
      <c r="Z119" t="s">
        <v>1508</v>
      </c>
      <c r="AA119" s="19">
        <v>307.43</v>
      </c>
      <c r="AB119" s="30" t="s">
        <v>1498</v>
      </c>
      <c r="AC119" s="56"/>
      <c r="AE119" s="4" t="str">
        <f t="shared" si="5"/>
        <v>ORD-2023-581799</v>
      </c>
      <c r="AF119" s="4" t="str">
        <f t="shared" si="6"/>
        <v>Americas</v>
      </c>
      <c r="AG119" s="4" t="str">
        <f t="shared" si="7"/>
        <v>Q4</v>
      </c>
      <c r="AH119" s="19">
        <f t="shared" si="8"/>
        <v>307.43</v>
      </c>
      <c r="AI119" s="11" t="str">
        <f t="shared" si="9"/>
        <v>0-0.1</v>
      </c>
    </row>
    <row r="120" spans="24:35" x14ac:dyDescent="0.25">
      <c r="X120" t="s">
        <v>217</v>
      </c>
      <c r="Y120" t="s">
        <v>646</v>
      </c>
      <c r="Z120" t="s">
        <v>1505</v>
      </c>
      <c r="AA120" s="19">
        <v>884.36</v>
      </c>
      <c r="AB120" s="30" t="s">
        <v>1500</v>
      </c>
      <c r="AC120" s="56"/>
      <c r="AE120" s="4" t="str">
        <f t="shared" si="5"/>
        <v>ORD-2023-586275</v>
      </c>
      <c r="AF120" s="4" t="str">
        <f t="shared" si="6"/>
        <v>Africa</v>
      </c>
      <c r="AG120" s="4" t="str">
        <f t="shared" si="7"/>
        <v>Q1</v>
      </c>
      <c r="AH120" s="19">
        <f t="shared" si="8"/>
        <v>884.36</v>
      </c>
      <c r="AI120" s="11" t="str">
        <f t="shared" si="9"/>
        <v>0.2-0.3</v>
      </c>
    </row>
    <row r="121" spans="24:35" x14ac:dyDescent="0.25">
      <c r="X121" t="s">
        <v>489</v>
      </c>
      <c r="Y121" t="s">
        <v>648</v>
      </c>
      <c r="Z121" t="s">
        <v>1506</v>
      </c>
      <c r="AA121" s="19">
        <v>690.49</v>
      </c>
      <c r="AB121" s="30" t="s">
        <v>1498</v>
      </c>
      <c r="AC121" s="56"/>
      <c r="AE121" s="4" t="str">
        <f t="shared" si="5"/>
        <v>ORD-2023-588455</v>
      </c>
      <c r="AF121" s="4" t="str">
        <f t="shared" si="6"/>
        <v>Americas</v>
      </c>
      <c r="AG121" s="4" t="str">
        <f t="shared" si="7"/>
        <v>Q2</v>
      </c>
      <c r="AH121" s="19">
        <f t="shared" si="8"/>
        <v>690.49</v>
      </c>
      <c r="AI121" s="11" t="str">
        <f t="shared" si="9"/>
        <v>0-0.1</v>
      </c>
    </row>
    <row r="122" spans="24:35" x14ac:dyDescent="0.25">
      <c r="X122" t="s">
        <v>316</v>
      </c>
      <c r="Y122" t="s">
        <v>648</v>
      </c>
      <c r="Z122" t="s">
        <v>1507</v>
      </c>
      <c r="AA122" s="19">
        <v>1269.55</v>
      </c>
      <c r="AB122" s="30" t="s">
        <v>1499</v>
      </c>
      <c r="AC122" s="56"/>
      <c r="AE122" s="4" t="str">
        <f t="shared" si="5"/>
        <v>ORD-2023-594700</v>
      </c>
      <c r="AF122" s="4" t="str">
        <f t="shared" si="6"/>
        <v>Americas</v>
      </c>
      <c r="AG122" s="4" t="str">
        <f t="shared" si="7"/>
        <v>Q3</v>
      </c>
      <c r="AH122" s="19">
        <f t="shared" si="8"/>
        <v>1269.55</v>
      </c>
      <c r="AI122" s="11" t="str">
        <f t="shared" si="9"/>
        <v>0.1-0.2</v>
      </c>
    </row>
    <row r="123" spans="24:35" x14ac:dyDescent="0.25">
      <c r="X123" t="s">
        <v>397</v>
      </c>
      <c r="Y123" t="s">
        <v>648</v>
      </c>
      <c r="Z123" t="s">
        <v>1506</v>
      </c>
      <c r="AA123" s="19">
        <v>1145.53</v>
      </c>
      <c r="AB123" s="30" t="s">
        <v>1498</v>
      </c>
      <c r="AC123" s="56"/>
      <c r="AE123" s="4" t="str">
        <f t="shared" si="5"/>
        <v>ORD-2023-594955</v>
      </c>
      <c r="AF123" s="4" t="str">
        <f t="shared" si="6"/>
        <v>Americas</v>
      </c>
      <c r="AG123" s="4" t="str">
        <f t="shared" si="7"/>
        <v>Q2</v>
      </c>
      <c r="AH123" s="19">
        <f t="shared" si="8"/>
        <v>1145.53</v>
      </c>
      <c r="AI123" s="11" t="str">
        <f t="shared" si="9"/>
        <v>0-0.1</v>
      </c>
    </row>
    <row r="124" spans="24:35" x14ac:dyDescent="0.25">
      <c r="X124" t="s">
        <v>167</v>
      </c>
      <c r="Y124" t="s">
        <v>647</v>
      </c>
      <c r="Z124" t="s">
        <v>1508</v>
      </c>
      <c r="AA124" s="19">
        <v>1097.5899999999999</v>
      </c>
      <c r="AB124" s="30" t="s">
        <v>1499</v>
      </c>
      <c r="AC124" s="56"/>
      <c r="AE124" s="4" t="str">
        <f t="shared" si="5"/>
        <v>ORD-2023-596758</v>
      </c>
      <c r="AF124" s="4" t="str">
        <f t="shared" si="6"/>
        <v>Asia</v>
      </c>
      <c r="AG124" s="4" t="str">
        <f t="shared" si="7"/>
        <v>Q4</v>
      </c>
      <c r="AH124" s="19">
        <f t="shared" si="8"/>
        <v>1097.5899999999999</v>
      </c>
      <c r="AI124" s="11" t="str">
        <f t="shared" si="9"/>
        <v>0.1-0.2</v>
      </c>
    </row>
    <row r="125" spans="24:35" x14ac:dyDescent="0.25">
      <c r="X125" t="s">
        <v>500</v>
      </c>
      <c r="Y125" t="s">
        <v>649</v>
      </c>
      <c r="Z125" t="s">
        <v>1508</v>
      </c>
      <c r="AA125" s="19">
        <v>287.85000000000002</v>
      </c>
      <c r="AB125" s="30" t="s">
        <v>1500</v>
      </c>
      <c r="AC125" s="56"/>
      <c r="AE125" s="4" t="str">
        <f t="shared" si="5"/>
        <v>ORD-2023-597666</v>
      </c>
      <c r="AF125" s="4" t="str">
        <f t="shared" si="6"/>
        <v>Europe</v>
      </c>
      <c r="AG125" s="4" t="str">
        <f t="shared" si="7"/>
        <v>Q4</v>
      </c>
      <c r="AH125" s="19">
        <f t="shared" si="8"/>
        <v>287.85000000000002</v>
      </c>
      <c r="AI125" s="11" t="str">
        <f t="shared" si="9"/>
        <v>0.2-0.3</v>
      </c>
    </row>
    <row r="126" spans="24:35" x14ac:dyDescent="0.25">
      <c r="X126" t="s">
        <v>311</v>
      </c>
      <c r="Y126" t="s">
        <v>648</v>
      </c>
      <c r="Z126" t="s">
        <v>1506</v>
      </c>
      <c r="AA126" s="19">
        <v>337</v>
      </c>
      <c r="AB126" s="30" t="s">
        <v>1499</v>
      </c>
      <c r="AC126" s="56"/>
      <c r="AE126" s="4" t="str">
        <f t="shared" si="5"/>
        <v>ORD-2023-602648</v>
      </c>
      <c r="AF126" s="4" t="str">
        <f t="shared" si="6"/>
        <v>Americas</v>
      </c>
      <c r="AG126" s="4" t="str">
        <f t="shared" si="7"/>
        <v>Q2</v>
      </c>
      <c r="AH126" s="19">
        <f t="shared" si="8"/>
        <v>337</v>
      </c>
      <c r="AI126" s="11" t="str">
        <f t="shared" si="9"/>
        <v>0.1-0.2</v>
      </c>
    </row>
    <row r="127" spans="24:35" x14ac:dyDescent="0.25">
      <c r="X127" t="s">
        <v>139</v>
      </c>
      <c r="Y127" t="s">
        <v>648</v>
      </c>
      <c r="Z127" t="s">
        <v>1507</v>
      </c>
      <c r="AA127" s="19">
        <v>178.19</v>
      </c>
      <c r="AB127" s="30" t="s">
        <v>1498</v>
      </c>
      <c r="AC127" s="56"/>
      <c r="AE127" s="4" t="str">
        <f t="shared" si="5"/>
        <v>ORD-2023-603238</v>
      </c>
      <c r="AF127" s="4" t="str">
        <f t="shared" si="6"/>
        <v>Americas</v>
      </c>
      <c r="AG127" s="4" t="str">
        <f t="shared" si="7"/>
        <v>Q3</v>
      </c>
      <c r="AH127" s="19">
        <f t="shared" si="8"/>
        <v>178.19</v>
      </c>
      <c r="AI127" s="11" t="str">
        <f t="shared" si="9"/>
        <v>0-0.1</v>
      </c>
    </row>
    <row r="128" spans="24:35" x14ac:dyDescent="0.25">
      <c r="X128" t="s">
        <v>244</v>
      </c>
      <c r="Y128" t="s">
        <v>647</v>
      </c>
      <c r="Z128" t="s">
        <v>1506</v>
      </c>
      <c r="AA128" s="19">
        <v>54.62</v>
      </c>
      <c r="AB128" s="30" t="s">
        <v>1499</v>
      </c>
      <c r="AC128" s="56"/>
      <c r="AE128" s="4" t="str">
        <f t="shared" si="5"/>
        <v>ORD-2023-603650</v>
      </c>
      <c r="AF128" s="4" t="str">
        <f t="shared" si="6"/>
        <v>Asia</v>
      </c>
      <c r="AG128" s="4" t="str">
        <f t="shared" si="7"/>
        <v>Q2</v>
      </c>
      <c r="AH128" s="19">
        <f t="shared" si="8"/>
        <v>54.62</v>
      </c>
      <c r="AI128" s="11" t="str">
        <f t="shared" si="9"/>
        <v>0.1-0.2</v>
      </c>
    </row>
    <row r="129" spans="24:35" x14ac:dyDescent="0.25">
      <c r="X129" t="s">
        <v>493</v>
      </c>
      <c r="Y129" t="s">
        <v>649</v>
      </c>
      <c r="Z129" t="s">
        <v>1506</v>
      </c>
      <c r="AA129" s="19">
        <v>553.61</v>
      </c>
      <c r="AB129" s="30" t="s">
        <v>1498</v>
      </c>
      <c r="AC129" s="56"/>
      <c r="AE129" s="4" t="str">
        <f t="shared" si="5"/>
        <v>ORD-2023-609394</v>
      </c>
      <c r="AF129" s="4" t="str">
        <f t="shared" si="6"/>
        <v>Europe</v>
      </c>
      <c r="AG129" s="4" t="str">
        <f t="shared" si="7"/>
        <v>Q2</v>
      </c>
      <c r="AH129" s="19">
        <f t="shared" si="8"/>
        <v>553.61</v>
      </c>
      <c r="AI129" s="11" t="str">
        <f t="shared" si="9"/>
        <v>0-0.1</v>
      </c>
    </row>
    <row r="130" spans="24:35" x14ac:dyDescent="0.25">
      <c r="X130" t="s">
        <v>299</v>
      </c>
      <c r="Y130" t="s">
        <v>647</v>
      </c>
      <c r="Z130" t="s">
        <v>1506</v>
      </c>
      <c r="AA130" s="19">
        <v>554.76</v>
      </c>
      <c r="AB130" s="30" t="s">
        <v>1500</v>
      </c>
      <c r="AC130" s="56"/>
      <c r="AE130" s="4" t="str">
        <f t="shared" si="5"/>
        <v>ORD-2023-610470</v>
      </c>
      <c r="AF130" s="4" t="str">
        <f t="shared" si="6"/>
        <v>Asia</v>
      </c>
      <c r="AG130" s="4" t="str">
        <f t="shared" si="7"/>
        <v>Q2</v>
      </c>
      <c r="AH130" s="19">
        <f t="shared" si="8"/>
        <v>554.76</v>
      </c>
      <c r="AI130" s="11" t="str">
        <f t="shared" si="9"/>
        <v>0.2-0.3</v>
      </c>
    </row>
    <row r="131" spans="24:35" x14ac:dyDescent="0.25">
      <c r="X131" t="s">
        <v>152</v>
      </c>
      <c r="Y131" t="s">
        <v>646</v>
      </c>
      <c r="Z131" t="s">
        <v>1505</v>
      </c>
      <c r="AA131" s="19">
        <v>304.22000000000003</v>
      </c>
      <c r="AB131" s="30" t="s">
        <v>1500</v>
      </c>
      <c r="AC131" s="56"/>
      <c r="AE131" s="4" t="str">
        <f t="shared" si="5"/>
        <v>ORD-2023-613287</v>
      </c>
      <c r="AF131" s="4" t="str">
        <f t="shared" si="6"/>
        <v>Africa</v>
      </c>
      <c r="AG131" s="4" t="str">
        <f t="shared" si="7"/>
        <v>Q1</v>
      </c>
      <c r="AH131" s="19">
        <f t="shared" si="8"/>
        <v>304.22000000000003</v>
      </c>
      <c r="AI131" s="11" t="str">
        <f t="shared" si="9"/>
        <v>0.2-0.3</v>
      </c>
    </row>
    <row r="132" spans="24:35" x14ac:dyDescent="0.25">
      <c r="X132" t="s">
        <v>231</v>
      </c>
      <c r="Y132" t="s">
        <v>649</v>
      </c>
      <c r="Z132" t="s">
        <v>1505</v>
      </c>
      <c r="AA132" s="19">
        <v>150.86000000000001</v>
      </c>
      <c r="AB132" s="30" t="s">
        <v>1499</v>
      </c>
      <c r="AC132" s="56"/>
      <c r="AE132" s="4" t="str">
        <f t="shared" ref="AE132:AE195" si="10">X132</f>
        <v>ORD-2023-613317</v>
      </c>
      <c r="AF132" s="4" t="str">
        <f t="shared" ref="AF132:AF195" si="11">Y132</f>
        <v>Europe</v>
      </c>
      <c r="AG132" s="4" t="str">
        <f t="shared" ref="AG132:AG195" si="12">Z132</f>
        <v>Q1</v>
      </c>
      <c r="AH132" s="19">
        <f t="shared" ref="AH132:AH195" si="13">AA132</f>
        <v>150.86000000000001</v>
      </c>
      <c r="AI132" s="11" t="str">
        <f t="shared" ref="AI132:AI195" si="14">AB132</f>
        <v>0.1-0.2</v>
      </c>
    </row>
    <row r="133" spans="24:35" x14ac:dyDescent="0.25">
      <c r="X133" t="s">
        <v>402</v>
      </c>
      <c r="Y133" t="s">
        <v>647</v>
      </c>
      <c r="Z133" t="s">
        <v>1507</v>
      </c>
      <c r="AA133" s="19">
        <v>1019.36</v>
      </c>
      <c r="AB133" s="30" t="s">
        <v>1499</v>
      </c>
      <c r="AC133" s="56"/>
      <c r="AE133" s="4" t="str">
        <f t="shared" si="10"/>
        <v>ORD-2023-619385</v>
      </c>
      <c r="AF133" s="4" t="str">
        <f t="shared" si="11"/>
        <v>Asia</v>
      </c>
      <c r="AG133" s="4" t="str">
        <f t="shared" si="12"/>
        <v>Q3</v>
      </c>
      <c r="AH133" s="19">
        <f t="shared" si="13"/>
        <v>1019.36</v>
      </c>
      <c r="AI133" s="11" t="str">
        <f t="shared" si="14"/>
        <v>0.1-0.2</v>
      </c>
    </row>
    <row r="134" spans="24:35" x14ac:dyDescent="0.25">
      <c r="X134" t="s">
        <v>606</v>
      </c>
      <c r="Y134" t="s">
        <v>648</v>
      </c>
      <c r="Z134" t="s">
        <v>1505</v>
      </c>
      <c r="AA134" s="19">
        <v>1015.91</v>
      </c>
      <c r="AB134" s="30" t="s">
        <v>1499</v>
      </c>
      <c r="AC134" s="56"/>
      <c r="AE134" s="4" t="str">
        <f t="shared" si="10"/>
        <v>ORD-2023-619493</v>
      </c>
      <c r="AF134" s="4" t="str">
        <f t="shared" si="11"/>
        <v>Americas</v>
      </c>
      <c r="AG134" s="4" t="str">
        <f t="shared" si="12"/>
        <v>Q1</v>
      </c>
      <c r="AH134" s="19">
        <f t="shared" si="13"/>
        <v>1015.91</v>
      </c>
      <c r="AI134" s="11" t="str">
        <f t="shared" si="14"/>
        <v>0.1-0.2</v>
      </c>
    </row>
    <row r="135" spans="24:35" x14ac:dyDescent="0.25">
      <c r="X135" t="s">
        <v>331</v>
      </c>
      <c r="Y135" t="s">
        <v>648</v>
      </c>
      <c r="Z135" t="s">
        <v>1508</v>
      </c>
      <c r="AA135" s="19">
        <v>1017.92</v>
      </c>
      <c r="AB135" s="30" t="s">
        <v>1498</v>
      </c>
      <c r="AC135" s="56"/>
      <c r="AE135" s="4" t="str">
        <f t="shared" si="10"/>
        <v>ORD-2023-619570</v>
      </c>
      <c r="AF135" s="4" t="str">
        <f t="shared" si="11"/>
        <v>Americas</v>
      </c>
      <c r="AG135" s="4" t="str">
        <f t="shared" si="12"/>
        <v>Q4</v>
      </c>
      <c r="AH135" s="19">
        <f t="shared" si="13"/>
        <v>1017.92</v>
      </c>
      <c r="AI135" s="11" t="str">
        <f t="shared" si="14"/>
        <v>0-0.1</v>
      </c>
    </row>
    <row r="136" spans="24:35" x14ac:dyDescent="0.25">
      <c r="X136" t="s">
        <v>552</v>
      </c>
      <c r="Y136" t="s">
        <v>646</v>
      </c>
      <c r="Z136" t="s">
        <v>1507</v>
      </c>
      <c r="AA136" s="19">
        <v>612.59</v>
      </c>
      <c r="AB136" s="30" t="s">
        <v>1498</v>
      </c>
      <c r="AC136" s="56"/>
      <c r="AE136" s="4" t="str">
        <f t="shared" si="10"/>
        <v>ORD-2023-621393</v>
      </c>
      <c r="AF136" s="4" t="str">
        <f t="shared" si="11"/>
        <v>Africa</v>
      </c>
      <c r="AG136" s="4" t="str">
        <f t="shared" si="12"/>
        <v>Q3</v>
      </c>
      <c r="AH136" s="19">
        <f t="shared" si="13"/>
        <v>612.59</v>
      </c>
      <c r="AI136" s="11" t="str">
        <f t="shared" si="14"/>
        <v>0-0.1</v>
      </c>
    </row>
    <row r="137" spans="24:35" x14ac:dyDescent="0.25">
      <c r="X137" t="s">
        <v>434</v>
      </c>
      <c r="Y137" t="s">
        <v>647</v>
      </c>
      <c r="Z137" t="s">
        <v>1508</v>
      </c>
      <c r="AA137" s="19">
        <v>1102.19</v>
      </c>
      <c r="AB137" s="30" t="s">
        <v>1499</v>
      </c>
      <c r="AC137" s="56"/>
      <c r="AE137" s="4" t="str">
        <f t="shared" si="10"/>
        <v>ORD-2023-623293</v>
      </c>
      <c r="AF137" s="4" t="str">
        <f t="shared" si="11"/>
        <v>Asia</v>
      </c>
      <c r="AG137" s="4" t="str">
        <f t="shared" si="12"/>
        <v>Q4</v>
      </c>
      <c r="AH137" s="19">
        <f t="shared" si="13"/>
        <v>1102.19</v>
      </c>
      <c r="AI137" s="11" t="str">
        <f t="shared" si="14"/>
        <v>0.1-0.2</v>
      </c>
    </row>
    <row r="138" spans="24:35" x14ac:dyDescent="0.25">
      <c r="X138" t="s">
        <v>276</v>
      </c>
      <c r="Y138" t="s">
        <v>648</v>
      </c>
      <c r="Z138" t="s">
        <v>1507</v>
      </c>
      <c r="AA138" s="19">
        <v>582.88</v>
      </c>
      <c r="AB138" s="30" t="s">
        <v>1500</v>
      </c>
      <c r="AC138" s="56"/>
      <c r="AE138" s="4" t="str">
        <f t="shared" si="10"/>
        <v>ORD-2023-630430</v>
      </c>
      <c r="AF138" s="4" t="str">
        <f t="shared" si="11"/>
        <v>Americas</v>
      </c>
      <c r="AG138" s="4" t="str">
        <f t="shared" si="12"/>
        <v>Q3</v>
      </c>
      <c r="AH138" s="19">
        <f t="shared" si="13"/>
        <v>582.88</v>
      </c>
      <c r="AI138" s="11" t="str">
        <f t="shared" si="14"/>
        <v>0.2-0.3</v>
      </c>
    </row>
    <row r="139" spans="24:35" x14ac:dyDescent="0.25">
      <c r="X139" t="s">
        <v>281</v>
      </c>
      <c r="Y139" t="s">
        <v>646</v>
      </c>
      <c r="Z139" t="s">
        <v>1506</v>
      </c>
      <c r="AA139" s="19">
        <v>1269.6500000000001</v>
      </c>
      <c r="AB139" s="30" t="s">
        <v>1499</v>
      </c>
      <c r="AC139" s="56"/>
      <c r="AE139" s="4" t="str">
        <f t="shared" si="10"/>
        <v>ORD-2023-632893</v>
      </c>
      <c r="AF139" s="4" t="str">
        <f t="shared" si="11"/>
        <v>Africa</v>
      </c>
      <c r="AG139" s="4" t="str">
        <f t="shared" si="12"/>
        <v>Q2</v>
      </c>
      <c r="AH139" s="19">
        <f t="shared" si="13"/>
        <v>1269.6500000000001</v>
      </c>
      <c r="AI139" s="11" t="str">
        <f t="shared" si="14"/>
        <v>0.1-0.2</v>
      </c>
    </row>
    <row r="140" spans="24:35" x14ac:dyDescent="0.25">
      <c r="X140" t="s">
        <v>274</v>
      </c>
      <c r="Y140" t="s">
        <v>646</v>
      </c>
      <c r="Z140" t="s">
        <v>1506</v>
      </c>
      <c r="AA140" s="19">
        <v>1120.06</v>
      </c>
      <c r="AB140" s="30" t="s">
        <v>1498</v>
      </c>
      <c r="AC140" s="56"/>
      <c r="AE140" s="4" t="str">
        <f t="shared" si="10"/>
        <v>ORD-2023-638181</v>
      </c>
      <c r="AF140" s="4" t="str">
        <f t="shared" si="11"/>
        <v>Africa</v>
      </c>
      <c r="AG140" s="4" t="str">
        <f t="shared" si="12"/>
        <v>Q2</v>
      </c>
      <c r="AH140" s="19">
        <f t="shared" si="13"/>
        <v>1120.06</v>
      </c>
      <c r="AI140" s="11" t="str">
        <f t="shared" si="14"/>
        <v>0-0.1</v>
      </c>
    </row>
    <row r="141" spans="24:35" x14ac:dyDescent="0.25">
      <c r="X141" t="s">
        <v>543</v>
      </c>
      <c r="Y141" t="s">
        <v>646</v>
      </c>
      <c r="Z141" t="s">
        <v>1507</v>
      </c>
      <c r="AA141" s="19">
        <v>1399.64</v>
      </c>
      <c r="AB141" s="30" t="s">
        <v>1498</v>
      </c>
      <c r="AC141" s="56"/>
      <c r="AE141" s="4" t="str">
        <f t="shared" si="10"/>
        <v>ORD-2023-640022</v>
      </c>
      <c r="AF141" s="4" t="str">
        <f t="shared" si="11"/>
        <v>Africa</v>
      </c>
      <c r="AG141" s="4" t="str">
        <f t="shared" si="12"/>
        <v>Q3</v>
      </c>
      <c r="AH141" s="19">
        <f t="shared" si="13"/>
        <v>1399.64</v>
      </c>
      <c r="AI141" s="11" t="str">
        <f t="shared" si="14"/>
        <v>0-0.1</v>
      </c>
    </row>
    <row r="142" spans="24:35" x14ac:dyDescent="0.25">
      <c r="X142" t="s">
        <v>54</v>
      </c>
      <c r="Y142" t="s">
        <v>648</v>
      </c>
      <c r="Z142" t="s">
        <v>1506</v>
      </c>
      <c r="AA142" s="19">
        <v>313.99</v>
      </c>
      <c r="AB142" s="30" t="s">
        <v>1499</v>
      </c>
      <c r="AC142" s="56"/>
      <c r="AE142" s="4" t="str">
        <f t="shared" si="10"/>
        <v>ORD-2023-651638</v>
      </c>
      <c r="AF142" s="4" t="str">
        <f t="shared" si="11"/>
        <v>Americas</v>
      </c>
      <c r="AG142" s="4" t="str">
        <f t="shared" si="12"/>
        <v>Q2</v>
      </c>
      <c r="AH142" s="19">
        <f t="shared" si="13"/>
        <v>313.99</v>
      </c>
      <c r="AI142" s="11" t="str">
        <f t="shared" si="14"/>
        <v>0.1-0.2</v>
      </c>
    </row>
    <row r="143" spans="24:35" x14ac:dyDescent="0.25">
      <c r="X143" t="s">
        <v>228</v>
      </c>
      <c r="Y143" t="s">
        <v>648</v>
      </c>
      <c r="Z143" t="s">
        <v>1508</v>
      </c>
      <c r="AA143" s="19">
        <v>388.51</v>
      </c>
      <c r="AB143" s="30" t="s">
        <v>1499</v>
      </c>
      <c r="AC143" s="56"/>
      <c r="AE143" s="4" t="str">
        <f t="shared" si="10"/>
        <v>ORD-2023-653343</v>
      </c>
      <c r="AF143" s="4" t="str">
        <f t="shared" si="11"/>
        <v>Americas</v>
      </c>
      <c r="AG143" s="4" t="str">
        <f t="shared" si="12"/>
        <v>Q4</v>
      </c>
      <c r="AH143" s="19">
        <f t="shared" si="13"/>
        <v>388.51</v>
      </c>
      <c r="AI143" s="11" t="str">
        <f t="shared" si="14"/>
        <v>0.1-0.2</v>
      </c>
    </row>
    <row r="144" spans="24:35" x14ac:dyDescent="0.25">
      <c r="X144" t="s">
        <v>446</v>
      </c>
      <c r="Y144" t="s">
        <v>649</v>
      </c>
      <c r="Z144" t="s">
        <v>1508</v>
      </c>
      <c r="AA144" s="19">
        <v>384.19</v>
      </c>
      <c r="AB144" s="30" t="s">
        <v>1498</v>
      </c>
      <c r="AC144" s="56"/>
      <c r="AE144" s="4" t="str">
        <f t="shared" si="10"/>
        <v>ORD-2023-659070</v>
      </c>
      <c r="AF144" s="4" t="str">
        <f t="shared" si="11"/>
        <v>Europe</v>
      </c>
      <c r="AG144" s="4" t="str">
        <f t="shared" si="12"/>
        <v>Q4</v>
      </c>
      <c r="AH144" s="19">
        <f t="shared" si="13"/>
        <v>384.19</v>
      </c>
      <c r="AI144" s="11" t="str">
        <f t="shared" si="14"/>
        <v>0-0.1</v>
      </c>
    </row>
    <row r="145" spans="24:35" x14ac:dyDescent="0.25">
      <c r="X145" t="s">
        <v>352</v>
      </c>
      <c r="Y145" t="s">
        <v>646</v>
      </c>
      <c r="Z145" t="s">
        <v>1507</v>
      </c>
      <c r="AA145" s="19">
        <v>506.83</v>
      </c>
      <c r="AB145" s="30" t="s">
        <v>1500</v>
      </c>
      <c r="AC145" s="56"/>
      <c r="AE145" s="4" t="str">
        <f t="shared" si="10"/>
        <v>ORD-2023-660608</v>
      </c>
      <c r="AF145" s="4" t="str">
        <f t="shared" si="11"/>
        <v>Africa</v>
      </c>
      <c r="AG145" s="4" t="str">
        <f t="shared" si="12"/>
        <v>Q3</v>
      </c>
      <c r="AH145" s="19">
        <f t="shared" si="13"/>
        <v>506.83</v>
      </c>
      <c r="AI145" s="11" t="str">
        <f t="shared" si="14"/>
        <v>0.2-0.3</v>
      </c>
    </row>
    <row r="146" spans="24:35" x14ac:dyDescent="0.25">
      <c r="X146" t="s">
        <v>191</v>
      </c>
      <c r="Y146" t="s">
        <v>649</v>
      </c>
      <c r="Z146" t="s">
        <v>1507</v>
      </c>
      <c r="AA146" s="19">
        <v>943.79</v>
      </c>
      <c r="AB146" s="30" t="s">
        <v>1498</v>
      </c>
      <c r="AC146" s="56"/>
      <c r="AE146" s="4" t="str">
        <f t="shared" si="10"/>
        <v>ORD-2023-664749</v>
      </c>
      <c r="AF146" s="4" t="str">
        <f t="shared" si="11"/>
        <v>Europe</v>
      </c>
      <c r="AG146" s="4" t="str">
        <f t="shared" si="12"/>
        <v>Q3</v>
      </c>
      <c r="AH146" s="19">
        <f t="shared" si="13"/>
        <v>943.79</v>
      </c>
      <c r="AI146" s="11" t="str">
        <f t="shared" si="14"/>
        <v>0-0.1</v>
      </c>
    </row>
    <row r="147" spans="24:35" x14ac:dyDescent="0.25">
      <c r="X147" t="s">
        <v>624</v>
      </c>
      <c r="Y147" t="s">
        <v>648</v>
      </c>
      <c r="Z147" t="s">
        <v>1506</v>
      </c>
      <c r="AA147" s="19">
        <v>1099.1500000000001</v>
      </c>
      <c r="AB147" s="30" t="s">
        <v>1499</v>
      </c>
      <c r="AC147" s="56"/>
      <c r="AE147" s="4" t="str">
        <f t="shared" si="10"/>
        <v>ORD-2023-664790</v>
      </c>
      <c r="AF147" s="4" t="str">
        <f t="shared" si="11"/>
        <v>Americas</v>
      </c>
      <c r="AG147" s="4" t="str">
        <f t="shared" si="12"/>
        <v>Q2</v>
      </c>
      <c r="AH147" s="19">
        <f t="shared" si="13"/>
        <v>1099.1500000000001</v>
      </c>
      <c r="AI147" s="11" t="str">
        <f t="shared" si="14"/>
        <v>0.1-0.2</v>
      </c>
    </row>
    <row r="148" spans="24:35" x14ac:dyDescent="0.25">
      <c r="X148" t="s">
        <v>306</v>
      </c>
      <c r="Y148" t="s">
        <v>649</v>
      </c>
      <c r="Z148" t="s">
        <v>1508</v>
      </c>
      <c r="AA148" s="19">
        <v>1142.48</v>
      </c>
      <c r="AB148" s="30" t="s">
        <v>1500</v>
      </c>
      <c r="AC148" s="56"/>
      <c r="AE148" s="4" t="str">
        <f t="shared" si="10"/>
        <v>ORD-2023-667815</v>
      </c>
      <c r="AF148" s="4" t="str">
        <f t="shared" si="11"/>
        <v>Europe</v>
      </c>
      <c r="AG148" s="4" t="str">
        <f t="shared" si="12"/>
        <v>Q4</v>
      </c>
      <c r="AH148" s="19">
        <f t="shared" si="13"/>
        <v>1142.48</v>
      </c>
      <c r="AI148" s="11" t="str">
        <f t="shared" si="14"/>
        <v>0.2-0.3</v>
      </c>
    </row>
    <row r="149" spans="24:35" x14ac:dyDescent="0.25">
      <c r="X149" t="s">
        <v>423</v>
      </c>
      <c r="Y149" t="s">
        <v>647</v>
      </c>
      <c r="Z149" t="s">
        <v>1508</v>
      </c>
      <c r="AA149" s="19">
        <v>1415.05</v>
      </c>
      <c r="AB149" s="30" t="s">
        <v>1498</v>
      </c>
      <c r="AC149" s="56"/>
      <c r="AE149" s="4" t="str">
        <f t="shared" si="10"/>
        <v>ORD-2023-674887</v>
      </c>
      <c r="AF149" s="4" t="str">
        <f t="shared" si="11"/>
        <v>Asia</v>
      </c>
      <c r="AG149" s="4" t="str">
        <f t="shared" si="12"/>
        <v>Q4</v>
      </c>
      <c r="AH149" s="19">
        <f t="shared" si="13"/>
        <v>1415.05</v>
      </c>
      <c r="AI149" s="11" t="str">
        <f t="shared" si="14"/>
        <v>0-0.1</v>
      </c>
    </row>
    <row r="150" spans="24:35" x14ac:dyDescent="0.25">
      <c r="X150" t="s">
        <v>399</v>
      </c>
      <c r="Y150" t="s">
        <v>647</v>
      </c>
      <c r="Z150" t="s">
        <v>1506</v>
      </c>
      <c r="AA150" s="19">
        <v>1161.2</v>
      </c>
      <c r="AB150" s="30" t="s">
        <v>1499</v>
      </c>
      <c r="AC150" s="56"/>
      <c r="AE150" s="4" t="str">
        <f t="shared" si="10"/>
        <v>ORD-2023-676553</v>
      </c>
      <c r="AF150" s="4" t="str">
        <f t="shared" si="11"/>
        <v>Asia</v>
      </c>
      <c r="AG150" s="4" t="str">
        <f t="shared" si="12"/>
        <v>Q2</v>
      </c>
      <c r="AH150" s="19">
        <f t="shared" si="13"/>
        <v>1161.2</v>
      </c>
      <c r="AI150" s="11" t="str">
        <f t="shared" si="14"/>
        <v>0.1-0.2</v>
      </c>
    </row>
    <row r="151" spans="24:35" x14ac:dyDescent="0.25">
      <c r="X151" t="s">
        <v>611</v>
      </c>
      <c r="Y151" t="s">
        <v>646</v>
      </c>
      <c r="Z151" t="s">
        <v>1505</v>
      </c>
      <c r="AA151" s="19">
        <v>299.02</v>
      </c>
      <c r="AB151" s="30" t="s">
        <v>1499</v>
      </c>
      <c r="AC151" s="56"/>
      <c r="AE151" s="4" t="str">
        <f t="shared" si="10"/>
        <v>ORD-2023-689428</v>
      </c>
      <c r="AF151" s="4" t="str">
        <f t="shared" si="11"/>
        <v>Africa</v>
      </c>
      <c r="AG151" s="4" t="str">
        <f t="shared" si="12"/>
        <v>Q1</v>
      </c>
      <c r="AH151" s="19">
        <f t="shared" si="13"/>
        <v>299.02</v>
      </c>
      <c r="AI151" s="11" t="str">
        <f t="shared" si="14"/>
        <v>0.1-0.2</v>
      </c>
    </row>
    <row r="152" spans="24:35" x14ac:dyDescent="0.25">
      <c r="X152" t="s">
        <v>541</v>
      </c>
      <c r="Y152" t="s">
        <v>647</v>
      </c>
      <c r="Z152" t="s">
        <v>1505</v>
      </c>
      <c r="AA152" s="19">
        <v>1083.0899999999999</v>
      </c>
      <c r="AB152" s="30" t="s">
        <v>1498</v>
      </c>
      <c r="AC152" s="56"/>
      <c r="AE152" s="4" t="str">
        <f t="shared" si="10"/>
        <v>ORD-2023-700699</v>
      </c>
      <c r="AF152" s="4" t="str">
        <f t="shared" si="11"/>
        <v>Asia</v>
      </c>
      <c r="AG152" s="4" t="str">
        <f t="shared" si="12"/>
        <v>Q1</v>
      </c>
      <c r="AH152" s="19">
        <f t="shared" si="13"/>
        <v>1083.0899999999999</v>
      </c>
      <c r="AI152" s="11" t="str">
        <f t="shared" si="14"/>
        <v>0-0.1</v>
      </c>
    </row>
    <row r="153" spans="24:35" x14ac:dyDescent="0.25">
      <c r="X153" t="s">
        <v>213</v>
      </c>
      <c r="Y153" t="s">
        <v>649</v>
      </c>
      <c r="Z153" t="s">
        <v>1506</v>
      </c>
      <c r="AA153" s="19">
        <v>1320.33</v>
      </c>
      <c r="AB153" s="30" t="s">
        <v>1499</v>
      </c>
      <c r="AC153" s="56"/>
      <c r="AE153" s="4" t="str">
        <f t="shared" si="10"/>
        <v>ORD-2023-701153</v>
      </c>
      <c r="AF153" s="4" t="str">
        <f t="shared" si="11"/>
        <v>Europe</v>
      </c>
      <c r="AG153" s="4" t="str">
        <f t="shared" si="12"/>
        <v>Q2</v>
      </c>
      <c r="AH153" s="19">
        <f t="shared" si="13"/>
        <v>1320.33</v>
      </c>
      <c r="AI153" s="11" t="str">
        <f t="shared" si="14"/>
        <v>0.1-0.2</v>
      </c>
    </row>
    <row r="154" spans="24:35" x14ac:dyDescent="0.25">
      <c r="X154" t="s">
        <v>475</v>
      </c>
      <c r="Y154" t="s">
        <v>646</v>
      </c>
      <c r="Z154" t="s">
        <v>1506</v>
      </c>
      <c r="AA154" s="19">
        <v>40.89</v>
      </c>
      <c r="AB154" s="30" t="s">
        <v>1499</v>
      </c>
      <c r="AC154" s="56"/>
      <c r="AE154" s="4" t="str">
        <f t="shared" si="10"/>
        <v>ORD-2023-704111</v>
      </c>
      <c r="AF154" s="4" t="str">
        <f t="shared" si="11"/>
        <v>Africa</v>
      </c>
      <c r="AG154" s="4" t="str">
        <f t="shared" si="12"/>
        <v>Q2</v>
      </c>
      <c r="AH154" s="19">
        <f t="shared" si="13"/>
        <v>40.89</v>
      </c>
      <c r="AI154" s="11" t="str">
        <f t="shared" si="14"/>
        <v>0.1-0.2</v>
      </c>
    </row>
    <row r="155" spans="24:35" x14ac:dyDescent="0.25">
      <c r="X155" t="s">
        <v>236</v>
      </c>
      <c r="Y155" t="s">
        <v>646</v>
      </c>
      <c r="Z155" t="s">
        <v>1507</v>
      </c>
      <c r="AA155" s="19">
        <v>241.14</v>
      </c>
      <c r="AB155" s="30" t="s">
        <v>1498</v>
      </c>
      <c r="AC155" s="56"/>
      <c r="AE155" s="4" t="str">
        <f t="shared" si="10"/>
        <v>ORD-2023-713375</v>
      </c>
      <c r="AF155" s="4" t="str">
        <f t="shared" si="11"/>
        <v>Africa</v>
      </c>
      <c r="AG155" s="4" t="str">
        <f t="shared" si="12"/>
        <v>Q3</v>
      </c>
      <c r="AH155" s="19">
        <f t="shared" si="13"/>
        <v>241.14</v>
      </c>
      <c r="AI155" s="11" t="str">
        <f t="shared" si="14"/>
        <v>0-0.1</v>
      </c>
    </row>
    <row r="156" spans="24:35" x14ac:dyDescent="0.25">
      <c r="X156" t="s">
        <v>591</v>
      </c>
      <c r="Y156" t="s">
        <v>648</v>
      </c>
      <c r="Z156" t="s">
        <v>1507</v>
      </c>
      <c r="AA156" s="19">
        <v>175.38</v>
      </c>
      <c r="AB156" s="30" t="s">
        <v>1498</v>
      </c>
      <c r="AC156" s="56"/>
      <c r="AE156" s="4" t="str">
        <f t="shared" si="10"/>
        <v>ORD-2023-713614</v>
      </c>
      <c r="AF156" s="4" t="str">
        <f t="shared" si="11"/>
        <v>Americas</v>
      </c>
      <c r="AG156" s="4" t="str">
        <f t="shared" si="12"/>
        <v>Q3</v>
      </c>
      <c r="AH156" s="19">
        <f t="shared" si="13"/>
        <v>175.38</v>
      </c>
      <c r="AI156" s="11" t="str">
        <f t="shared" si="14"/>
        <v>0-0.1</v>
      </c>
    </row>
    <row r="157" spans="24:35" x14ac:dyDescent="0.25">
      <c r="X157" t="s">
        <v>294</v>
      </c>
      <c r="Y157" t="s">
        <v>648</v>
      </c>
      <c r="Z157" t="s">
        <v>1506</v>
      </c>
      <c r="AA157" s="19">
        <v>1097.0899999999999</v>
      </c>
      <c r="AB157" s="30" t="s">
        <v>1499</v>
      </c>
      <c r="AC157" s="56"/>
      <c r="AE157" s="4" t="str">
        <f t="shared" si="10"/>
        <v>ORD-2023-715175</v>
      </c>
      <c r="AF157" s="4" t="str">
        <f t="shared" si="11"/>
        <v>Americas</v>
      </c>
      <c r="AG157" s="4" t="str">
        <f t="shared" si="12"/>
        <v>Q2</v>
      </c>
      <c r="AH157" s="19">
        <f t="shared" si="13"/>
        <v>1097.0899999999999</v>
      </c>
      <c r="AI157" s="11" t="str">
        <f t="shared" si="14"/>
        <v>0.1-0.2</v>
      </c>
    </row>
    <row r="158" spans="24:35" x14ac:dyDescent="0.25">
      <c r="X158" t="s">
        <v>90</v>
      </c>
      <c r="Y158" t="s">
        <v>647</v>
      </c>
      <c r="Z158" t="s">
        <v>1507</v>
      </c>
      <c r="AA158" s="19">
        <v>825.64</v>
      </c>
      <c r="AB158" s="30" t="s">
        <v>1499</v>
      </c>
      <c r="AC158" s="56"/>
      <c r="AE158" s="4" t="str">
        <f t="shared" si="10"/>
        <v>ORD-2023-722117</v>
      </c>
      <c r="AF158" s="4" t="str">
        <f t="shared" si="11"/>
        <v>Asia</v>
      </c>
      <c r="AG158" s="4" t="str">
        <f t="shared" si="12"/>
        <v>Q3</v>
      </c>
      <c r="AH158" s="19">
        <f t="shared" si="13"/>
        <v>825.64</v>
      </c>
      <c r="AI158" s="11" t="str">
        <f t="shared" si="14"/>
        <v>0.1-0.2</v>
      </c>
    </row>
    <row r="159" spans="24:35" x14ac:dyDescent="0.25">
      <c r="X159" t="s">
        <v>20</v>
      </c>
      <c r="Y159" t="s">
        <v>648</v>
      </c>
      <c r="Z159" t="s">
        <v>1505</v>
      </c>
      <c r="AA159" s="19">
        <v>315.87</v>
      </c>
      <c r="AB159" s="30" t="s">
        <v>1498</v>
      </c>
      <c r="AC159" s="56"/>
      <c r="AE159" s="4" t="str">
        <f t="shared" si="10"/>
        <v>ORD-2023-723587</v>
      </c>
      <c r="AF159" s="4" t="str">
        <f t="shared" si="11"/>
        <v>Americas</v>
      </c>
      <c r="AG159" s="4" t="str">
        <f t="shared" si="12"/>
        <v>Q1</v>
      </c>
      <c r="AH159" s="19">
        <f t="shared" si="13"/>
        <v>315.87</v>
      </c>
      <c r="AI159" s="11" t="str">
        <f t="shared" si="14"/>
        <v>0-0.1</v>
      </c>
    </row>
    <row r="160" spans="24:35" x14ac:dyDescent="0.25">
      <c r="X160" t="s">
        <v>604</v>
      </c>
      <c r="Y160" t="s">
        <v>649</v>
      </c>
      <c r="Z160" t="s">
        <v>1506</v>
      </c>
      <c r="AA160" s="19">
        <v>790.54</v>
      </c>
      <c r="AB160" s="30" t="s">
        <v>1498</v>
      </c>
      <c r="AC160" s="56"/>
      <c r="AE160" s="4" t="str">
        <f t="shared" si="10"/>
        <v>ORD-2023-727290</v>
      </c>
      <c r="AF160" s="4" t="str">
        <f t="shared" si="11"/>
        <v>Europe</v>
      </c>
      <c r="AG160" s="4" t="str">
        <f t="shared" si="12"/>
        <v>Q2</v>
      </c>
      <c r="AH160" s="19">
        <f t="shared" si="13"/>
        <v>790.54</v>
      </c>
      <c r="AI160" s="11" t="str">
        <f t="shared" si="14"/>
        <v>0-0.1</v>
      </c>
    </row>
    <row r="161" spans="24:35" x14ac:dyDescent="0.25">
      <c r="X161" t="s">
        <v>481</v>
      </c>
      <c r="Y161" t="s">
        <v>647</v>
      </c>
      <c r="Z161" t="s">
        <v>1508</v>
      </c>
      <c r="AA161" s="19">
        <v>1408.3</v>
      </c>
      <c r="AB161" s="30" t="s">
        <v>1498</v>
      </c>
      <c r="AC161" s="56"/>
      <c r="AE161" s="4" t="str">
        <f t="shared" si="10"/>
        <v>ORD-2023-728177</v>
      </c>
      <c r="AF161" s="4" t="str">
        <f t="shared" si="11"/>
        <v>Asia</v>
      </c>
      <c r="AG161" s="4" t="str">
        <f t="shared" si="12"/>
        <v>Q4</v>
      </c>
      <c r="AH161" s="19">
        <f t="shared" si="13"/>
        <v>1408.3</v>
      </c>
      <c r="AI161" s="11" t="str">
        <f t="shared" si="14"/>
        <v>0-0.1</v>
      </c>
    </row>
    <row r="162" spans="24:35" x14ac:dyDescent="0.25">
      <c r="X162" t="s">
        <v>427</v>
      </c>
      <c r="Y162" t="s">
        <v>646</v>
      </c>
      <c r="Z162" t="s">
        <v>1507</v>
      </c>
      <c r="AA162" s="19">
        <v>1196.83</v>
      </c>
      <c r="AB162" s="30" t="s">
        <v>1498</v>
      </c>
      <c r="AC162" s="56"/>
      <c r="AE162" s="4" t="str">
        <f t="shared" si="10"/>
        <v>ORD-2023-732585</v>
      </c>
      <c r="AF162" s="4" t="str">
        <f t="shared" si="11"/>
        <v>Africa</v>
      </c>
      <c r="AG162" s="4" t="str">
        <f t="shared" si="12"/>
        <v>Q3</v>
      </c>
      <c r="AH162" s="19">
        <f t="shared" si="13"/>
        <v>1196.83</v>
      </c>
      <c r="AI162" s="11" t="str">
        <f t="shared" si="14"/>
        <v>0-0.1</v>
      </c>
    </row>
    <row r="163" spans="24:35" x14ac:dyDescent="0.25">
      <c r="X163" t="s">
        <v>364</v>
      </c>
      <c r="Y163" t="s">
        <v>649</v>
      </c>
      <c r="Z163" t="s">
        <v>1505</v>
      </c>
      <c r="AA163" s="19">
        <v>307.37</v>
      </c>
      <c r="AB163" s="30" t="s">
        <v>1499</v>
      </c>
      <c r="AC163" s="56"/>
      <c r="AE163" s="4" t="str">
        <f t="shared" si="10"/>
        <v>ORD-2023-735274</v>
      </c>
      <c r="AF163" s="4" t="str">
        <f t="shared" si="11"/>
        <v>Europe</v>
      </c>
      <c r="AG163" s="4" t="str">
        <f t="shared" si="12"/>
        <v>Q1</v>
      </c>
      <c r="AH163" s="19">
        <f t="shared" si="13"/>
        <v>307.37</v>
      </c>
      <c r="AI163" s="11" t="str">
        <f t="shared" si="14"/>
        <v>0.1-0.2</v>
      </c>
    </row>
    <row r="164" spans="24:35" x14ac:dyDescent="0.25">
      <c r="X164" t="s">
        <v>516</v>
      </c>
      <c r="Y164" t="s">
        <v>647</v>
      </c>
      <c r="Z164" t="s">
        <v>1505</v>
      </c>
      <c r="AA164" s="19">
        <v>770.11</v>
      </c>
      <c r="AB164" s="30" t="s">
        <v>1498</v>
      </c>
      <c r="AC164" s="56"/>
      <c r="AE164" s="4" t="str">
        <f t="shared" si="10"/>
        <v>ORD-2023-744942</v>
      </c>
      <c r="AF164" s="4" t="str">
        <f t="shared" si="11"/>
        <v>Asia</v>
      </c>
      <c r="AG164" s="4" t="str">
        <f t="shared" si="12"/>
        <v>Q1</v>
      </c>
      <c r="AH164" s="19">
        <f t="shared" si="13"/>
        <v>770.11</v>
      </c>
      <c r="AI164" s="11" t="str">
        <f t="shared" si="14"/>
        <v>0-0.1</v>
      </c>
    </row>
    <row r="165" spans="24:35" x14ac:dyDescent="0.25">
      <c r="X165" t="s">
        <v>258</v>
      </c>
      <c r="Y165" t="s">
        <v>648</v>
      </c>
      <c r="Z165" t="s">
        <v>1506</v>
      </c>
      <c r="AA165" s="19">
        <v>1013.54</v>
      </c>
      <c r="AB165" s="30" t="s">
        <v>1499</v>
      </c>
      <c r="AC165" s="56"/>
      <c r="AE165" s="4" t="str">
        <f t="shared" si="10"/>
        <v>ORD-2023-747341</v>
      </c>
      <c r="AF165" s="4" t="str">
        <f t="shared" si="11"/>
        <v>Americas</v>
      </c>
      <c r="AG165" s="4" t="str">
        <f t="shared" si="12"/>
        <v>Q2</v>
      </c>
      <c r="AH165" s="19">
        <f t="shared" si="13"/>
        <v>1013.54</v>
      </c>
      <c r="AI165" s="11" t="str">
        <f t="shared" si="14"/>
        <v>0.1-0.2</v>
      </c>
    </row>
    <row r="166" spans="24:35" x14ac:dyDescent="0.25">
      <c r="X166" t="s">
        <v>83</v>
      </c>
      <c r="Y166" t="s">
        <v>646</v>
      </c>
      <c r="Z166" t="s">
        <v>1507</v>
      </c>
      <c r="AA166" s="19">
        <v>494.61</v>
      </c>
      <c r="AB166" s="30" t="s">
        <v>1500</v>
      </c>
      <c r="AC166" s="56"/>
      <c r="AE166" s="4" t="str">
        <f t="shared" si="10"/>
        <v>ORD-2023-749324</v>
      </c>
      <c r="AF166" s="4" t="str">
        <f t="shared" si="11"/>
        <v>Africa</v>
      </c>
      <c r="AG166" s="4" t="str">
        <f t="shared" si="12"/>
        <v>Q3</v>
      </c>
      <c r="AH166" s="19">
        <f t="shared" si="13"/>
        <v>494.61</v>
      </c>
      <c r="AI166" s="11" t="str">
        <f t="shared" si="14"/>
        <v>0.2-0.3</v>
      </c>
    </row>
    <row r="167" spans="24:35" x14ac:dyDescent="0.25">
      <c r="X167" t="s">
        <v>451</v>
      </c>
      <c r="Y167" t="s">
        <v>647</v>
      </c>
      <c r="Z167" t="s">
        <v>1506</v>
      </c>
      <c r="AA167" s="19">
        <v>607.04</v>
      </c>
      <c r="AB167" s="30" t="s">
        <v>1499</v>
      </c>
      <c r="AC167" s="56"/>
      <c r="AE167" s="4" t="str">
        <f t="shared" si="10"/>
        <v>ORD-2023-752962</v>
      </c>
      <c r="AF167" s="4" t="str">
        <f t="shared" si="11"/>
        <v>Asia</v>
      </c>
      <c r="AG167" s="4" t="str">
        <f t="shared" si="12"/>
        <v>Q2</v>
      </c>
      <c r="AH167" s="19">
        <f t="shared" si="13"/>
        <v>607.04</v>
      </c>
      <c r="AI167" s="11" t="str">
        <f t="shared" si="14"/>
        <v>0.1-0.2</v>
      </c>
    </row>
    <row r="168" spans="24:35" x14ac:dyDescent="0.25">
      <c r="X168" t="s">
        <v>634</v>
      </c>
      <c r="Y168" t="s">
        <v>646</v>
      </c>
      <c r="Z168" t="s">
        <v>1507</v>
      </c>
      <c r="AA168" s="19">
        <v>251.03</v>
      </c>
      <c r="AB168" s="30" t="s">
        <v>1499</v>
      </c>
      <c r="AC168" s="56"/>
      <c r="AE168" s="4" t="str">
        <f t="shared" si="10"/>
        <v>ORD-2023-755337</v>
      </c>
      <c r="AF168" s="4" t="str">
        <f t="shared" si="11"/>
        <v>Africa</v>
      </c>
      <c r="AG168" s="4" t="str">
        <f t="shared" si="12"/>
        <v>Q3</v>
      </c>
      <c r="AH168" s="19">
        <f t="shared" si="13"/>
        <v>251.03</v>
      </c>
      <c r="AI168" s="11" t="str">
        <f t="shared" si="14"/>
        <v>0.1-0.2</v>
      </c>
    </row>
    <row r="169" spans="24:35" x14ac:dyDescent="0.25">
      <c r="X169" t="s">
        <v>355</v>
      </c>
      <c r="Y169" t="s">
        <v>648</v>
      </c>
      <c r="Z169" t="s">
        <v>1506</v>
      </c>
      <c r="AA169" s="19">
        <v>32.1</v>
      </c>
      <c r="AB169" s="30" t="s">
        <v>1500</v>
      </c>
      <c r="AC169" s="56"/>
      <c r="AE169" s="4" t="str">
        <f t="shared" si="10"/>
        <v>ORD-2023-766015</v>
      </c>
      <c r="AF169" s="4" t="str">
        <f t="shared" si="11"/>
        <v>Americas</v>
      </c>
      <c r="AG169" s="4" t="str">
        <f t="shared" si="12"/>
        <v>Q2</v>
      </c>
      <c r="AH169" s="19">
        <f t="shared" si="13"/>
        <v>32.1</v>
      </c>
      <c r="AI169" s="11" t="str">
        <f t="shared" si="14"/>
        <v>0.2-0.3</v>
      </c>
    </row>
    <row r="170" spans="24:35" x14ac:dyDescent="0.25">
      <c r="X170" t="s">
        <v>459</v>
      </c>
      <c r="Y170" t="s">
        <v>648</v>
      </c>
      <c r="Z170" t="s">
        <v>1506</v>
      </c>
      <c r="AA170" s="19">
        <v>247.07</v>
      </c>
      <c r="AB170" s="30" t="s">
        <v>1498</v>
      </c>
      <c r="AC170" s="56"/>
      <c r="AE170" s="4" t="str">
        <f t="shared" si="10"/>
        <v>ORD-2023-769774</v>
      </c>
      <c r="AF170" s="4" t="str">
        <f t="shared" si="11"/>
        <v>Americas</v>
      </c>
      <c r="AG170" s="4" t="str">
        <f t="shared" si="12"/>
        <v>Q2</v>
      </c>
      <c r="AH170" s="19">
        <f t="shared" si="13"/>
        <v>247.07</v>
      </c>
      <c r="AI170" s="11" t="str">
        <f t="shared" si="14"/>
        <v>0-0.1</v>
      </c>
    </row>
    <row r="171" spans="24:35" x14ac:dyDescent="0.25">
      <c r="X171" t="s">
        <v>465</v>
      </c>
      <c r="Y171" t="s">
        <v>649</v>
      </c>
      <c r="Z171" t="s">
        <v>1505</v>
      </c>
      <c r="AA171" s="19">
        <v>873.06</v>
      </c>
      <c r="AB171" s="30" t="s">
        <v>1498</v>
      </c>
      <c r="AC171" s="56"/>
      <c r="AE171" s="4" t="str">
        <f t="shared" si="10"/>
        <v>ORD-2023-780206</v>
      </c>
      <c r="AF171" s="4" t="str">
        <f t="shared" si="11"/>
        <v>Europe</v>
      </c>
      <c r="AG171" s="4" t="str">
        <f t="shared" si="12"/>
        <v>Q1</v>
      </c>
      <c r="AH171" s="19">
        <f t="shared" si="13"/>
        <v>873.06</v>
      </c>
      <c r="AI171" s="11" t="str">
        <f t="shared" si="14"/>
        <v>0-0.1</v>
      </c>
    </row>
    <row r="172" spans="24:35" x14ac:dyDescent="0.25">
      <c r="X172" t="s">
        <v>491</v>
      </c>
      <c r="Y172" t="s">
        <v>649</v>
      </c>
      <c r="Z172" t="s">
        <v>1505</v>
      </c>
      <c r="AA172" s="19">
        <v>472.33</v>
      </c>
      <c r="AB172" s="30" t="s">
        <v>1499</v>
      </c>
      <c r="AC172" s="56"/>
      <c r="AE172" s="4" t="str">
        <f t="shared" si="10"/>
        <v>ORD-2023-799597</v>
      </c>
      <c r="AF172" s="4" t="str">
        <f t="shared" si="11"/>
        <v>Europe</v>
      </c>
      <c r="AG172" s="4" t="str">
        <f t="shared" si="12"/>
        <v>Q1</v>
      </c>
      <c r="AH172" s="19">
        <f t="shared" si="13"/>
        <v>472.33</v>
      </c>
      <c r="AI172" s="11" t="str">
        <f t="shared" si="14"/>
        <v>0.1-0.2</v>
      </c>
    </row>
    <row r="173" spans="24:35" x14ac:dyDescent="0.25">
      <c r="X173" t="s">
        <v>452</v>
      </c>
      <c r="Y173" t="s">
        <v>649</v>
      </c>
      <c r="Z173" t="s">
        <v>1508</v>
      </c>
      <c r="AA173" s="19">
        <v>861.1</v>
      </c>
      <c r="AB173" s="30" t="s">
        <v>1499</v>
      </c>
      <c r="AC173" s="56"/>
      <c r="AE173" s="4" t="str">
        <f t="shared" si="10"/>
        <v>ORD-2023-808024</v>
      </c>
      <c r="AF173" s="4" t="str">
        <f t="shared" si="11"/>
        <v>Europe</v>
      </c>
      <c r="AG173" s="4" t="str">
        <f t="shared" si="12"/>
        <v>Q4</v>
      </c>
      <c r="AH173" s="19">
        <f t="shared" si="13"/>
        <v>861.1</v>
      </c>
      <c r="AI173" s="11" t="str">
        <f t="shared" si="14"/>
        <v>0.1-0.2</v>
      </c>
    </row>
    <row r="174" spans="24:35" x14ac:dyDescent="0.25">
      <c r="X174" t="s">
        <v>84</v>
      </c>
      <c r="Y174" t="s">
        <v>647</v>
      </c>
      <c r="Z174" t="s">
        <v>1506</v>
      </c>
      <c r="AA174" s="19">
        <v>882.33</v>
      </c>
      <c r="AB174" s="30" t="s">
        <v>1498</v>
      </c>
      <c r="AC174" s="56"/>
      <c r="AE174" s="4" t="str">
        <f t="shared" si="10"/>
        <v>ORD-2023-809913</v>
      </c>
      <c r="AF174" s="4" t="str">
        <f t="shared" si="11"/>
        <v>Asia</v>
      </c>
      <c r="AG174" s="4" t="str">
        <f t="shared" si="12"/>
        <v>Q2</v>
      </c>
      <c r="AH174" s="19">
        <f t="shared" si="13"/>
        <v>882.33</v>
      </c>
      <c r="AI174" s="11" t="str">
        <f t="shared" si="14"/>
        <v>0-0.1</v>
      </c>
    </row>
    <row r="175" spans="24:35" x14ac:dyDescent="0.25">
      <c r="X175" t="s">
        <v>554</v>
      </c>
      <c r="Y175" t="s">
        <v>649</v>
      </c>
      <c r="Z175" t="s">
        <v>1505</v>
      </c>
      <c r="AA175" s="19">
        <v>492.62</v>
      </c>
      <c r="AB175" s="30" t="s">
        <v>1498</v>
      </c>
      <c r="AC175" s="56"/>
      <c r="AE175" s="4" t="str">
        <f t="shared" si="10"/>
        <v>ORD-2023-811823</v>
      </c>
      <c r="AF175" s="4" t="str">
        <f t="shared" si="11"/>
        <v>Europe</v>
      </c>
      <c r="AG175" s="4" t="str">
        <f t="shared" si="12"/>
        <v>Q1</v>
      </c>
      <c r="AH175" s="19">
        <f t="shared" si="13"/>
        <v>492.62</v>
      </c>
      <c r="AI175" s="11" t="str">
        <f t="shared" si="14"/>
        <v>0-0.1</v>
      </c>
    </row>
    <row r="176" spans="24:35" x14ac:dyDescent="0.25">
      <c r="X176" t="s">
        <v>384</v>
      </c>
      <c r="Y176" t="s">
        <v>649</v>
      </c>
      <c r="Z176" t="s">
        <v>1508</v>
      </c>
      <c r="AA176" s="19">
        <v>492.75</v>
      </c>
      <c r="AB176" s="30" t="s">
        <v>1498</v>
      </c>
      <c r="AC176" s="56"/>
      <c r="AE176" s="4" t="str">
        <f t="shared" si="10"/>
        <v>ORD-2023-813340</v>
      </c>
      <c r="AF176" s="4" t="str">
        <f t="shared" si="11"/>
        <v>Europe</v>
      </c>
      <c r="AG176" s="4" t="str">
        <f t="shared" si="12"/>
        <v>Q4</v>
      </c>
      <c r="AH176" s="19">
        <f t="shared" si="13"/>
        <v>492.75</v>
      </c>
      <c r="AI176" s="11" t="str">
        <f t="shared" si="14"/>
        <v>0-0.1</v>
      </c>
    </row>
    <row r="177" spans="24:35" x14ac:dyDescent="0.25">
      <c r="X177" t="s">
        <v>19</v>
      </c>
      <c r="Y177" t="s">
        <v>647</v>
      </c>
      <c r="Z177" t="s">
        <v>1508</v>
      </c>
      <c r="AA177" s="19">
        <v>663.03</v>
      </c>
      <c r="AB177" s="30" t="s">
        <v>1499</v>
      </c>
      <c r="AC177" s="56"/>
      <c r="AE177" s="4" t="str">
        <f t="shared" si="10"/>
        <v>ORD-2023-824839</v>
      </c>
      <c r="AF177" s="4" t="str">
        <f t="shared" si="11"/>
        <v>Asia</v>
      </c>
      <c r="AG177" s="4" t="str">
        <f t="shared" si="12"/>
        <v>Q4</v>
      </c>
      <c r="AH177" s="19">
        <f t="shared" si="13"/>
        <v>663.03</v>
      </c>
      <c r="AI177" s="11" t="str">
        <f t="shared" si="14"/>
        <v>0.1-0.2</v>
      </c>
    </row>
    <row r="178" spans="24:35" x14ac:dyDescent="0.25">
      <c r="X178" t="s">
        <v>353</v>
      </c>
      <c r="Y178" t="s">
        <v>646</v>
      </c>
      <c r="Z178" t="s">
        <v>1507</v>
      </c>
      <c r="AA178" s="19">
        <v>620.74</v>
      </c>
      <c r="AB178" s="30" t="s">
        <v>1500</v>
      </c>
      <c r="AC178" s="56"/>
      <c r="AE178" s="4" t="str">
        <f t="shared" si="10"/>
        <v>ORD-2023-825084</v>
      </c>
      <c r="AF178" s="4" t="str">
        <f t="shared" si="11"/>
        <v>Africa</v>
      </c>
      <c r="AG178" s="4" t="str">
        <f t="shared" si="12"/>
        <v>Q3</v>
      </c>
      <c r="AH178" s="19">
        <f t="shared" si="13"/>
        <v>620.74</v>
      </c>
      <c r="AI178" s="11" t="str">
        <f t="shared" si="14"/>
        <v>0.2-0.3</v>
      </c>
    </row>
    <row r="179" spans="24:35" x14ac:dyDescent="0.25">
      <c r="X179" t="s">
        <v>160</v>
      </c>
      <c r="Y179" t="s">
        <v>646</v>
      </c>
      <c r="Z179" t="s">
        <v>1508</v>
      </c>
      <c r="AA179" s="19">
        <v>275.56</v>
      </c>
      <c r="AB179" s="30" t="s">
        <v>1499</v>
      </c>
      <c r="AC179" s="56"/>
      <c r="AE179" s="4" t="str">
        <f t="shared" si="10"/>
        <v>ORD-2023-825495</v>
      </c>
      <c r="AF179" s="4" t="str">
        <f t="shared" si="11"/>
        <v>Africa</v>
      </c>
      <c r="AG179" s="4" t="str">
        <f t="shared" si="12"/>
        <v>Q4</v>
      </c>
      <c r="AH179" s="19">
        <f t="shared" si="13"/>
        <v>275.56</v>
      </c>
      <c r="AI179" s="11" t="str">
        <f t="shared" si="14"/>
        <v>0.1-0.2</v>
      </c>
    </row>
    <row r="180" spans="24:35" x14ac:dyDescent="0.25">
      <c r="X180" t="s">
        <v>202</v>
      </c>
      <c r="Y180" t="s">
        <v>648</v>
      </c>
      <c r="Z180" t="s">
        <v>1507</v>
      </c>
      <c r="AA180" s="19">
        <v>1334.64</v>
      </c>
      <c r="AB180" s="30" t="s">
        <v>1499</v>
      </c>
      <c r="AC180" s="56"/>
      <c r="AE180" s="4" t="str">
        <f t="shared" si="10"/>
        <v>ORD-2023-825836</v>
      </c>
      <c r="AF180" s="4" t="str">
        <f t="shared" si="11"/>
        <v>Americas</v>
      </c>
      <c r="AG180" s="4" t="str">
        <f t="shared" si="12"/>
        <v>Q3</v>
      </c>
      <c r="AH180" s="19">
        <f t="shared" si="13"/>
        <v>1334.64</v>
      </c>
      <c r="AI180" s="11" t="str">
        <f t="shared" si="14"/>
        <v>0.1-0.2</v>
      </c>
    </row>
    <row r="181" spans="24:35" x14ac:dyDescent="0.25">
      <c r="X181" t="s">
        <v>333</v>
      </c>
      <c r="Y181" t="s">
        <v>646</v>
      </c>
      <c r="Z181" t="s">
        <v>1505</v>
      </c>
      <c r="AA181" s="19">
        <v>875.36</v>
      </c>
      <c r="AB181" s="30" t="s">
        <v>1499</v>
      </c>
      <c r="AC181" s="56"/>
      <c r="AE181" s="4" t="str">
        <f t="shared" si="10"/>
        <v>ORD-2023-835010</v>
      </c>
      <c r="AF181" s="4" t="str">
        <f t="shared" si="11"/>
        <v>Africa</v>
      </c>
      <c r="AG181" s="4" t="str">
        <f t="shared" si="12"/>
        <v>Q1</v>
      </c>
      <c r="AH181" s="19">
        <f t="shared" si="13"/>
        <v>875.36</v>
      </c>
      <c r="AI181" s="11" t="str">
        <f t="shared" si="14"/>
        <v>0.1-0.2</v>
      </c>
    </row>
    <row r="182" spans="24:35" x14ac:dyDescent="0.25">
      <c r="X182" t="s">
        <v>403</v>
      </c>
      <c r="Y182" t="s">
        <v>646</v>
      </c>
      <c r="Z182" t="s">
        <v>1508</v>
      </c>
      <c r="AA182" s="19">
        <v>20.38</v>
      </c>
      <c r="AB182" s="30" t="s">
        <v>1498</v>
      </c>
      <c r="AC182" s="56"/>
      <c r="AE182" s="4" t="str">
        <f t="shared" si="10"/>
        <v>ORD-2023-835226</v>
      </c>
      <c r="AF182" s="4" t="str">
        <f t="shared" si="11"/>
        <v>Africa</v>
      </c>
      <c r="AG182" s="4" t="str">
        <f t="shared" si="12"/>
        <v>Q4</v>
      </c>
      <c r="AH182" s="19">
        <f t="shared" si="13"/>
        <v>20.38</v>
      </c>
      <c r="AI182" s="11" t="str">
        <f t="shared" si="14"/>
        <v>0-0.1</v>
      </c>
    </row>
    <row r="183" spans="24:35" x14ac:dyDescent="0.25">
      <c r="X183" t="s">
        <v>100</v>
      </c>
      <c r="Y183" t="s">
        <v>646</v>
      </c>
      <c r="Z183" t="s">
        <v>1508</v>
      </c>
      <c r="AA183" s="19">
        <v>1186.18</v>
      </c>
      <c r="AB183" s="30" t="s">
        <v>1498</v>
      </c>
      <c r="AC183" s="56"/>
      <c r="AE183" s="4" t="str">
        <f t="shared" si="10"/>
        <v>ORD-2023-841426</v>
      </c>
      <c r="AF183" s="4" t="str">
        <f t="shared" si="11"/>
        <v>Africa</v>
      </c>
      <c r="AG183" s="4" t="str">
        <f t="shared" si="12"/>
        <v>Q4</v>
      </c>
      <c r="AH183" s="19">
        <f t="shared" si="13"/>
        <v>1186.18</v>
      </c>
      <c r="AI183" s="11" t="str">
        <f t="shared" si="14"/>
        <v>0-0.1</v>
      </c>
    </row>
    <row r="184" spans="24:35" x14ac:dyDescent="0.25">
      <c r="X184" t="s">
        <v>169</v>
      </c>
      <c r="Y184" t="s">
        <v>646</v>
      </c>
      <c r="Z184" t="s">
        <v>1508</v>
      </c>
      <c r="AA184" s="19">
        <v>867.89</v>
      </c>
      <c r="AB184" s="30" t="s">
        <v>1499</v>
      </c>
      <c r="AC184" s="56"/>
      <c r="AE184" s="4" t="str">
        <f t="shared" si="10"/>
        <v>ORD-2023-842488</v>
      </c>
      <c r="AF184" s="4" t="str">
        <f t="shared" si="11"/>
        <v>Africa</v>
      </c>
      <c r="AG184" s="4" t="str">
        <f t="shared" si="12"/>
        <v>Q4</v>
      </c>
      <c r="AH184" s="19">
        <f t="shared" si="13"/>
        <v>867.89</v>
      </c>
      <c r="AI184" s="11" t="str">
        <f t="shared" si="14"/>
        <v>0.1-0.2</v>
      </c>
    </row>
    <row r="185" spans="24:35" x14ac:dyDescent="0.25">
      <c r="X185" t="s">
        <v>456</v>
      </c>
      <c r="Y185" t="s">
        <v>647</v>
      </c>
      <c r="Z185" t="s">
        <v>1507</v>
      </c>
      <c r="AA185" s="19">
        <v>1362.06</v>
      </c>
      <c r="AB185" s="30" t="s">
        <v>1499</v>
      </c>
      <c r="AC185" s="56"/>
      <c r="AE185" s="4" t="str">
        <f t="shared" si="10"/>
        <v>ORD-2023-842820</v>
      </c>
      <c r="AF185" s="4" t="str">
        <f t="shared" si="11"/>
        <v>Asia</v>
      </c>
      <c r="AG185" s="4" t="str">
        <f t="shared" si="12"/>
        <v>Q3</v>
      </c>
      <c r="AH185" s="19">
        <f t="shared" si="13"/>
        <v>1362.06</v>
      </c>
      <c r="AI185" s="11" t="str">
        <f t="shared" si="14"/>
        <v>0.1-0.2</v>
      </c>
    </row>
    <row r="186" spans="24:35" x14ac:dyDescent="0.25">
      <c r="X186" t="s">
        <v>175</v>
      </c>
      <c r="Y186" t="s">
        <v>647</v>
      </c>
      <c r="Z186" t="s">
        <v>1505</v>
      </c>
      <c r="AA186" s="19">
        <v>299.75</v>
      </c>
      <c r="AB186" s="30" t="s">
        <v>1499</v>
      </c>
      <c r="AC186" s="56"/>
      <c r="AE186" s="4" t="str">
        <f t="shared" si="10"/>
        <v>ORD-2023-848013</v>
      </c>
      <c r="AF186" s="4" t="str">
        <f t="shared" si="11"/>
        <v>Asia</v>
      </c>
      <c r="AG186" s="4" t="str">
        <f t="shared" si="12"/>
        <v>Q1</v>
      </c>
      <c r="AH186" s="19">
        <f t="shared" si="13"/>
        <v>299.75</v>
      </c>
      <c r="AI186" s="11" t="str">
        <f t="shared" si="14"/>
        <v>0.1-0.2</v>
      </c>
    </row>
    <row r="187" spans="24:35" x14ac:dyDescent="0.25">
      <c r="X187" t="s">
        <v>419</v>
      </c>
      <c r="Y187" t="s">
        <v>647</v>
      </c>
      <c r="Z187" t="s">
        <v>1505</v>
      </c>
      <c r="AA187" s="19">
        <v>1126.29</v>
      </c>
      <c r="AB187" s="30" t="s">
        <v>1498</v>
      </c>
      <c r="AC187" s="56"/>
      <c r="AE187" s="4" t="str">
        <f t="shared" si="10"/>
        <v>ORD-2023-854471</v>
      </c>
      <c r="AF187" s="4" t="str">
        <f t="shared" si="11"/>
        <v>Asia</v>
      </c>
      <c r="AG187" s="4" t="str">
        <f t="shared" si="12"/>
        <v>Q1</v>
      </c>
      <c r="AH187" s="19">
        <f t="shared" si="13"/>
        <v>1126.29</v>
      </c>
      <c r="AI187" s="11" t="str">
        <f t="shared" si="14"/>
        <v>0-0.1</v>
      </c>
    </row>
    <row r="188" spans="24:35" x14ac:dyDescent="0.25">
      <c r="X188" t="s">
        <v>385</v>
      </c>
      <c r="Y188" t="s">
        <v>648</v>
      </c>
      <c r="Z188" t="s">
        <v>1505</v>
      </c>
      <c r="AA188" s="19">
        <v>1214.49</v>
      </c>
      <c r="AB188" s="30" t="s">
        <v>1498</v>
      </c>
      <c r="AC188" s="56"/>
      <c r="AE188" s="4" t="str">
        <f t="shared" si="10"/>
        <v>ORD-2023-855675</v>
      </c>
      <c r="AF188" s="4" t="str">
        <f t="shared" si="11"/>
        <v>Americas</v>
      </c>
      <c r="AG188" s="4" t="str">
        <f t="shared" si="12"/>
        <v>Q1</v>
      </c>
      <c r="AH188" s="19">
        <f t="shared" si="13"/>
        <v>1214.49</v>
      </c>
      <c r="AI188" s="11" t="str">
        <f t="shared" si="14"/>
        <v>0-0.1</v>
      </c>
    </row>
    <row r="189" spans="24:35" x14ac:dyDescent="0.25">
      <c r="X189" t="s">
        <v>596</v>
      </c>
      <c r="Y189" t="s">
        <v>648</v>
      </c>
      <c r="Z189" t="s">
        <v>1505</v>
      </c>
      <c r="AA189" s="19">
        <v>41.84</v>
      </c>
      <c r="AB189" s="30" t="s">
        <v>1500</v>
      </c>
      <c r="AC189" s="56"/>
      <c r="AE189" s="4" t="str">
        <f t="shared" si="10"/>
        <v>ORD-2023-856322</v>
      </c>
      <c r="AF189" s="4" t="str">
        <f t="shared" si="11"/>
        <v>Americas</v>
      </c>
      <c r="AG189" s="4" t="str">
        <f t="shared" si="12"/>
        <v>Q1</v>
      </c>
      <c r="AH189" s="19">
        <f t="shared" si="13"/>
        <v>41.84</v>
      </c>
      <c r="AI189" s="11" t="str">
        <f t="shared" si="14"/>
        <v>0.2-0.3</v>
      </c>
    </row>
    <row r="190" spans="24:35" x14ac:dyDescent="0.25">
      <c r="X190" t="s">
        <v>50</v>
      </c>
      <c r="Y190" t="s">
        <v>647</v>
      </c>
      <c r="Z190" t="s">
        <v>1505</v>
      </c>
      <c r="AA190" s="19">
        <v>178.53</v>
      </c>
      <c r="AB190" s="30" t="s">
        <v>1499</v>
      </c>
      <c r="AC190" s="56"/>
      <c r="AE190" s="4" t="str">
        <f t="shared" si="10"/>
        <v>ORD-2023-864121</v>
      </c>
      <c r="AF190" s="4" t="str">
        <f t="shared" si="11"/>
        <v>Asia</v>
      </c>
      <c r="AG190" s="4" t="str">
        <f t="shared" si="12"/>
        <v>Q1</v>
      </c>
      <c r="AH190" s="19">
        <f t="shared" si="13"/>
        <v>178.53</v>
      </c>
      <c r="AI190" s="11" t="str">
        <f t="shared" si="14"/>
        <v>0.1-0.2</v>
      </c>
    </row>
    <row r="191" spans="24:35" x14ac:dyDescent="0.25">
      <c r="X191" t="s">
        <v>522</v>
      </c>
      <c r="Y191" t="s">
        <v>649</v>
      </c>
      <c r="Z191" t="s">
        <v>1506</v>
      </c>
      <c r="AA191" s="19">
        <v>227.02</v>
      </c>
      <c r="AB191" s="30" t="s">
        <v>1498</v>
      </c>
      <c r="AC191" s="56"/>
      <c r="AE191" s="4" t="str">
        <f t="shared" si="10"/>
        <v>ORD-2023-867166</v>
      </c>
      <c r="AF191" s="4" t="str">
        <f t="shared" si="11"/>
        <v>Europe</v>
      </c>
      <c r="AG191" s="4" t="str">
        <f t="shared" si="12"/>
        <v>Q2</v>
      </c>
      <c r="AH191" s="19">
        <f t="shared" si="13"/>
        <v>227.02</v>
      </c>
      <c r="AI191" s="11" t="str">
        <f t="shared" si="14"/>
        <v>0-0.1</v>
      </c>
    </row>
    <row r="192" spans="24:35" x14ac:dyDescent="0.25">
      <c r="X192" t="s">
        <v>498</v>
      </c>
      <c r="Y192" t="s">
        <v>648</v>
      </c>
      <c r="Z192" t="s">
        <v>1507</v>
      </c>
      <c r="AA192" s="19">
        <v>1307.52</v>
      </c>
      <c r="AB192" s="30" t="s">
        <v>1499</v>
      </c>
      <c r="AC192" s="56"/>
      <c r="AE192" s="4" t="str">
        <f t="shared" si="10"/>
        <v>ORD-2023-867175</v>
      </c>
      <c r="AF192" s="4" t="str">
        <f t="shared" si="11"/>
        <v>Americas</v>
      </c>
      <c r="AG192" s="4" t="str">
        <f t="shared" si="12"/>
        <v>Q3</v>
      </c>
      <c r="AH192" s="19">
        <f t="shared" si="13"/>
        <v>1307.52</v>
      </c>
      <c r="AI192" s="11" t="str">
        <f t="shared" si="14"/>
        <v>0.1-0.2</v>
      </c>
    </row>
    <row r="193" spans="24:35" x14ac:dyDescent="0.25">
      <c r="X193" t="s">
        <v>150</v>
      </c>
      <c r="Y193" t="s">
        <v>649</v>
      </c>
      <c r="Z193" t="s">
        <v>1506</v>
      </c>
      <c r="AA193" s="19">
        <v>1087.81</v>
      </c>
      <c r="AB193" s="30" t="s">
        <v>1498</v>
      </c>
      <c r="AC193" s="56"/>
      <c r="AE193" s="4" t="str">
        <f t="shared" si="10"/>
        <v>ORD-2023-867285</v>
      </c>
      <c r="AF193" s="4" t="str">
        <f t="shared" si="11"/>
        <v>Europe</v>
      </c>
      <c r="AG193" s="4" t="str">
        <f t="shared" si="12"/>
        <v>Q2</v>
      </c>
      <c r="AH193" s="19">
        <f t="shared" si="13"/>
        <v>1087.81</v>
      </c>
      <c r="AI193" s="11" t="str">
        <f t="shared" si="14"/>
        <v>0-0.1</v>
      </c>
    </row>
    <row r="194" spans="24:35" x14ac:dyDescent="0.25">
      <c r="X194" t="s">
        <v>36</v>
      </c>
      <c r="Y194" t="s">
        <v>647</v>
      </c>
      <c r="Z194" t="s">
        <v>1506</v>
      </c>
      <c r="AA194" s="19">
        <v>1331.19</v>
      </c>
      <c r="AB194" s="30" t="s">
        <v>1499</v>
      </c>
      <c r="AC194" s="56"/>
      <c r="AE194" s="4" t="str">
        <f t="shared" si="10"/>
        <v>ORD-2023-867836</v>
      </c>
      <c r="AF194" s="4" t="str">
        <f t="shared" si="11"/>
        <v>Asia</v>
      </c>
      <c r="AG194" s="4" t="str">
        <f t="shared" si="12"/>
        <v>Q2</v>
      </c>
      <c r="AH194" s="19">
        <f t="shared" si="13"/>
        <v>1331.19</v>
      </c>
      <c r="AI194" s="11" t="str">
        <f t="shared" si="14"/>
        <v>0.1-0.2</v>
      </c>
    </row>
    <row r="195" spans="24:35" x14ac:dyDescent="0.25">
      <c r="X195" t="s">
        <v>585</v>
      </c>
      <c r="Y195" t="s">
        <v>647</v>
      </c>
      <c r="Z195" t="s">
        <v>1506</v>
      </c>
      <c r="AA195" s="19">
        <v>669.37</v>
      </c>
      <c r="AB195" s="30" t="s">
        <v>1498</v>
      </c>
      <c r="AC195" s="56"/>
      <c r="AE195" s="4" t="str">
        <f t="shared" si="10"/>
        <v>ORD-2023-868460</v>
      </c>
      <c r="AF195" s="4" t="str">
        <f t="shared" si="11"/>
        <v>Asia</v>
      </c>
      <c r="AG195" s="4" t="str">
        <f t="shared" si="12"/>
        <v>Q2</v>
      </c>
      <c r="AH195" s="19">
        <f t="shared" si="13"/>
        <v>669.37</v>
      </c>
      <c r="AI195" s="11" t="str">
        <f t="shared" si="14"/>
        <v>0-0.1</v>
      </c>
    </row>
    <row r="196" spans="24:35" x14ac:dyDescent="0.25">
      <c r="X196" t="s">
        <v>110</v>
      </c>
      <c r="Y196" t="s">
        <v>649</v>
      </c>
      <c r="Z196" t="s">
        <v>1506</v>
      </c>
      <c r="AA196" s="19">
        <v>1084.79</v>
      </c>
      <c r="AB196" s="30" t="s">
        <v>1498</v>
      </c>
      <c r="AC196" s="56"/>
      <c r="AE196" s="4" t="str">
        <f t="shared" ref="AE196:AE259" si="15">X196</f>
        <v>ORD-2023-868734</v>
      </c>
      <c r="AF196" s="4" t="str">
        <f t="shared" ref="AF196:AF259" si="16">Y196</f>
        <v>Europe</v>
      </c>
      <c r="AG196" s="4" t="str">
        <f t="shared" ref="AG196:AG259" si="17">Z196</f>
        <v>Q2</v>
      </c>
      <c r="AH196" s="19">
        <f t="shared" ref="AH196:AH259" si="18">AA196</f>
        <v>1084.79</v>
      </c>
      <c r="AI196" s="11" t="str">
        <f t="shared" ref="AI196:AI259" si="19">AB196</f>
        <v>0-0.1</v>
      </c>
    </row>
    <row r="197" spans="24:35" x14ac:dyDescent="0.25">
      <c r="X197" t="s">
        <v>130</v>
      </c>
      <c r="Y197" t="s">
        <v>648</v>
      </c>
      <c r="Z197" t="s">
        <v>1505</v>
      </c>
      <c r="AA197" s="19">
        <v>1473.58</v>
      </c>
      <c r="AB197" s="30" t="s">
        <v>1499</v>
      </c>
      <c r="AC197" s="56"/>
      <c r="AE197" s="4" t="str">
        <f t="shared" si="15"/>
        <v>ORD-2023-869884</v>
      </c>
      <c r="AF197" s="4" t="str">
        <f t="shared" si="16"/>
        <v>Americas</v>
      </c>
      <c r="AG197" s="4" t="str">
        <f t="shared" si="17"/>
        <v>Q1</v>
      </c>
      <c r="AH197" s="19">
        <f t="shared" si="18"/>
        <v>1473.58</v>
      </c>
      <c r="AI197" s="11" t="str">
        <f t="shared" si="19"/>
        <v>0.1-0.2</v>
      </c>
    </row>
    <row r="198" spans="24:35" x14ac:dyDescent="0.25">
      <c r="X198" t="s">
        <v>471</v>
      </c>
      <c r="Y198" t="s">
        <v>647</v>
      </c>
      <c r="Z198" t="s">
        <v>1506</v>
      </c>
      <c r="AA198" s="19">
        <v>714.28</v>
      </c>
      <c r="AB198" s="30" t="s">
        <v>1499</v>
      </c>
      <c r="AC198" s="56"/>
      <c r="AE198" s="4" t="str">
        <f t="shared" si="15"/>
        <v>ORD-2023-880296</v>
      </c>
      <c r="AF198" s="4" t="str">
        <f t="shared" si="16"/>
        <v>Asia</v>
      </c>
      <c r="AG198" s="4" t="str">
        <f t="shared" si="17"/>
        <v>Q2</v>
      </c>
      <c r="AH198" s="19">
        <f t="shared" si="18"/>
        <v>714.28</v>
      </c>
      <c r="AI198" s="11" t="str">
        <f t="shared" si="19"/>
        <v>0.1-0.2</v>
      </c>
    </row>
    <row r="199" spans="24:35" x14ac:dyDescent="0.25">
      <c r="X199" t="s">
        <v>140</v>
      </c>
      <c r="Y199" t="s">
        <v>647</v>
      </c>
      <c r="Z199" t="s">
        <v>1507</v>
      </c>
      <c r="AA199" s="19">
        <v>950.77</v>
      </c>
      <c r="AB199" s="30" t="s">
        <v>1498</v>
      </c>
      <c r="AC199" s="56"/>
      <c r="AE199" s="4" t="str">
        <f t="shared" si="15"/>
        <v>ORD-2023-883066</v>
      </c>
      <c r="AF199" s="4" t="str">
        <f t="shared" si="16"/>
        <v>Asia</v>
      </c>
      <c r="AG199" s="4" t="str">
        <f t="shared" si="17"/>
        <v>Q3</v>
      </c>
      <c r="AH199" s="19">
        <f t="shared" si="18"/>
        <v>950.77</v>
      </c>
      <c r="AI199" s="11" t="str">
        <f t="shared" si="19"/>
        <v>0-0.1</v>
      </c>
    </row>
    <row r="200" spans="24:35" x14ac:dyDescent="0.25">
      <c r="X200" t="s">
        <v>323</v>
      </c>
      <c r="Y200" t="s">
        <v>649</v>
      </c>
      <c r="Z200" t="s">
        <v>1505</v>
      </c>
      <c r="AA200" s="19">
        <v>401.66</v>
      </c>
      <c r="AB200" s="30" t="s">
        <v>1498</v>
      </c>
      <c r="AC200" s="56"/>
      <c r="AE200" s="4" t="str">
        <f t="shared" si="15"/>
        <v>ORD-2023-884192</v>
      </c>
      <c r="AF200" s="4" t="str">
        <f t="shared" si="16"/>
        <v>Europe</v>
      </c>
      <c r="AG200" s="4" t="str">
        <f t="shared" si="17"/>
        <v>Q1</v>
      </c>
      <c r="AH200" s="19">
        <f t="shared" si="18"/>
        <v>401.66</v>
      </c>
      <c r="AI200" s="11" t="str">
        <f t="shared" si="19"/>
        <v>0-0.1</v>
      </c>
    </row>
    <row r="201" spans="24:35" x14ac:dyDescent="0.25">
      <c r="X201" t="s">
        <v>180</v>
      </c>
      <c r="Y201" t="s">
        <v>649</v>
      </c>
      <c r="Z201" t="s">
        <v>1505</v>
      </c>
      <c r="AA201" s="19">
        <v>1234.81</v>
      </c>
      <c r="AB201" s="30" t="s">
        <v>1498</v>
      </c>
      <c r="AC201" s="56"/>
      <c r="AE201" s="4" t="str">
        <f t="shared" si="15"/>
        <v>ORD-2023-884625</v>
      </c>
      <c r="AF201" s="4" t="str">
        <f t="shared" si="16"/>
        <v>Europe</v>
      </c>
      <c r="AG201" s="4" t="str">
        <f t="shared" si="17"/>
        <v>Q1</v>
      </c>
      <c r="AH201" s="19">
        <f t="shared" si="18"/>
        <v>1234.81</v>
      </c>
      <c r="AI201" s="11" t="str">
        <f t="shared" si="19"/>
        <v>0-0.1</v>
      </c>
    </row>
    <row r="202" spans="24:35" x14ac:dyDescent="0.25">
      <c r="X202" t="s">
        <v>638</v>
      </c>
      <c r="Y202" t="s">
        <v>647</v>
      </c>
      <c r="Z202" t="s">
        <v>1507</v>
      </c>
      <c r="AA202" s="19">
        <v>1021.97</v>
      </c>
      <c r="AB202" s="30" t="s">
        <v>1499</v>
      </c>
      <c r="AC202" s="56"/>
      <c r="AE202" s="4" t="str">
        <f t="shared" si="15"/>
        <v>ORD-2023-885216</v>
      </c>
      <c r="AF202" s="4" t="str">
        <f t="shared" si="16"/>
        <v>Asia</v>
      </c>
      <c r="AG202" s="4" t="str">
        <f t="shared" si="17"/>
        <v>Q3</v>
      </c>
      <c r="AH202" s="19">
        <f t="shared" si="18"/>
        <v>1021.97</v>
      </c>
      <c r="AI202" s="11" t="str">
        <f t="shared" si="19"/>
        <v>0.1-0.2</v>
      </c>
    </row>
    <row r="203" spans="24:35" x14ac:dyDescent="0.25">
      <c r="X203" t="s">
        <v>273</v>
      </c>
      <c r="Y203" t="s">
        <v>648</v>
      </c>
      <c r="Z203" t="s">
        <v>1508</v>
      </c>
      <c r="AA203" s="19">
        <v>715.94</v>
      </c>
      <c r="AB203" s="30" t="s">
        <v>1499</v>
      </c>
      <c r="AC203" s="56"/>
      <c r="AE203" s="4" t="str">
        <f t="shared" si="15"/>
        <v>ORD-2023-888140</v>
      </c>
      <c r="AF203" s="4" t="str">
        <f t="shared" si="16"/>
        <v>Americas</v>
      </c>
      <c r="AG203" s="4" t="str">
        <f t="shared" si="17"/>
        <v>Q4</v>
      </c>
      <c r="AH203" s="19">
        <f t="shared" si="18"/>
        <v>715.94</v>
      </c>
      <c r="AI203" s="11" t="str">
        <f t="shared" si="19"/>
        <v>0.1-0.2</v>
      </c>
    </row>
    <row r="204" spans="24:35" x14ac:dyDescent="0.25">
      <c r="X204" t="s">
        <v>336</v>
      </c>
      <c r="Y204" t="s">
        <v>649</v>
      </c>
      <c r="Z204" t="s">
        <v>1505</v>
      </c>
      <c r="AA204" s="19">
        <v>1299.81</v>
      </c>
      <c r="AB204" s="30" t="s">
        <v>1499</v>
      </c>
      <c r="AC204" s="56"/>
      <c r="AE204" s="4" t="str">
        <f t="shared" si="15"/>
        <v>ORD-2023-888245</v>
      </c>
      <c r="AF204" s="4" t="str">
        <f t="shared" si="16"/>
        <v>Europe</v>
      </c>
      <c r="AG204" s="4" t="str">
        <f t="shared" si="17"/>
        <v>Q1</v>
      </c>
      <c r="AH204" s="19">
        <f t="shared" si="18"/>
        <v>1299.81</v>
      </c>
      <c r="AI204" s="11" t="str">
        <f t="shared" si="19"/>
        <v>0.1-0.2</v>
      </c>
    </row>
    <row r="205" spans="24:35" x14ac:dyDescent="0.25">
      <c r="X205" t="s">
        <v>326</v>
      </c>
      <c r="Y205" t="s">
        <v>648</v>
      </c>
      <c r="Z205" t="s">
        <v>1506</v>
      </c>
      <c r="AA205" s="19">
        <v>471.42</v>
      </c>
      <c r="AB205" s="30" t="s">
        <v>1498</v>
      </c>
      <c r="AC205" s="56"/>
      <c r="AE205" s="4" t="str">
        <f t="shared" si="15"/>
        <v>ORD-2023-890605</v>
      </c>
      <c r="AF205" s="4" t="str">
        <f t="shared" si="16"/>
        <v>Americas</v>
      </c>
      <c r="AG205" s="4" t="str">
        <f t="shared" si="17"/>
        <v>Q2</v>
      </c>
      <c r="AH205" s="19">
        <f t="shared" si="18"/>
        <v>471.42</v>
      </c>
      <c r="AI205" s="11" t="str">
        <f t="shared" si="19"/>
        <v>0-0.1</v>
      </c>
    </row>
    <row r="206" spans="24:35" x14ac:dyDescent="0.25">
      <c r="X206" t="s">
        <v>43</v>
      </c>
      <c r="Y206" t="s">
        <v>646</v>
      </c>
      <c r="Z206" t="s">
        <v>1506</v>
      </c>
      <c r="AA206" s="19">
        <v>209.25</v>
      </c>
      <c r="AB206" s="30" t="s">
        <v>1498</v>
      </c>
      <c r="AC206" s="56"/>
      <c r="AE206" s="4" t="str">
        <f t="shared" si="15"/>
        <v>ORD-2023-897079</v>
      </c>
      <c r="AF206" s="4" t="str">
        <f t="shared" si="16"/>
        <v>Africa</v>
      </c>
      <c r="AG206" s="4" t="str">
        <f t="shared" si="17"/>
        <v>Q2</v>
      </c>
      <c r="AH206" s="19">
        <f t="shared" si="18"/>
        <v>209.25</v>
      </c>
      <c r="AI206" s="11" t="str">
        <f t="shared" si="19"/>
        <v>0-0.1</v>
      </c>
    </row>
    <row r="207" spans="24:35" x14ac:dyDescent="0.25">
      <c r="X207" t="s">
        <v>361</v>
      </c>
      <c r="Y207" t="s">
        <v>646</v>
      </c>
      <c r="Z207" t="s">
        <v>1506</v>
      </c>
      <c r="AA207" s="19">
        <v>77.739999999999995</v>
      </c>
      <c r="AB207" s="30" t="s">
        <v>1498</v>
      </c>
      <c r="AC207" s="56"/>
      <c r="AE207" s="4" t="str">
        <f t="shared" si="15"/>
        <v>ORD-2023-898009</v>
      </c>
      <c r="AF207" s="4" t="str">
        <f t="shared" si="16"/>
        <v>Africa</v>
      </c>
      <c r="AG207" s="4" t="str">
        <f t="shared" si="17"/>
        <v>Q2</v>
      </c>
      <c r="AH207" s="19">
        <f t="shared" si="18"/>
        <v>77.739999999999995</v>
      </c>
      <c r="AI207" s="11" t="str">
        <f t="shared" si="19"/>
        <v>0-0.1</v>
      </c>
    </row>
    <row r="208" spans="24:35" x14ac:dyDescent="0.25">
      <c r="X208" t="s">
        <v>155</v>
      </c>
      <c r="Y208" t="s">
        <v>647</v>
      </c>
      <c r="Z208" t="s">
        <v>1506</v>
      </c>
      <c r="AA208" s="19">
        <v>1463.92</v>
      </c>
      <c r="AB208" s="30" t="s">
        <v>1499</v>
      </c>
      <c r="AC208" s="56"/>
      <c r="AE208" s="4" t="str">
        <f t="shared" si="15"/>
        <v>ORD-2023-906481</v>
      </c>
      <c r="AF208" s="4" t="str">
        <f t="shared" si="16"/>
        <v>Asia</v>
      </c>
      <c r="AG208" s="4" t="str">
        <f t="shared" si="17"/>
        <v>Q2</v>
      </c>
      <c r="AH208" s="19">
        <f t="shared" si="18"/>
        <v>1463.92</v>
      </c>
      <c r="AI208" s="11" t="str">
        <f t="shared" si="19"/>
        <v>0.1-0.2</v>
      </c>
    </row>
    <row r="209" spans="24:35" x14ac:dyDescent="0.25">
      <c r="X209" t="s">
        <v>157</v>
      </c>
      <c r="Y209" t="s">
        <v>648</v>
      </c>
      <c r="Z209" t="s">
        <v>1507</v>
      </c>
      <c r="AA209" s="19">
        <v>1261.48</v>
      </c>
      <c r="AB209" s="30" t="s">
        <v>1499</v>
      </c>
      <c r="AC209" s="56"/>
      <c r="AE209" s="4" t="str">
        <f t="shared" si="15"/>
        <v>ORD-2023-912395</v>
      </c>
      <c r="AF209" s="4" t="str">
        <f t="shared" si="16"/>
        <v>Americas</v>
      </c>
      <c r="AG209" s="4" t="str">
        <f t="shared" si="17"/>
        <v>Q3</v>
      </c>
      <c r="AH209" s="19">
        <f t="shared" si="18"/>
        <v>1261.48</v>
      </c>
      <c r="AI209" s="11" t="str">
        <f t="shared" si="19"/>
        <v>0.1-0.2</v>
      </c>
    </row>
    <row r="210" spans="24:35" x14ac:dyDescent="0.25">
      <c r="X210" t="s">
        <v>524</v>
      </c>
      <c r="Y210" t="s">
        <v>647</v>
      </c>
      <c r="Z210" t="s">
        <v>1506</v>
      </c>
      <c r="AA210" s="19">
        <v>622.6</v>
      </c>
      <c r="AB210" s="30" t="s">
        <v>1500</v>
      </c>
      <c r="AC210" s="56"/>
      <c r="AE210" s="4" t="str">
        <f t="shared" si="15"/>
        <v>ORD-2023-913592</v>
      </c>
      <c r="AF210" s="4" t="str">
        <f t="shared" si="16"/>
        <v>Asia</v>
      </c>
      <c r="AG210" s="4" t="str">
        <f t="shared" si="17"/>
        <v>Q2</v>
      </c>
      <c r="AH210" s="19">
        <f t="shared" si="18"/>
        <v>622.6</v>
      </c>
      <c r="AI210" s="11" t="str">
        <f t="shared" si="19"/>
        <v>0.2-0.3</v>
      </c>
    </row>
    <row r="211" spans="24:35" x14ac:dyDescent="0.25">
      <c r="X211" t="s">
        <v>220</v>
      </c>
      <c r="Y211" t="s">
        <v>649</v>
      </c>
      <c r="Z211" t="s">
        <v>1507</v>
      </c>
      <c r="AA211" s="19">
        <v>137.46</v>
      </c>
      <c r="AB211" s="30" t="s">
        <v>1498</v>
      </c>
      <c r="AC211" s="56"/>
      <c r="AE211" s="4" t="str">
        <f t="shared" si="15"/>
        <v>ORD-2023-920483</v>
      </c>
      <c r="AF211" s="4" t="str">
        <f t="shared" si="16"/>
        <v>Europe</v>
      </c>
      <c r="AG211" s="4" t="str">
        <f t="shared" si="17"/>
        <v>Q3</v>
      </c>
      <c r="AH211" s="19">
        <f t="shared" si="18"/>
        <v>137.46</v>
      </c>
      <c r="AI211" s="11" t="str">
        <f t="shared" si="19"/>
        <v>0-0.1</v>
      </c>
    </row>
    <row r="212" spans="24:35" x14ac:dyDescent="0.25">
      <c r="X212" t="s">
        <v>642</v>
      </c>
      <c r="Y212" t="s">
        <v>648</v>
      </c>
      <c r="Z212" t="s">
        <v>1506</v>
      </c>
      <c r="AA212" s="19">
        <v>807.02</v>
      </c>
      <c r="AB212" s="30" t="s">
        <v>1498</v>
      </c>
      <c r="AC212" s="56"/>
      <c r="AE212" s="4" t="str">
        <f t="shared" si="15"/>
        <v>ORD-2023-921939</v>
      </c>
      <c r="AF212" s="4" t="str">
        <f t="shared" si="16"/>
        <v>Americas</v>
      </c>
      <c r="AG212" s="4" t="str">
        <f t="shared" si="17"/>
        <v>Q2</v>
      </c>
      <c r="AH212" s="19">
        <f t="shared" si="18"/>
        <v>807.02</v>
      </c>
      <c r="AI212" s="11" t="str">
        <f t="shared" si="19"/>
        <v>0-0.1</v>
      </c>
    </row>
    <row r="213" spans="24:35" x14ac:dyDescent="0.25">
      <c r="X213" t="s">
        <v>207</v>
      </c>
      <c r="Y213" t="s">
        <v>647</v>
      </c>
      <c r="Z213" t="s">
        <v>1508</v>
      </c>
      <c r="AA213" s="19">
        <v>986.44</v>
      </c>
      <c r="AB213" s="30" t="s">
        <v>1498</v>
      </c>
      <c r="AC213" s="56"/>
      <c r="AE213" s="4" t="str">
        <f t="shared" si="15"/>
        <v>ORD-2023-925146</v>
      </c>
      <c r="AF213" s="4" t="str">
        <f t="shared" si="16"/>
        <v>Asia</v>
      </c>
      <c r="AG213" s="4" t="str">
        <f t="shared" si="17"/>
        <v>Q4</v>
      </c>
      <c r="AH213" s="19">
        <f t="shared" si="18"/>
        <v>986.44</v>
      </c>
      <c r="AI213" s="11" t="str">
        <f t="shared" si="19"/>
        <v>0-0.1</v>
      </c>
    </row>
    <row r="214" spans="24:35" x14ac:dyDescent="0.25">
      <c r="X214" t="s">
        <v>408</v>
      </c>
      <c r="Y214" t="s">
        <v>649</v>
      </c>
      <c r="Z214" t="s">
        <v>1506</v>
      </c>
      <c r="AA214" s="19">
        <v>1295.3900000000001</v>
      </c>
      <c r="AB214" s="30" t="s">
        <v>1499</v>
      </c>
      <c r="AC214" s="56"/>
      <c r="AE214" s="4" t="str">
        <f t="shared" si="15"/>
        <v>ORD-2023-927385</v>
      </c>
      <c r="AF214" s="4" t="str">
        <f t="shared" si="16"/>
        <v>Europe</v>
      </c>
      <c r="AG214" s="4" t="str">
        <f t="shared" si="17"/>
        <v>Q2</v>
      </c>
      <c r="AH214" s="19">
        <f t="shared" si="18"/>
        <v>1295.3900000000001</v>
      </c>
      <c r="AI214" s="11" t="str">
        <f t="shared" si="19"/>
        <v>0.1-0.2</v>
      </c>
    </row>
    <row r="215" spans="24:35" x14ac:dyDescent="0.25">
      <c r="X215" t="s">
        <v>484</v>
      </c>
      <c r="Y215" t="s">
        <v>646</v>
      </c>
      <c r="Z215" t="s">
        <v>1506</v>
      </c>
      <c r="AA215" s="19">
        <v>432.01</v>
      </c>
      <c r="AB215" s="30" t="s">
        <v>1498</v>
      </c>
      <c r="AC215" s="56"/>
      <c r="AE215" s="4" t="str">
        <f t="shared" si="15"/>
        <v>ORD-2023-931633</v>
      </c>
      <c r="AF215" s="4" t="str">
        <f t="shared" si="16"/>
        <v>Africa</v>
      </c>
      <c r="AG215" s="4" t="str">
        <f t="shared" si="17"/>
        <v>Q2</v>
      </c>
      <c r="AH215" s="19">
        <f t="shared" si="18"/>
        <v>432.01</v>
      </c>
      <c r="AI215" s="11" t="str">
        <f t="shared" si="19"/>
        <v>0-0.1</v>
      </c>
    </row>
    <row r="216" spans="24:35" x14ac:dyDescent="0.25">
      <c r="X216" t="s">
        <v>426</v>
      </c>
      <c r="Y216" t="s">
        <v>649</v>
      </c>
      <c r="Z216" t="s">
        <v>1505</v>
      </c>
      <c r="AA216" s="19">
        <v>692.18</v>
      </c>
      <c r="AB216" s="30" t="s">
        <v>1499</v>
      </c>
      <c r="AC216" s="56"/>
      <c r="AE216" s="4" t="str">
        <f t="shared" si="15"/>
        <v>ORD-2023-933238</v>
      </c>
      <c r="AF216" s="4" t="str">
        <f t="shared" si="16"/>
        <v>Europe</v>
      </c>
      <c r="AG216" s="4" t="str">
        <f t="shared" si="17"/>
        <v>Q1</v>
      </c>
      <c r="AH216" s="19">
        <f t="shared" si="18"/>
        <v>692.18</v>
      </c>
      <c r="AI216" s="11" t="str">
        <f t="shared" si="19"/>
        <v>0.1-0.2</v>
      </c>
    </row>
    <row r="217" spans="24:35" x14ac:dyDescent="0.25">
      <c r="X217" t="s">
        <v>30</v>
      </c>
      <c r="Y217" t="s">
        <v>646</v>
      </c>
      <c r="Z217" t="s">
        <v>1506</v>
      </c>
      <c r="AA217" s="19">
        <v>756.51</v>
      </c>
      <c r="AB217" s="30" t="s">
        <v>1498</v>
      </c>
      <c r="AC217" s="56"/>
      <c r="AE217" s="4" t="str">
        <f t="shared" si="15"/>
        <v>ORD-2023-937291</v>
      </c>
      <c r="AF217" s="4" t="str">
        <f t="shared" si="16"/>
        <v>Africa</v>
      </c>
      <c r="AG217" s="4" t="str">
        <f t="shared" si="17"/>
        <v>Q2</v>
      </c>
      <c r="AH217" s="19">
        <f t="shared" si="18"/>
        <v>756.51</v>
      </c>
      <c r="AI217" s="11" t="str">
        <f t="shared" si="19"/>
        <v>0-0.1</v>
      </c>
    </row>
    <row r="218" spans="24:35" x14ac:dyDescent="0.25">
      <c r="X218" t="s">
        <v>346</v>
      </c>
      <c r="Y218" t="s">
        <v>647</v>
      </c>
      <c r="Z218" t="s">
        <v>1507</v>
      </c>
      <c r="AA218" s="19">
        <v>1082.25</v>
      </c>
      <c r="AB218" s="30" t="s">
        <v>1500</v>
      </c>
      <c r="AC218" s="56"/>
      <c r="AE218" s="4" t="str">
        <f t="shared" si="15"/>
        <v>ORD-2023-944052</v>
      </c>
      <c r="AF218" s="4" t="str">
        <f t="shared" si="16"/>
        <v>Asia</v>
      </c>
      <c r="AG218" s="4" t="str">
        <f t="shared" si="17"/>
        <v>Q3</v>
      </c>
      <c r="AH218" s="19">
        <f t="shared" si="18"/>
        <v>1082.25</v>
      </c>
      <c r="AI218" s="11" t="str">
        <f t="shared" si="19"/>
        <v>0.2-0.3</v>
      </c>
    </row>
    <row r="219" spans="24:35" x14ac:dyDescent="0.25">
      <c r="X219" t="s">
        <v>248</v>
      </c>
      <c r="Y219" t="s">
        <v>646</v>
      </c>
      <c r="Z219" t="s">
        <v>1505</v>
      </c>
      <c r="AA219" s="19">
        <v>1309.77</v>
      </c>
      <c r="AB219" s="30" t="s">
        <v>1499</v>
      </c>
      <c r="AC219" s="56"/>
      <c r="AE219" s="4" t="str">
        <f t="shared" si="15"/>
        <v>ORD-2023-946143</v>
      </c>
      <c r="AF219" s="4" t="str">
        <f t="shared" si="16"/>
        <v>Africa</v>
      </c>
      <c r="AG219" s="4" t="str">
        <f t="shared" si="17"/>
        <v>Q1</v>
      </c>
      <c r="AH219" s="19">
        <f t="shared" si="18"/>
        <v>1309.77</v>
      </c>
      <c r="AI219" s="11" t="str">
        <f t="shared" si="19"/>
        <v>0.1-0.2</v>
      </c>
    </row>
    <row r="220" spans="24:35" x14ac:dyDescent="0.25">
      <c r="X220" t="s">
        <v>243</v>
      </c>
      <c r="Y220" t="s">
        <v>646</v>
      </c>
      <c r="Z220" t="s">
        <v>1505</v>
      </c>
      <c r="AA220" s="19">
        <v>1024.0999999999999</v>
      </c>
      <c r="AB220" s="30" t="s">
        <v>1499</v>
      </c>
      <c r="AC220" s="56"/>
      <c r="AE220" s="4" t="str">
        <f t="shared" si="15"/>
        <v>ORD-2023-949710</v>
      </c>
      <c r="AF220" s="4" t="str">
        <f t="shared" si="16"/>
        <v>Africa</v>
      </c>
      <c r="AG220" s="4" t="str">
        <f t="shared" si="17"/>
        <v>Q1</v>
      </c>
      <c r="AH220" s="19">
        <f t="shared" si="18"/>
        <v>1024.0999999999999</v>
      </c>
      <c r="AI220" s="11" t="str">
        <f t="shared" si="19"/>
        <v>0.1-0.2</v>
      </c>
    </row>
    <row r="221" spans="24:35" x14ac:dyDescent="0.25">
      <c r="X221" t="s">
        <v>570</v>
      </c>
      <c r="Y221" t="s">
        <v>647</v>
      </c>
      <c r="Z221" t="s">
        <v>1506</v>
      </c>
      <c r="AA221" s="19">
        <v>1443.28</v>
      </c>
      <c r="AB221" s="30" t="s">
        <v>1498</v>
      </c>
      <c r="AC221" s="56"/>
      <c r="AE221" s="4" t="str">
        <f t="shared" si="15"/>
        <v>ORD-2023-957692</v>
      </c>
      <c r="AF221" s="4" t="str">
        <f t="shared" si="16"/>
        <v>Asia</v>
      </c>
      <c r="AG221" s="4" t="str">
        <f t="shared" si="17"/>
        <v>Q2</v>
      </c>
      <c r="AH221" s="19">
        <f t="shared" si="18"/>
        <v>1443.28</v>
      </c>
      <c r="AI221" s="11" t="str">
        <f t="shared" si="19"/>
        <v>0-0.1</v>
      </c>
    </row>
    <row r="222" spans="24:35" x14ac:dyDescent="0.25">
      <c r="X222" t="s">
        <v>557</v>
      </c>
      <c r="Y222" t="s">
        <v>646</v>
      </c>
      <c r="Z222" t="s">
        <v>1505</v>
      </c>
      <c r="AA222" s="19">
        <v>944.61</v>
      </c>
      <c r="AB222" s="30" t="s">
        <v>1498</v>
      </c>
      <c r="AC222" s="56"/>
      <c r="AE222" s="4" t="str">
        <f t="shared" si="15"/>
        <v>ORD-2023-960380</v>
      </c>
      <c r="AF222" s="4" t="str">
        <f t="shared" si="16"/>
        <v>Africa</v>
      </c>
      <c r="AG222" s="4" t="str">
        <f t="shared" si="17"/>
        <v>Q1</v>
      </c>
      <c r="AH222" s="19">
        <f t="shared" si="18"/>
        <v>944.61</v>
      </c>
      <c r="AI222" s="11" t="str">
        <f t="shared" si="19"/>
        <v>0-0.1</v>
      </c>
    </row>
    <row r="223" spans="24:35" x14ac:dyDescent="0.25">
      <c r="X223" t="s">
        <v>643</v>
      </c>
      <c r="Y223" t="s">
        <v>649</v>
      </c>
      <c r="Z223" t="s">
        <v>1508</v>
      </c>
      <c r="AA223" s="19">
        <v>1071.99</v>
      </c>
      <c r="AB223" s="30" t="s">
        <v>1498</v>
      </c>
      <c r="AC223" s="56"/>
      <c r="AE223" s="4" t="str">
        <f t="shared" si="15"/>
        <v>ORD-2023-961864</v>
      </c>
      <c r="AF223" s="4" t="str">
        <f t="shared" si="16"/>
        <v>Europe</v>
      </c>
      <c r="AG223" s="4" t="str">
        <f t="shared" si="17"/>
        <v>Q4</v>
      </c>
      <c r="AH223" s="19">
        <f t="shared" si="18"/>
        <v>1071.99</v>
      </c>
      <c r="AI223" s="11" t="str">
        <f t="shared" si="19"/>
        <v>0-0.1</v>
      </c>
    </row>
    <row r="224" spans="24:35" x14ac:dyDescent="0.25">
      <c r="X224" t="s">
        <v>252</v>
      </c>
      <c r="Y224" t="s">
        <v>647</v>
      </c>
      <c r="Z224" t="s">
        <v>1508</v>
      </c>
      <c r="AA224" s="19">
        <v>699.33</v>
      </c>
      <c r="AB224" s="30" t="s">
        <v>1500</v>
      </c>
      <c r="AC224" s="56"/>
      <c r="AE224" s="4" t="str">
        <f t="shared" si="15"/>
        <v>ORD-2023-964434</v>
      </c>
      <c r="AF224" s="4" t="str">
        <f t="shared" si="16"/>
        <v>Asia</v>
      </c>
      <c r="AG224" s="4" t="str">
        <f t="shared" si="17"/>
        <v>Q4</v>
      </c>
      <c r="AH224" s="19">
        <f t="shared" si="18"/>
        <v>699.33</v>
      </c>
      <c r="AI224" s="11" t="str">
        <f t="shared" si="19"/>
        <v>0.2-0.3</v>
      </c>
    </row>
    <row r="225" spans="24:35" x14ac:dyDescent="0.25">
      <c r="X225" t="s">
        <v>282</v>
      </c>
      <c r="Y225" t="s">
        <v>648</v>
      </c>
      <c r="Z225" t="s">
        <v>1508</v>
      </c>
      <c r="AA225" s="19">
        <v>526.49</v>
      </c>
      <c r="AB225" s="30" t="s">
        <v>1498</v>
      </c>
      <c r="AC225" s="56"/>
      <c r="AE225" s="4" t="str">
        <f t="shared" si="15"/>
        <v>ORD-2023-967239</v>
      </c>
      <c r="AF225" s="4" t="str">
        <f t="shared" si="16"/>
        <v>Americas</v>
      </c>
      <c r="AG225" s="4" t="str">
        <f t="shared" si="17"/>
        <v>Q4</v>
      </c>
      <c r="AH225" s="19">
        <f t="shared" si="18"/>
        <v>526.49</v>
      </c>
      <c r="AI225" s="11" t="str">
        <f t="shared" si="19"/>
        <v>0-0.1</v>
      </c>
    </row>
    <row r="226" spans="24:35" x14ac:dyDescent="0.25">
      <c r="X226" t="s">
        <v>553</v>
      </c>
      <c r="Y226" t="s">
        <v>646</v>
      </c>
      <c r="Z226" t="s">
        <v>1508</v>
      </c>
      <c r="AA226" s="19">
        <v>1141.8</v>
      </c>
      <c r="AB226" s="30" t="s">
        <v>1499</v>
      </c>
      <c r="AC226" s="56"/>
      <c r="AE226" s="4" t="str">
        <f t="shared" si="15"/>
        <v>ORD-2023-974506</v>
      </c>
      <c r="AF226" s="4" t="str">
        <f t="shared" si="16"/>
        <v>Africa</v>
      </c>
      <c r="AG226" s="4" t="str">
        <f t="shared" si="17"/>
        <v>Q4</v>
      </c>
      <c r="AH226" s="19">
        <f t="shared" si="18"/>
        <v>1141.8</v>
      </c>
      <c r="AI226" s="11" t="str">
        <f t="shared" si="19"/>
        <v>0.1-0.2</v>
      </c>
    </row>
    <row r="227" spans="24:35" x14ac:dyDescent="0.25">
      <c r="X227" t="s">
        <v>129</v>
      </c>
      <c r="Y227" t="s">
        <v>647</v>
      </c>
      <c r="Z227" t="s">
        <v>1508</v>
      </c>
      <c r="AA227" s="19">
        <v>354.24</v>
      </c>
      <c r="AB227" s="30" t="s">
        <v>1498</v>
      </c>
      <c r="AC227" s="56"/>
      <c r="AE227" s="4" t="str">
        <f t="shared" si="15"/>
        <v>ORD-2023-975863</v>
      </c>
      <c r="AF227" s="4" t="str">
        <f t="shared" si="16"/>
        <v>Asia</v>
      </c>
      <c r="AG227" s="4" t="str">
        <f t="shared" si="17"/>
        <v>Q4</v>
      </c>
      <c r="AH227" s="19">
        <f t="shared" si="18"/>
        <v>354.24</v>
      </c>
      <c r="AI227" s="11" t="str">
        <f t="shared" si="19"/>
        <v>0-0.1</v>
      </c>
    </row>
    <row r="228" spans="24:35" x14ac:dyDescent="0.25">
      <c r="X228" t="s">
        <v>429</v>
      </c>
      <c r="Y228" t="s">
        <v>648</v>
      </c>
      <c r="Z228" t="s">
        <v>1507</v>
      </c>
      <c r="AA228" s="19">
        <v>1287.6400000000001</v>
      </c>
      <c r="AB228" s="30" t="s">
        <v>1498</v>
      </c>
      <c r="AC228" s="56"/>
      <c r="AE228" s="4" t="str">
        <f t="shared" si="15"/>
        <v>ORD-2023-987081</v>
      </c>
      <c r="AF228" s="4" t="str">
        <f t="shared" si="16"/>
        <v>Americas</v>
      </c>
      <c r="AG228" s="4" t="str">
        <f t="shared" si="17"/>
        <v>Q3</v>
      </c>
      <c r="AH228" s="19">
        <f t="shared" si="18"/>
        <v>1287.6400000000001</v>
      </c>
      <c r="AI228" s="11" t="str">
        <f t="shared" si="19"/>
        <v>0-0.1</v>
      </c>
    </row>
    <row r="229" spans="24:35" x14ac:dyDescent="0.25">
      <c r="X229" t="s">
        <v>193</v>
      </c>
      <c r="Y229" t="s">
        <v>648</v>
      </c>
      <c r="Z229" t="s">
        <v>1506</v>
      </c>
      <c r="AA229" s="19">
        <v>213.1</v>
      </c>
      <c r="AB229" s="30" t="s">
        <v>1498</v>
      </c>
      <c r="AC229" s="56"/>
      <c r="AE229" s="4" t="str">
        <f t="shared" si="15"/>
        <v>ORD-2023-987700</v>
      </c>
      <c r="AF229" s="4" t="str">
        <f t="shared" si="16"/>
        <v>Americas</v>
      </c>
      <c r="AG229" s="4" t="str">
        <f t="shared" si="17"/>
        <v>Q2</v>
      </c>
      <c r="AH229" s="19">
        <f t="shared" si="18"/>
        <v>213.1</v>
      </c>
      <c r="AI229" s="11" t="str">
        <f t="shared" si="19"/>
        <v>0-0.1</v>
      </c>
    </row>
    <row r="230" spans="24:35" x14ac:dyDescent="0.25">
      <c r="X230" t="s">
        <v>411</v>
      </c>
      <c r="Y230" t="s">
        <v>647</v>
      </c>
      <c r="Z230" t="s">
        <v>1508</v>
      </c>
      <c r="AA230" s="19">
        <v>1202.47</v>
      </c>
      <c r="AB230" s="30" t="s">
        <v>1500</v>
      </c>
      <c r="AC230" s="56"/>
      <c r="AE230" s="4" t="str">
        <f t="shared" si="15"/>
        <v>ORD-2024-102866</v>
      </c>
      <c r="AF230" s="4" t="str">
        <f t="shared" si="16"/>
        <v>Asia</v>
      </c>
      <c r="AG230" s="4" t="str">
        <f t="shared" si="17"/>
        <v>Q4</v>
      </c>
      <c r="AH230" s="19">
        <f t="shared" si="18"/>
        <v>1202.47</v>
      </c>
      <c r="AI230" s="11" t="str">
        <f t="shared" si="19"/>
        <v>0.2-0.3</v>
      </c>
    </row>
    <row r="231" spans="24:35" x14ac:dyDescent="0.25">
      <c r="X231" t="s">
        <v>494</v>
      </c>
      <c r="Y231" t="s">
        <v>647</v>
      </c>
      <c r="Z231" t="s">
        <v>1505</v>
      </c>
      <c r="AA231" s="19">
        <v>1219.06</v>
      </c>
      <c r="AB231" s="30" t="s">
        <v>1498</v>
      </c>
      <c r="AC231" s="56"/>
      <c r="AE231" s="4" t="str">
        <f t="shared" si="15"/>
        <v>ORD-2024-105586</v>
      </c>
      <c r="AF231" s="4" t="str">
        <f t="shared" si="16"/>
        <v>Asia</v>
      </c>
      <c r="AG231" s="4" t="str">
        <f t="shared" si="17"/>
        <v>Q1</v>
      </c>
      <c r="AH231" s="19">
        <f t="shared" si="18"/>
        <v>1219.06</v>
      </c>
      <c r="AI231" s="11" t="str">
        <f t="shared" si="19"/>
        <v>0-0.1</v>
      </c>
    </row>
    <row r="232" spans="24:35" x14ac:dyDescent="0.25">
      <c r="X232" t="s">
        <v>351</v>
      </c>
      <c r="Y232" t="s">
        <v>648</v>
      </c>
      <c r="Z232" t="s">
        <v>1505</v>
      </c>
      <c r="AA232" s="19">
        <v>624.23</v>
      </c>
      <c r="AB232" s="30" t="s">
        <v>1500</v>
      </c>
      <c r="AC232" s="56"/>
      <c r="AE232" s="4" t="str">
        <f t="shared" si="15"/>
        <v>ORD-2024-129345</v>
      </c>
      <c r="AF232" s="4" t="str">
        <f t="shared" si="16"/>
        <v>Americas</v>
      </c>
      <c r="AG232" s="4" t="str">
        <f t="shared" si="17"/>
        <v>Q1</v>
      </c>
      <c r="AH232" s="19">
        <f t="shared" si="18"/>
        <v>624.23</v>
      </c>
      <c r="AI232" s="11" t="str">
        <f t="shared" si="19"/>
        <v>0.2-0.3</v>
      </c>
    </row>
    <row r="233" spans="24:35" x14ac:dyDescent="0.25">
      <c r="X233" t="s">
        <v>179</v>
      </c>
      <c r="Y233" t="s">
        <v>647</v>
      </c>
      <c r="Z233" t="s">
        <v>1506</v>
      </c>
      <c r="AA233" s="19">
        <v>918.42</v>
      </c>
      <c r="AB233" s="30" t="s">
        <v>1498</v>
      </c>
      <c r="AC233" s="56"/>
      <c r="AE233" s="4" t="str">
        <f t="shared" si="15"/>
        <v>ORD-2024-134084</v>
      </c>
      <c r="AF233" s="4" t="str">
        <f t="shared" si="16"/>
        <v>Asia</v>
      </c>
      <c r="AG233" s="4" t="str">
        <f t="shared" si="17"/>
        <v>Q2</v>
      </c>
      <c r="AH233" s="19">
        <f t="shared" si="18"/>
        <v>918.42</v>
      </c>
      <c r="AI233" s="11" t="str">
        <f t="shared" si="19"/>
        <v>0-0.1</v>
      </c>
    </row>
    <row r="234" spans="24:35" x14ac:dyDescent="0.25">
      <c r="X234" t="s">
        <v>170</v>
      </c>
      <c r="Y234" t="s">
        <v>647</v>
      </c>
      <c r="Z234" t="s">
        <v>1507</v>
      </c>
      <c r="AA234" s="19">
        <v>436.58</v>
      </c>
      <c r="AB234" s="30" t="s">
        <v>1499</v>
      </c>
      <c r="AC234" s="56"/>
      <c r="AE234" s="4" t="str">
        <f t="shared" si="15"/>
        <v>ORD-2024-136321</v>
      </c>
      <c r="AF234" s="4" t="str">
        <f t="shared" si="16"/>
        <v>Asia</v>
      </c>
      <c r="AG234" s="4" t="str">
        <f t="shared" si="17"/>
        <v>Q3</v>
      </c>
      <c r="AH234" s="19">
        <f t="shared" si="18"/>
        <v>436.58</v>
      </c>
      <c r="AI234" s="11" t="str">
        <f t="shared" si="19"/>
        <v>0.1-0.2</v>
      </c>
    </row>
    <row r="235" spans="24:35" x14ac:dyDescent="0.25">
      <c r="X235" t="s">
        <v>564</v>
      </c>
      <c r="Y235" t="s">
        <v>649</v>
      </c>
      <c r="Z235" t="s">
        <v>1508</v>
      </c>
      <c r="AA235" s="19">
        <v>1035.24</v>
      </c>
      <c r="AB235" s="30" t="s">
        <v>1499</v>
      </c>
      <c r="AC235" s="56"/>
      <c r="AE235" s="4" t="str">
        <f t="shared" si="15"/>
        <v>ORD-2024-140633</v>
      </c>
      <c r="AF235" s="4" t="str">
        <f t="shared" si="16"/>
        <v>Europe</v>
      </c>
      <c r="AG235" s="4" t="str">
        <f t="shared" si="17"/>
        <v>Q4</v>
      </c>
      <c r="AH235" s="19">
        <f t="shared" si="18"/>
        <v>1035.24</v>
      </c>
      <c r="AI235" s="11" t="str">
        <f t="shared" si="19"/>
        <v>0.1-0.2</v>
      </c>
    </row>
    <row r="236" spans="24:35" x14ac:dyDescent="0.25">
      <c r="X236" t="s">
        <v>340</v>
      </c>
      <c r="Y236" t="s">
        <v>647</v>
      </c>
      <c r="Z236" t="s">
        <v>1505</v>
      </c>
      <c r="AA236" s="19">
        <v>310.02</v>
      </c>
      <c r="AB236" s="30" t="s">
        <v>1498</v>
      </c>
      <c r="AC236" s="56"/>
      <c r="AE236" s="4" t="str">
        <f t="shared" si="15"/>
        <v>ORD-2024-153053</v>
      </c>
      <c r="AF236" s="4" t="str">
        <f t="shared" si="16"/>
        <v>Asia</v>
      </c>
      <c r="AG236" s="4" t="str">
        <f t="shared" si="17"/>
        <v>Q1</v>
      </c>
      <c r="AH236" s="19">
        <f t="shared" si="18"/>
        <v>310.02</v>
      </c>
      <c r="AI236" s="11" t="str">
        <f t="shared" si="19"/>
        <v>0-0.1</v>
      </c>
    </row>
    <row r="237" spans="24:35" x14ac:dyDescent="0.25">
      <c r="X237" t="s">
        <v>120</v>
      </c>
      <c r="Y237" t="s">
        <v>646</v>
      </c>
      <c r="Z237" t="s">
        <v>1506</v>
      </c>
      <c r="AA237" s="19">
        <v>1157.51</v>
      </c>
      <c r="AB237" s="30" t="s">
        <v>1500</v>
      </c>
      <c r="AC237" s="56"/>
      <c r="AE237" s="4" t="str">
        <f t="shared" si="15"/>
        <v>ORD-2024-155337</v>
      </c>
      <c r="AF237" s="4" t="str">
        <f t="shared" si="16"/>
        <v>Africa</v>
      </c>
      <c r="AG237" s="4" t="str">
        <f t="shared" si="17"/>
        <v>Q2</v>
      </c>
      <c r="AH237" s="19">
        <f t="shared" si="18"/>
        <v>1157.51</v>
      </c>
      <c r="AI237" s="11" t="str">
        <f t="shared" si="19"/>
        <v>0.2-0.3</v>
      </c>
    </row>
    <row r="238" spans="24:35" x14ac:dyDescent="0.25">
      <c r="X238" t="s">
        <v>149</v>
      </c>
      <c r="Y238" t="s">
        <v>648</v>
      </c>
      <c r="Z238" t="s">
        <v>1508</v>
      </c>
      <c r="AA238" s="19">
        <v>699.57</v>
      </c>
      <c r="AB238" s="30" t="s">
        <v>1499</v>
      </c>
      <c r="AC238" s="56"/>
      <c r="AE238" s="4" t="str">
        <f t="shared" si="15"/>
        <v>ORD-2024-164288</v>
      </c>
      <c r="AF238" s="4" t="str">
        <f t="shared" si="16"/>
        <v>Americas</v>
      </c>
      <c r="AG238" s="4" t="str">
        <f t="shared" si="17"/>
        <v>Q4</v>
      </c>
      <c r="AH238" s="19">
        <f t="shared" si="18"/>
        <v>699.57</v>
      </c>
      <c r="AI238" s="11" t="str">
        <f t="shared" si="19"/>
        <v>0.1-0.2</v>
      </c>
    </row>
    <row r="239" spans="24:35" x14ac:dyDescent="0.25">
      <c r="X239" t="s">
        <v>324</v>
      </c>
      <c r="Y239" t="s">
        <v>649</v>
      </c>
      <c r="Z239" t="s">
        <v>1508</v>
      </c>
      <c r="AA239" s="19">
        <v>1399.72</v>
      </c>
      <c r="AB239" s="30" t="s">
        <v>1499</v>
      </c>
      <c r="AC239" s="56"/>
      <c r="AE239" s="4" t="str">
        <f t="shared" si="15"/>
        <v>ORD-2024-165942</v>
      </c>
      <c r="AF239" s="4" t="str">
        <f t="shared" si="16"/>
        <v>Europe</v>
      </c>
      <c r="AG239" s="4" t="str">
        <f t="shared" si="17"/>
        <v>Q4</v>
      </c>
      <c r="AH239" s="19">
        <f t="shared" si="18"/>
        <v>1399.72</v>
      </c>
      <c r="AI239" s="11" t="str">
        <f t="shared" si="19"/>
        <v>0.1-0.2</v>
      </c>
    </row>
    <row r="240" spans="24:35" x14ac:dyDescent="0.25">
      <c r="X240" t="s">
        <v>124</v>
      </c>
      <c r="Y240" t="s">
        <v>646</v>
      </c>
      <c r="Z240" t="s">
        <v>1506</v>
      </c>
      <c r="AA240" s="19">
        <v>292.94</v>
      </c>
      <c r="AB240" s="30" t="s">
        <v>1500</v>
      </c>
      <c r="AC240" s="56"/>
      <c r="AE240" s="4" t="str">
        <f t="shared" si="15"/>
        <v>ORD-2024-166150</v>
      </c>
      <c r="AF240" s="4" t="str">
        <f t="shared" si="16"/>
        <v>Africa</v>
      </c>
      <c r="AG240" s="4" t="str">
        <f t="shared" si="17"/>
        <v>Q2</v>
      </c>
      <c r="AH240" s="19">
        <f t="shared" si="18"/>
        <v>292.94</v>
      </c>
      <c r="AI240" s="11" t="str">
        <f t="shared" si="19"/>
        <v>0.2-0.3</v>
      </c>
    </row>
    <row r="241" spans="24:35" x14ac:dyDescent="0.25">
      <c r="X241" t="s">
        <v>49</v>
      </c>
      <c r="Y241" t="s">
        <v>646</v>
      </c>
      <c r="Z241" t="s">
        <v>1507</v>
      </c>
      <c r="AA241" s="19">
        <v>1432.52</v>
      </c>
      <c r="AB241" s="30" t="s">
        <v>1498</v>
      </c>
      <c r="AC241" s="56"/>
      <c r="AE241" s="4" t="str">
        <f t="shared" si="15"/>
        <v>ORD-2024-167215</v>
      </c>
      <c r="AF241" s="4" t="str">
        <f t="shared" si="16"/>
        <v>Africa</v>
      </c>
      <c r="AG241" s="4" t="str">
        <f t="shared" si="17"/>
        <v>Q3</v>
      </c>
      <c r="AH241" s="19">
        <f t="shared" si="18"/>
        <v>1432.52</v>
      </c>
      <c r="AI241" s="11" t="str">
        <f t="shared" si="19"/>
        <v>0-0.1</v>
      </c>
    </row>
    <row r="242" spans="24:35" x14ac:dyDescent="0.25">
      <c r="X242" t="s">
        <v>416</v>
      </c>
      <c r="Y242" t="s">
        <v>648</v>
      </c>
      <c r="Z242" t="s">
        <v>1508</v>
      </c>
      <c r="AA242" s="19">
        <v>1020.4</v>
      </c>
      <c r="AB242" s="30" t="s">
        <v>1499</v>
      </c>
      <c r="AC242" s="56"/>
      <c r="AE242" s="4" t="str">
        <f t="shared" si="15"/>
        <v>ORD-2024-170021</v>
      </c>
      <c r="AF242" s="4" t="str">
        <f t="shared" si="16"/>
        <v>Americas</v>
      </c>
      <c r="AG242" s="4" t="str">
        <f t="shared" si="17"/>
        <v>Q4</v>
      </c>
      <c r="AH242" s="19">
        <f t="shared" si="18"/>
        <v>1020.4</v>
      </c>
      <c r="AI242" s="11" t="str">
        <f t="shared" si="19"/>
        <v>0.1-0.2</v>
      </c>
    </row>
    <row r="243" spans="24:35" x14ac:dyDescent="0.25">
      <c r="X243" t="s">
        <v>45</v>
      </c>
      <c r="Y243" t="s">
        <v>647</v>
      </c>
      <c r="Z243" t="s">
        <v>1508</v>
      </c>
      <c r="AA243" s="19">
        <v>495.59</v>
      </c>
      <c r="AB243" s="30" t="s">
        <v>1498</v>
      </c>
      <c r="AC243" s="56"/>
      <c r="AE243" s="4" t="str">
        <f t="shared" si="15"/>
        <v>ORD-2024-170313</v>
      </c>
      <c r="AF243" s="4" t="str">
        <f t="shared" si="16"/>
        <v>Asia</v>
      </c>
      <c r="AG243" s="4" t="str">
        <f t="shared" si="17"/>
        <v>Q4</v>
      </c>
      <c r="AH243" s="19">
        <f t="shared" si="18"/>
        <v>495.59</v>
      </c>
      <c r="AI243" s="11" t="str">
        <f t="shared" si="19"/>
        <v>0-0.1</v>
      </c>
    </row>
    <row r="244" spans="24:35" x14ac:dyDescent="0.25">
      <c r="X244" t="s">
        <v>94</v>
      </c>
      <c r="Y244" t="s">
        <v>649</v>
      </c>
      <c r="Z244" t="s">
        <v>1508</v>
      </c>
      <c r="AA244" s="19">
        <v>1122.68</v>
      </c>
      <c r="AB244" s="30" t="s">
        <v>1499</v>
      </c>
      <c r="AC244" s="56"/>
      <c r="AE244" s="4" t="str">
        <f t="shared" si="15"/>
        <v>ORD-2024-192263</v>
      </c>
      <c r="AF244" s="4" t="str">
        <f t="shared" si="16"/>
        <v>Europe</v>
      </c>
      <c r="AG244" s="4" t="str">
        <f t="shared" si="17"/>
        <v>Q4</v>
      </c>
      <c r="AH244" s="19">
        <f t="shared" si="18"/>
        <v>1122.68</v>
      </c>
      <c r="AI244" s="11" t="str">
        <f t="shared" si="19"/>
        <v>0.1-0.2</v>
      </c>
    </row>
    <row r="245" spans="24:35" x14ac:dyDescent="0.25">
      <c r="X245" t="s">
        <v>229</v>
      </c>
      <c r="Y245" t="s">
        <v>647</v>
      </c>
      <c r="Z245" t="s">
        <v>1505</v>
      </c>
      <c r="AA245" s="19">
        <v>231.11</v>
      </c>
      <c r="AB245" s="30" t="s">
        <v>1500</v>
      </c>
      <c r="AC245" s="56"/>
      <c r="AE245" s="4" t="str">
        <f t="shared" si="15"/>
        <v>ORD-2024-197852</v>
      </c>
      <c r="AF245" s="4" t="str">
        <f t="shared" si="16"/>
        <v>Asia</v>
      </c>
      <c r="AG245" s="4" t="str">
        <f t="shared" si="17"/>
        <v>Q1</v>
      </c>
      <c r="AH245" s="19">
        <f t="shared" si="18"/>
        <v>231.11</v>
      </c>
      <c r="AI245" s="11" t="str">
        <f t="shared" si="19"/>
        <v>0.2-0.3</v>
      </c>
    </row>
    <row r="246" spans="24:35" x14ac:dyDescent="0.25">
      <c r="X246" t="s">
        <v>168</v>
      </c>
      <c r="Y246" t="s">
        <v>646</v>
      </c>
      <c r="Z246" t="s">
        <v>1505</v>
      </c>
      <c r="AA246" s="19">
        <v>928.68</v>
      </c>
      <c r="AB246" s="30" t="s">
        <v>1499</v>
      </c>
      <c r="AC246" s="56"/>
      <c r="AE246" s="4" t="str">
        <f t="shared" si="15"/>
        <v>ORD-2024-201376</v>
      </c>
      <c r="AF246" s="4" t="str">
        <f t="shared" si="16"/>
        <v>Africa</v>
      </c>
      <c r="AG246" s="4" t="str">
        <f t="shared" si="17"/>
        <v>Q1</v>
      </c>
      <c r="AH246" s="19">
        <f t="shared" si="18"/>
        <v>928.68</v>
      </c>
      <c r="AI246" s="11" t="str">
        <f t="shared" si="19"/>
        <v>0.1-0.2</v>
      </c>
    </row>
    <row r="247" spans="24:35" x14ac:dyDescent="0.25">
      <c r="X247" t="s">
        <v>473</v>
      </c>
      <c r="Y247" t="s">
        <v>649</v>
      </c>
      <c r="Z247" t="s">
        <v>1506</v>
      </c>
      <c r="AA247" s="19">
        <v>1264.04</v>
      </c>
      <c r="AB247" s="30" t="s">
        <v>1498</v>
      </c>
      <c r="AC247" s="56"/>
      <c r="AE247" s="4" t="str">
        <f t="shared" si="15"/>
        <v>ORD-2024-202166</v>
      </c>
      <c r="AF247" s="4" t="str">
        <f t="shared" si="16"/>
        <v>Europe</v>
      </c>
      <c r="AG247" s="4" t="str">
        <f t="shared" si="17"/>
        <v>Q2</v>
      </c>
      <c r="AH247" s="19">
        <f t="shared" si="18"/>
        <v>1264.04</v>
      </c>
      <c r="AI247" s="11" t="str">
        <f t="shared" si="19"/>
        <v>0-0.1</v>
      </c>
    </row>
    <row r="248" spans="24:35" x14ac:dyDescent="0.25">
      <c r="X248" t="s">
        <v>563</v>
      </c>
      <c r="Y248" t="s">
        <v>648</v>
      </c>
      <c r="Z248" t="s">
        <v>1507</v>
      </c>
      <c r="AA248" s="19">
        <v>702.98</v>
      </c>
      <c r="AB248" s="30" t="s">
        <v>1499</v>
      </c>
      <c r="AC248" s="56"/>
      <c r="AE248" s="4" t="str">
        <f t="shared" si="15"/>
        <v>ORD-2024-202877</v>
      </c>
      <c r="AF248" s="4" t="str">
        <f t="shared" si="16"/>
        <v>Americas</v>
      </c>
      <c r="AG248" s="4" t="str">
        <f t="shared" si="17"/>
        <v>Q3</v>
      </c>
      <c r="AH248" s="19">
        <f t="shared" si="18"/>
        <v>702.98</v>
      </c>
      <c r="AI248" s="11" t="str">
        <f t="shared" si="19"/>
        <v>0.1-0.2</v>
      </c>
    </row>
    <row r="249" spans="24:35" x14ac:dyDescent="0.25">
      <c r="X249" t="s">
        <v>31</v>
      </c>
      <c r="Y249" t="s">
        <v>649</v>
      </c>
      <c r="Z249" t="s">
        <v>1508</v>
      </c>
      <c r="AA249" s="19">
        <v>891.08</v>
      </c>
      <c r="AB249" s="30" t="s">
        <v>1499</v>
      </c>
      <c r="AC249" s="56"/>
      <c r="AE249" s="4" t="str">
        <f t="shared" si="15"/>
        <v>ORD-2024-206081</v>
      </c>
      <c r="AF249" s="4" t="str">
        <f t="shared" si="16"/>
        <v>Europe</v>
      </c>
      <c r="AG249" s="4" t="str">
        <f t="shared" si="17"/>
        <v>Q4</v>
      </c>
      <c r="AH249" s="19">
        <f t="shared" si="18"/>
        <v>891.08</v>
      </c>
      <c r="AI249" s="11" t="str">
        <f t="shared" si="19"/>
        <v>0.1-0.2</v>
      </c>
    </row>
    <row r="250" spans="24:35" x14ac:dyDescent="0.25">
      <c r="X250" t="s">
        <v>337</v>
      </c>
      <c r="Y250" t="s">
        <v>648</v>
      </c>
      <c r="Z250" t="s">
        <v>1505</v>
      </c>
      <c r="AA250" s="19">
        <v>80.48</v>
      </c>
      <c r="AB250" s="30" t="s">
        <v>1499</v>
      </c>
      <c r="AC250" s="56"/>
      <c r="AE250" s="4" t="str">
        <f t="shared" si="15"/>
        <v>ORD-2024-206121</v>
      </c>
      <c r="AF250" s="4" t="str">
        <f t="shared" si="16"/>
        <v>Americas</v>
      </c>
      <c r="AG250" s="4" t="str">
        <f t="shared" si="17"/>
        <v>Q1</v>
      </c>
      <c r="AH250" s="19">
        <f t="shared" si="18"/>
        <v>80.48</v>
      </c>
      <c r="AI250" s="11" t="str">
        <f t="shared" si="19"/>
        <v>0.1-0.2</v>
      </c>
    </row>
    <row r="251" spans="24:35" x14ac:dyDescent="0.25">
      <c r="X251" t="s">
        <v>538</v>
      </c>
      <c r="Y251" t="s">
        <v>648</v>
      </c>
      <c r="Z251" t="s">
        <v>1505</v>
      </c>
      <c r="AA251" s="19">
        <v>1061.3699999999999</v>
      </c>
      <c r="AB251" s="30" t="s">
        <v>1499</v>
      </c>
      <c r="AC251" s="56"/>
      <c r="AE251" s="4" t="str">
        <f t="shared" si="15"/>
        <v>ORD-2024-206311</v>
      </c>
      <c r="AF251" s="4" t="str">
        <f t="shared" si="16"/>
        <v>Americas</v>
      </c>
      <c r="AG251" s="4" t="str">
        <f t="shared" si="17"/>
        <v>Q1</v>
      </c>
      <c r="AH251" s="19">
        <f t="shared" si="18"/>
        <v>1061.3699999999999</v>
      </c>
      <c r="AI251" s="11" t="str">
        <f t="shared" si="19"/>
        <v>0.1-0.2</v>
      </c>
    </row>
    <row r="252" spans="24:35" x14ac:dyDescent="0.25">
      <c r="X252" t="s">
        <v>312</v>
      </c>
      <c r="Y252" t="s">
        <v>648</v>
      </c>
      <c r="Z252" t="s">
        <v>1505</v>
      </c>
      <c r="AA252" s="19">
        <v>5.66</v>
      </c>
      <c r="AB252" s="30" t="s">
        <v>1499</v>
      </c>
      <c r="AC252" s="56"/>
      <c r="AE252" s="4" t="str">
        <f t="shared" si="15"/>
        <v>ORD-2024-207096</v>
      </c>
      <c r="AF252" s="4" t="str">
        <f t="shared" si="16"/>
        <v>Americas</v>
      </c>
      <c r="AG252" s="4" t="str">
        <f t="shared" si="17"/>
        <v>Q1</v>
      </c>
      <c r="AH252" s="19">
        <f t="shared" si="18"/>
        <v>5.66</v>
      </c>
      <c r="AI252" s="11" t="str">
        <f t="shared" si="19"/>
        <v>0.1-0.2</v>
      </c>
    </row>
    <row r="253" spans="24:35" x14ac:dyDescent="0.25">
      <c r="X253" t="s">
        <v>579</v>
      </c>
      <c r="Y253" t="s">
        <v>649</v>
      </c>
      <c r="Z253" t="s">
        <v>1505</v>
      </c>
      <c r="AA253" s="19">
        <v>525.34</v>
      </c>
      <c r="AB253" s="30" t="s">
        <v>1499</v>
      </c>
      <c r="AC253" s="56"/>
      <c r="AE253" s="4" t="str">
        <f t="shared" si="15"/>
        <v>ORD-2024-207669</v>
      </c>
      <c r="AF253" s="4" t="str">
        <f t="shared" si="16"/>
        <v>Europe</v>
      </c>
      <c r="AG253" s="4" t="str">
        <f t="shared" si="17"/>
        <v>Q1</v>
      </c>
      <c r="AH253" s="19">
        <f t="shared" si="18"/>
        <v>525.34</v>
      </c>
      <c r="AI253" s="11" t="str">
        <f t="shared" si="19"/>
        <v>0.1-0.2</v>
      </c>
    </row>
    <row r="254" spans="24:35" x14ac:dyDescent="0.25">
      <c r="X254" t="s">
        <v>495</v>
      </c>
      <c r="Y254" t="s">
        <v>647</v>
      </c>
      <c r="Z254" t="s">
        <v>1507</v>
      </c>
      <c r="AA254" s="19">
        <v>43.23</v>
      </c>
      <c r="AB254" s="30" t="s">
        <v>1498</v>
      </c>
      <c r="AC254" s="56"/>
      <c r="AE254" s="4" t="str">
        <f t="shared" si="15"/>
        <v>ORD-2024-207792</v>
      </c>
      <c r="AF254" s="4" t="str">
        <f t="shared" si="16"/>
        <v>Asia</v>
      </c>
      <c r="AG254" s="4" t="str">
        <f t="shared" si="17"/>
        <v>Q3</v>
      </c>
      <c r="AH254" s="19">
        <f t="shared" si="18"/>
        <v>43.23</v>
      </c>
      <c r="AI254" s="11" t="str">
        <f t="shared" si="19"/>
        <v>0-0.1</v>
      </c>
    </row>
    <row r="255" spans="24:35" x14ac:dyDescent="0.25">
      <c r="X255" t="s">
        <v>25</v>
      </c>
      <c r="Y255" t="s">
        <v>649</v>
      </c>
      <c r="Z255" t="s">
        <v>1505</v>
      </c>
      <c r="AA255" s="19">
        <v>644.16999999999996</v>
      </c>
      <c r="AB255" s="30" t="s">
        <v>1498</v>
      </c>
      <c r="AC255" s="56"/>
      <c r="AE255" s="4" t="str">
        <f t="shared" si="15"/>
        <v>ORD-2024-210687</v>
      </c>
      <c r="AF255" s="4" t="str">
        <f t="shared" si="16"/>
        <v>Europe</v>
      </c>
      <c r="AG255" s="4" t="str">
        <f t="shared" si="17"/>
        <v>Q1</v>
      </c>
      <c r="AH255" s="19">
        <f t="shared" si="18"/>
        <v>644.16999999999996</v>
      </c>
      <c r="AI255" s="11" t="str">
        <f t="shared" si="19"/>
        <v>0-0.1</v>
      </c>
    </row>
    <row r="256" spans="24:35" x14ac:dyDescent="0.25">
      <c r="X256" t="s">
        <v>162</v>
      </c>
      <c r="Y256" t="s">
        <v>649</v>
      </c>
      <c r="Z256" t="s">
        <v>1506</v>
      </c>
      <c r="AA256" s="19">
        <v>683.42</v>
      </c>
      <c r="AB256" s="30" t="s">
        <v>1498</v>
      </c>
      <c r="AC256" s="56"/>
      <c r="AE256" s="4" t="str">
        <f t="shared" si="15"/>
        <v>ORD-2024-211453</v>
      </c>
      <c r="AF256" s="4" t="str">
        <f t="shared" si="16"/>
        <v>Europe</v>
      </c>
      <c r="AG256" s="4" t="str">
        <f t="shared" si="17"/>
        <v>Q2</v>
      </c>
      <c r="AH256" s="19">
        <f t="shared" si="18"/>
        <v>683.42</v>
      </c>
      <c r="AI256" s="11" t="str">
        <f t="shared" si="19"/>
        <v>0-0.1</v>
      </c>
    </row>
    <row r="257" spans="24:35" x14ac:dyDescent="0.25">
      <c r="X257" t="s">
        <v>206</v>
      </c>
      <c r="Y257" t="s">
        <v>648</v>
      </c>
      <c r="Z257" t="s">
        <v>1507</v>
      </c>
      <c r="AA257" s="19">
        <v>797.8</v>
      </c>
      <c r="AB257" s="30" t="s">
        <v>1500</v>
      </c>
      <c r="AC257" s="56"/>
      <c r="AE257" s="4" t="str">
        <f t="shared" si="15"/>
        <v>ORD-2024-212990</v>
      </c>
      <c r="AF257" s="4" t="str">
        <f t="shared" si="16"/>
        <v>Americas</v>
      </c>
      <c r="AG257" s="4" t="str">
        <f t="shared" si="17"/>
        <v>Q3</v>
      </c>
      <c r="AH257" s="19">
        <f t="shared" si="18"/>
        <v>797.8</v>
      </c>
      <c r="AI257" s="11" t="str">
        <f t="shared" si="19"/>
        <v>0.2-0.3</v>
      </c>
    </row>
    <row r="258" spans="24:35" x14ac:dyDescent="0.25">
      <c r="X258" t="s">
        <v>40</v>
      </c>
      <c r="Y258" t="s">
        <v>648</v>
      </c>
      <c r="Z258" t="s">
        <v>1506</v>
      </c>
      <c r="AA258" s="19">
        <v>1491.85</v>
      </c>
      <c r="AB258" s="30" t="s">
        <v>1499</v>
      </c>
      <c r="AC258" s="56"/>
      <c r="AE258" s="4" t="str">
        <f t="shared" si="15"/>
        <v>ORD-2024-215294</v>
      </c>
      <c r="AF258" s="4" t="str">
        <f t="shared" si="16"/>
        <v>Americas</v>
      </c>
      <c r="AG258" s="4" t="str">
        <f t="shared" si="17"/>
        <v>Q2</v>
      </c>
      <c r="AH258" s="19">
        <f t="shared" si="18"/>
        <v>1491.85</v>
      </c>
      <c r="AI258" s="11" t="str">
        <f t="shared" si="19"/>
        <v>0.1-0.2</v>
      </c>
    </row>
    <row r="259" spans="24:35" x14ac:dyDescent="0.25">
      <c r="X259" t="s">
        <v>177</v>
      </c>
      <c r="Y259" t="s">
        <v>648</v>
      </c>
      <c r="Z259" t="s">
        <v>1506</v>
      </c>
      <c r="AA259" s="19">
        <v>1023.27</v>
      </c>
      <c r="AB259" s="30" t="s">
        <v>1499</v>
      </c>
      <c r="AC259" s="56"/>
      <c r="AE259" s="4" t="str">
        <f t="shared" si="15"/>
        <v>ORD-2024-219735</v>
      </c>
      <c r="AF259" s="4" t="str">
        <f t="shared" si="16"/>
        <v>Americas</v>
      </c>
      <c r="AG259" s="4" t="str">
        <f t="shared" si="17"/>
        <v>Q2</v>
      </c>
      <c r="AH259" s="19">
        <f t="shared" si="18"/>
        <v>1023.27</v>
      </c>
      <c r="AI259" s="11" t="str">
        <f t="shared" si="19"/>
        <v>0.1-0.2</v>
      </c>
    </row>
    <row r="260" spans="24:35" x14ac:dyDescent="0.25">
      <c r="X260" t="s">
        <v>266</v>
      </c>
      <c r="Y260" t="s">
        <v>648</v>
      </c>
      <c r="Z260" t="s">
        <v>1505</v>
      </c>
      <c r="AA260" s="19">
        <v>648.64</v>
      </c>
      <c r="AB260" s="30" t="s">
        <v>1500</v>
      </c>
      <c r="AC260" s="56"/>
      <c r="AE260" s="4" t="str">
        <f t="shared" ref="AE260:AE323" si="20">X260</f>
        <v>ORD-2024-220234</v>
      </c>
      <c r="AF260" s="4" t="str">
        <f t="shared" ref="AF260:AF323" si="21">Y260</f>
        <v>Americas</v>
      </c>
      <c r="AG260" s="4" t="str">
        <f t="shared" ref="AG260:AG323" si="22">Z260</f>
        <v>Q1</v>
      </c>
      <c r="AH260" s="19">
        <f t="shared" ref="AH260:AH323" si="23">AA260</f>
        <v>648.64</v>
      </c>
      <c r="AI260" s="11" t="str">
        <f t="shared" ref="AI260:AI323" si="24">AB260</f>
        <v>0.2-0.3</v>
      </c>
    </row>
    <row r="261" spans="24:35" x14ac:dyDescent="0.25">
      <c r="X261" t="s">
        <v>126</v>
      </c>
      <c r="Y261" t="s">
        <v>649</v>
      </c>
      <c r="Z261" t="s">
        <v>1506</v>
      </c>
      <c r="AA261" s="19">
        <v>1187.1300000000001</v>
      </c>
      <c r="AB261" s="30" t="s">
        <v>1498</v>
      </c>
      <c r="AC261" s="56"/>
      <c r="AE261" s="4" t="str">
        <f t="shared" si="20"/>
        <v>ORD-2024-223618</v>
      </c>
      <c r="AF261" s="4" t="str">
        <f t="shared" si="21"/>
        <v>Europe</v>
      </c>
      <c r="AG261" s="4" t="str">
        <f t="shared" si="22"/>
        <v>Q2</v>
      </c>
      <c r="AH261" s="19">
        <f t="shared" si="23"/>
        <v>1187.1300000000001</v>
      </c>
      <c r="AI261" s="11" t="str">
        <f t="shared" si="24"/>
        <v>0-0.1</v>
      </c>
    </row>
    <row r="262" spans="24:35" x14ac:dyDescent="0.25">
      <c r="X262" t="s">
        <v>368</v>
      </c>
      <c r="Y262" t="s">
        <v>648</v>
      </c>
      <c r="Z262" t="s">
        <v>1508</v>
      </c>
      <c r="AA262" s="19">
        <v>55.35</v>
      </c>
      <c r="AB262" s="30" t="s">
        <v>1499</v>
      </c>
      <c r="AC262" s="56"/>
      <c r="AE262" s="4" t="str">
        <f t="shared" si="20"/>
        <v>ORD-2024-225829</v>
      </c>
      <c r="AF262" s="4" t="str">
        <f t="shared" si="21"/>
        <v>Americas</v>
      </c>
      <c r="AG262" s="4" t="str">
        <f t="shared" si="22"/>
        <v>Q4</v>
      </c>
      <c r="AH262" s="19">
        <f t="shared" si="23"/>
        <v>55.35</v>
      </c>
      <c r="AI262" s="11" t="str">
        <f t="shared" si="24"/>
        <v>0.1-0.2</v>
      </c>
    </row>
    <row r="263" spans="24:35" x14ac:dyDescent="0.25">
      <c r="X263" t="s">
        <v>154</v>
      </c>
      <c r="Y263" t="s">
        <v>647</v>
      </c>
      <c r="Z263" t="s">
        <v>1505</v>
      </c>
      <c r="AA263" s="19">
        <v>65.930000000000007</v>
      </c>
      <c r="AB263" s="30" t="s">
        <v>1500</v>
      </c>
      <c r="AC263" s="56"/>
      <c r="AE263" s="4" t="str">
        <f t="shared" si="20"/>
        <v>ORD-2024-232632</v>
      </c>
      <c r="AF263" s="4" t="str">
        <f t="shared" si="21"/>
        <v>Asia</v>
      </c>
      <c r="AG263" s="4" t="str">
        <f t="shared" si="22"/>
        <v>Q1</v>
      </c>
      <c r="AH263" s="19">
        <f t="shared" si="23"/>
        <v>65.930000000000007</v>
      </c>
      <c r="AI263" s="11" t="str">
        <f t="shared" si="24"/>
        <v>0.2-0.3</v>
      </c>
    </row>
    <row r="264" spans="24:35" x14ac:dyDescent="0.25">
      <c r="X264" t="s">
        <v>196</v>
      </c>
      <c r="Y264" t="s">
        <v>647</v>
      </c>
      <c r="Z264" t="s">
        <v>1508</v>
      </c>
      <c r="AA264" s="19">
        <v>1132.6099999999999</v>
      </c>
      <c r="AB264" s="30" t="s">
        <v>1498</v>
      </c>
      <c r="AC264" s="56"/>
      <c r="AE264" s="4" t="str">
        <f t="shared" si="20"/>
        <v>ORD-2024-237478</v>
      </c>
      <c r="AF264" s="4" t="str">
        <f t="shared" si="21"/>
        <v>Asia</v>
      </c>
      <c r="AG264" s="4" t="str">
        <f t="shared" si="22"/>
        <v>Q4</v>
      </c>
      <c r="AH264" s="19">
        <f t="shared" si="23"/>
        <v>1132.6099999999999</v>
      </c>
      <c r="AI264" s="11" t="str">
        <f t="shared" si="24"/>
        <v>0-0.1</v>
      </c>
    </row>
    <row r="265" spans="24:35" x14ac:dyDescent="0.25">
      <c r="X265" t="s">
        <v>601</v>
      </c>
      <c r="Y265" t="s">
        <v>646</v>
      </c>
      <c r="Z265" t="s">
        <v>1505</v>
      </c>
      <c r="AA265" s="19">
        <v>1232.78</v>
      </c>
      <c r="AB265" s="30" t="s">
        <v>1498</v>
      </c>
      <c r="AC265" s="56"/>
      <c r="AE265" s="4" t="str">
        <f t="shared" si="20"/>
        <v>ORD-2024-243988</v>
      </c>
      <c r="AF265" s="4" t="str">
        <f t="shared" si="21"/>
        <v>Africa</v>
      </c>
      <c r="AG265" s="4" t="str">
        <f t="shared" si="22"/>
        <v>Q1</v>
      </c>
      <c r="AH265" s="19">
        <f t="shared" si="23"/>
        <v>1232.78</v>
      </c>
      <c r="AI265" s="11" t="str">
        <f t="shared" si="24"/>
        <v>0-0.1</v>
      </c>
    </row>
    <row r="266" spans="24:35" x14ac:dyDescent="0.25">
      <c r="X266" t="s">
        <v>504</v>
      </c>
      <c r="Y266" t="s">
        <v>646</v>
      </c>
      <c r="Z266" t="s">
        <v>1506</v>
      </c>
      <c r="AA266" s="19">
        <v>187.22</v>
      </c>
      <c r="AB266" s="30" t="s">
        <v>1498</v>
      </c>
      <c r="AC266" s="56"/>
      <c r="AE266" s="4" t="str">
        <f t="shared" si="20"/>
        <v>ORD-2024-247032</v>
      </c>
      <c r="AF266" s="4" t="str">
        <f t="shared" si="21"/>
        <v>Africa</v>
      </c>
      <c r="AG266" s="4" t="str">
        <f t="shared" si="22"/>
        <v>Q2</v>
      </c>
      <c r="AH266" s="19">
        <f t="shared" si="23"/>
        <v>187.22</v>
      </c>
      <c r="AI266" s="11" t="str">
        <f t="shared" si="24"/>
        <v>0-0.1</v>
      </c>
    </row>
    <row r="267" spans="24:35" x14ac:dyDescent="0.25">
      <c r="X267" t="s">
        <v>78</v>
      </c>
      <c r="Y267" t="s">
        <v>647</v>
      </c>
      <c r="Z267" t="s">
        <v>1508</v>
      </c>
      <c r="AA267" s="19">
        <v>1233.58</v>
      </c>
      <c r="AB267" s="30" t="s">
        <v>1500</v>
      </c>
      <c r="AC267" s="56"/>
      <c r="AE267" s="4" t="str">
        <f t="shared" si="20"/>
        <v>ORD-2024-247979</v>
      </c>
      <c r="AF267" s="4" t="str">
        <f t="shared" si="21"/>
        <v>Asia</v>
      </c>
      <c r="AG267" s="4" t="str">
        <f t="shared" si="22"/>
        <v>Q4</v>
      </c>
      <c r="AH267" s="19">
        <f t="shared" si="23"/>
        <v>1233.58</v>
      </c>
      <c r="AI267" s="11" t="str">
        <f t="shared" si="24"/>
        <v>0.2-0.3</v>
      </c>
    </row>
    <row r="268" spans="24:35" x14ac:dyDescent="0.25">
      <c r="X268" t="s">
        <v>575</v>
      </c>
      <c r="Y268" t="s">
        <v>648</v>
      </c>
      <c r="Z268" t="s">
        <v>1508</v>
      </c>
      <c r="AA268" s="19">
        <v>446.66</v>
      </c>
      <c r="AB268" s="30" t="s">
        <v>1499</v>
      </c>
      <c r="AC268" s="56"/>
      <c r="AE268" s="4" t="str">
        <f t="shared" si="20"/>
        <v>ORD-2024-250862</v>
      </c>
      <c r="AF268" s="4" t="str">
        <f t="shared" si="21"/>
        <v>Americas</v>
      </c>
      <c r="AG268" s="4" t="str">
        <f t="shared" si="22"/>
        <v>Q4</v>
      </c>
      <c r="AH268" s="19">
        <f t="shared" si="23"/>
        <v>446.66</v>
      </c>
      <c r="AI268" s="11" t="str">
        <f t="shared" si="24"/>
        <v>0.1-0.2</v>
      </c>
    </row>
    <row r="269" spans="24:35" x14ac:dyDescent="0.25">
      <c r="X269" t="s">
        <v>407</v>
      </c>
      <c r="Y269" t="s">
        <v>648</v>
      </c>
      <c r="Z269" t="s">
        <v>1505</v>
      </c>
      <c r="AA269" s="19">
        <v>1137.4100000000001</v>
      </c>
      <c r="AB269" s="30" t="s">
        <v>1500</v>
      </c>
      <c r="AC269" s="56"/>
      <c r="AE269" s="4" t="str">
        <f t="shared" si="20"/>
        <v>ORD-2024-251426</v>
      </c>
      <c r="AF269" s="4" t="str">
        <f t="shared" si="21"/>
        <v>Americas</v>
      </c>
      <c r="AG269" s="4" t="str">
        <f t="shared" si="22"/>
        <v>Q1</v>
      </c>
      <c r="AH269" s="19">
        <f t="shared" si="23"/>
        <v>1137.4100000000001</v>
      </c>
      <c r="AI269" s="11" t="str">
        <f t="shared" si="24"/>
        <v>0.2-0.3</v>
      </c>
    </row>
    <row r="270" spans="24:35" x14ac:dyDescent="0.25">
      <c r="X270" t="s">
        <v>469</v>
      </c>
      <c r="Y270" t="s">
        <v>648</v>
      </c>
      <c r="Z270" t="s">
        <v>1508</v>
      </c>
      <c r="AA270" s="19">
        <v>1146.72</v>
      </c>
      <c r="AB270" s="30" t="s">
        <v>1499</v>
      </c>
      <c r="AC270" s="56"/>
      <c r="AE270" s="4" t="str">
        <f t="shared" si="20"/>
        <v>ORD-2024-257550</v>
      </c>
      <c r="AF270" s="4" t="str">
        <f t="shared" si="21"/>
        <v>Americas</v>
      </c>
      <c r="AG270" s="4" t="str">
        <f t="shared" si="22"/>
        <v>Q4</v>
      </c>
      <c r="AH270" s="19">
        <f t="shared" si="23"/>
        <v>1146.72</v>
      </c>
      <c r="AI270" s="11" t="str">
        <f t="shared" si="24"/>
        <v>0.1-0.2</v>
      </c>
    </row>
    <row r="271" spans="24:35" x14ac:dyDescent="0.25">
      <c r="X271" t="s">
        <v>66</v>
      </c>
      <c r="Y271" t="s">
        <v>647</v>
      </c>
      <c r="Z271" t="s">
        <v>1508</v>
      </c>
      <c r="AA271" s="19">
        <v>72.94</v>
      </c>
      <c r="AB271" s="30" t="s">
        <v>1500</v>
      </c>
      <c r="AC271" s="56"/>
      <c r="AE271" s="4" t="str">
        <f t="shared" si="20"/>
        <v>ORD-2024-260775</v>
      </c>
      <c r="AF271" s="4" t="str">
        <f t="shared" si="21"/>
        <v>Asia</v>
      </c>
      <c r="AG271" s="4" t="str">
        <f t="shared" si="22"/>
        <v>Q4</v>
      </c>
      <c r="AH271" s="19">
        <f t="shared" si="23"/>
        <v>72.94</v>
      </c>
      <c r="AI271" s="11" t="str">
        <f t="shared" si="24"/>
        <v>0.2-0.3</v>
      </c>
    </row>
    <row r="272" spans="24:35" x14ac:dyDescent="0.25">
      <c r="X272" t="s">
        <v>622</v>
      </c>
      <c r="Y272" t="s">
        <v>646</v>
      </c>
      <c r="Z272" t="s">
        <v>1508</v>
      </c>
      <c r="AA272" s="19">
        <v>143.33000000000001</v>
      </c>
      <c r="AB272" s="30" t="s">
        <v>1499</v>
      </c>
      <c r="AC272" s="56"/>
      <c r="AE272" s="4" t="str">
        <f t="shared" si="20"/>
        <v>ORD-2024-266562</v>
      </c>
      <c r="AF272" s="4" t="str">
        <f t="shared" si="21"/>
        <v>Africa</v>
      </c>
      <c r="AG272" s="4" t="str">
        <f t="shared" si="22"/>
        <v>Q4</v>
      </c>
      <c r="AH272" s="19">
        <f t="shared" si="23"/>
        <v>143.33000000000001</v>
      </c>
      <c r="AI272" s="11" t="str">
        <f t="shared" si="24"/>
        <v>0.1-0.2</v>
      </c>
    </row>
    <row r="273" spans="24:35" x14ac:dyDescent="0.25">
      <c r="X273" t="s">
        <v>15</v>
      </c>
      <c r="Y273" t="s">
        <v>646</v>
      </c>
      <c r="Z273" t="s">
        <v>1505</v>
      </c>
      <c r="AA273" s="19">
        <v>279.24</v>
      </c>
      <c r="AB273" s="30" t="s">
        <v>1499</v>
      </c>
      <c r="AC273" s="56"/>
      <c r="AE273" s="4" t="str">
        <f t="shared" si="20"/>
        <v>ORD-2024-275203</v>
      </c>
      <c r="AF273" s="4" t="str">
        <f t="shared" si="21"/>
        <v>Africa</v>
      </c>
      <c r="AG273" s="4" t="str">
        <f t="shared" si="22"/>
        <v>Q1</v>
      </c>
      <c r="AH273" s="19">
        <f t="shared" si="23"/>
        <v>279.24</v>
      </c>
      <c r="AI273" s="11" t="str">
        <f t="shared" si="24"/>
        <v>0.1-0.2</v>
      </c>
    </row>
    <row r="274" spans="24:35" x14ac:dyDescent="0.25">
      <c r="X274" t="s">
        <v>302</v>
      </c>
      <c r="Y274" t="s">
        <v>646</v>
      </c>
      <c r="Z274" t="s">
        <v>1505</v>
      </c>
      <c r="AA274" s="19">
        <v>798.45</v>
      </c>
      <c r="AB274" s="30" t="s">
        <v>1498</v>
      </c>
      <c r="AC274" s="56"/>
      <c r="AE274" s="4" t="str">
        <f t="shared" si="20"/>
        <v>ORD-2024-277241</v>
      </c>
      <c r="AF274" s="4" t="str">
        <f t="shared" si="21"/>
        <v>Africa</v>
      </c>
      <c r="AG274" s="4" t="str">
        <f t="shared" si="22"/>
        <v>Q1</v>
      </c>
      <c r="AH274" s="19">
        <f t="shared" si="23"/>
        <v>798.45</v>
      </c>
      <c r="AI274" s="11" t="str">
        <f t="shared" si="24"/>
        <v>0-0.1</v>
      </c>
    </row>
    <row r="275" spans="24:35" x14ac:dyDescent="0.25">
      <c r="X275" t="s">
        <v>249</v>
      </c>
      <c r="Y275" t="s">
        <v>647</v>
      </c>
      <c r="Z275" t="s">
        <v>1505</v>
      </c>
      <c r="AA275" s="19">
        <v>1237.68</v>
      </c>
      <c r="AB275" s="30" t="s">
        <v>1498</v>
      </c>
      <c r="AC275" s="56"/>
      <c r="AE275" s="4" t="str">
        <f t="shared" si="20"/>
        <v>ORD-2024-281211</v>
      </c>
      <c r="AF275" s="4" t="str">
        <f t="shared" si="21"/>
        <v>Asia</v>
      </c>
      <c r="AG275" s="4" t="str">
        <f t="shared" si="22"/>
        <v>Q1</v>
      </c>
      <c r="AH275" s="19">
        <f t="shared" si="23"/>
        <v>1237.68</v>
      </c>
      <c r="AI275" s="11" t="str">
        <f t="shared" si="24"/>
        <v>0-0.1</v>
      </c>
    </row>
    <row r="276" spans="24:35" x14ac:dyDescent="0.25">
      <c r="X276" t="s">
        <v>122</v>
      </c>
      <c r="Y276" t="s">
        <v>649</v>
      </c>
      <c r="Z276" t="s">
        <v>1507</v>
      </c>
      <c r="AA276" s="19">
        <v>1138.8</v>
      </c>
      <c r="AB276" s="30" t="s">
        <v>1499</v>
      </c>
      <c r="AC276" s="56"/>
      <c r="AE276" s="4" t="str">
        <f t="shared" si="20"/>
        <v>ORD-2024-286833</v>
      </c>
      <c r="AF276" s="4" t="str">
        <f t="shared" si="21"/>
        <v>Europe</v>
      </c>
      <c r="AG276" s="4" t="str">
        <f t="shared" si="22"/>
        <v>Q3</v>
      </c>
      <c r="AH276" s="19">
        <f t="shared" si="23"/>
        <v>1138.8</v>
      </c>
      <c r="AI276" s="11" t="str">
        <f t="shared" si="24"/>
        <v>0.1-0.2</v>
      </c>
    </row>
    <row r="277" spans="24:35" x14ac:dyDescent="0.25">
      <c r="X277" t="s">
        <v>85</v>
      </c>
      <c r="Y277" t="s">
        <v>649</v>
      </c>
      <c r="Z277" t="s">
        <v>1505</v>
      </c>
      <c r="AA277" s="19">
        <v>910.63</v>
      </c>
      <c r="AB277" s="30" t="s">
        <v>1498</v>
      </c>
      <c r="AC277" s="56"/>
      <c r="AE277" s="4" t="str">
        <f t="shared" si="20"/>
        <v>ORD-2024-287210</v>
      </c>
      <c r="AF277" s="4" t="str">
        <f t="shared" si="21"/>
        <v>Europe</v>
      </c>
      <c r="AG277" s="4" t="str">
        <f t="shared" si="22"/>
        <v>Q1</v>
      </c>
      <c r="AH277" s="19">
        <f t="shared" si="23"/>
        <v>910.63</v>
      </c>
      <c r="AI277" s="11" t="str">
        <f t="shared" si="24"/>
        <v>0-0.1</v>
      </c>
    </row>
    <row r="278" spans="24:35" x14ac:dyDescent="0.25">
      <c r="X278" t="s">
        <v>72</v>
      </c>
      <c r="Y278" t="s">
        <v>649</v>
      </c>
      <c r="Z278" t="s">
        <v>1508</v>
      </c>
      <c r="AA278" s="19">
        <v>346.82</v>
      </c>
      <c r="AB278" s="30" t="s">
        <v>1499</v>
      </c>
      <c r="AC278" s="56"/>
      <c r="AE278" s="4" t="str">
        <f t="shared" si="20"/>
        <v>ORD-2024-289089</v>
      </c>
      <c r="AF278" s="4" t="str">
        <f t="shared" si="21"/>
        <v>Europe</v>
      </c>
      <c r="AG278" s="4" t="str">
        <f t="shared" si="22"/>
        <v>Q4</v>
      </c>
      <c r="AH278" s="19">
        <f t="shared" si="23"/>
        <v>346.82</v>
      </c>
      <c r="AI278" s="11" t="str">
        <f t="shared" si="24"/>
        <v>0.1-0.2</v>
      </c>
    </row>
    <row r="279" spans="24:35" x14ac:dyDescent="0.25">
      <c r="X279" t="s">
        <v>56</v>
      </c>
      <c r="Y279" t="s">
        <v>646</v>
      </c>
      <c r="Z279" t="s">
        <v>1505</v>
      </c>
      <c r="AA279" s="19">
        <v>1206.2</v>
      </c>
      <c r="AB279" s="30" t="s">
        <v>1498</v>
      </c>
      <c r="AC279" s="56"/>
      <c r="AE279" s="4" t="str">
        <f t="shared" si="20"/>
        <v>ORD-2024-296582</v>
      </c>
      <c r="AF279" s="4" t="str">
        <f t="shared" si="21"/>
        <v>Africa</v>
      </c>
      <c r="AG279" s="4" t="str">
        <f t="shared" si="22"/>
        <v>Q1</v>
      </c>
      <c r="AH279" s="19">
        <f t="shared" si="23"/>
        <v>1206.2</v>
      </c>
      <c r="AI279" s="11" t="str">
        <f t="shared" si="24"/>
        <v>0-0.1</v>
      </c>
    </row>
    <row r="280" spans="24:35" x14ac:dyDescent="0.25">
      <c r="X280" t="s">
        <v>267</v>
      </c>
      <c r="Y280" t="s">
        <v>648</v>
      </c>
      <c r="Z280" t="s">
        <v>1507</v>
      </c>
      <c r="AA280" s="19">
        <v>798.97</v>
      </c>
      <c r="AB280" s="30" t="s">
        <v>1499</v>
      </c>
      <c r="AC280" s="56"/>
      <c r="AE280" s="4" t="str">
        <f t="shared" si="20"/>
        <v>ORD-2024-301260</v>
      </c>
      <c r="AF280" s="4" t="str">
        <f t="shared" si="21"/>
        <v>Americas</v>
      </c>
      <c r="AG280" s="4" t="str">
        <f t="shared" si="22"/>
        <v>Q3</v>
      </c>
      <c r="AH280" s="19">
        <f t="shared" si="23"/>
        <v>798.97</v>
      </c>
      <c r="AI280" s="11" t="str">
        <f t="shared" si="24"/>
        <v>0.1-0.2</v>
      </c>
    </row>
    <row r="281" spans="24:35" x14ac:dyDescent="0.25">
      <c r="X281" t="s">
        <v>405</v>
      </c>
      <c r="Y281" t="s">
        <v>649</v>
      </c>
      <c r="Z281" t="s">
        <v>1507</v>
      </c>
      <c r="AA281" s="19">
        <v>229.96</v>
      </c>
      <c r="AB281" s="30" t="s">
        <v>1499</v>
      </c>
      <c r="AC281" s="56"/>
      <c r="AE281" s="4" t="str">
        <f t="shared" si="20"/>
        <v>ORD-2024-307849</v>
      </c>
      <c r="AF281" s="4" t="str">
        <f t="shared" si="21"/>
        <v>Europe</v>
      </c>
      <c r="AG281" s="4" t="str">
        <f t="shared" si="22"/>
        <v>Q3</v>
      </c>
      <c r="AH281" s="19">
        <f t="shared" si="23"/>
        <v>229.96</v>
      </c>
      <c r="AI281" s="11" t="str">
        <f t="shared" si="24"/>
        <v>0.1-0.2</v>
      </c>
    </row>
    <row r="282" spans="24:35" x14ac:dyDescent="0.25">
      <c r="X282" t="s">
        <v>519</v>
      </c>
      <c r="Y282" t="s">
        <v>646</v>
      </c>
      <c r="Z282" t="s">
        <v>1506</v>
      </c>
      <c r="AA282" s="19">
        <v>395.07</v>
      </c>
      <c r="AB282" s="30" t="s">
        <v>1499</v>
      </c>
      <c r="AC282" s="56"/>
      <c r="AE282" s="4" t="str">
        <f t="shared" si="20"/>
        <v>ORD-2024-310809</v>
      </c>
      <c r="AF282" s="4" t="str">
        <f t="shared" si="21"/>
        <v>Africa</v>
      </c>
      <c r="AG282" s="4" t="str">
        <f t="shared" si="22"/>
        <v>Q2</v>
      </c>
      <c r="AH282" s="19">
        <f t="shared" si="23"/>
        <v>395.07</v>
      </c>
      <c r="AI282" s="11" t="str">
        <f t="shared" si="24"/>
        <v>0.1-0.2</v>
      </c>
    </row>
    <row r="283" spans="24:35" x14ac:dyDescent="0.25">
      <c r="X283" t="s">
        <v>262</v>
      </c>
      <c r="Y283" t="s">
        <v>646</v>
      </c>
      <c r="Z283" t="s">
        <v>1508</v>
      </c>
      <c r="AA283" s="19">
        <v>803.28</v>
      </c>
      <c r="AB283" s="30" t="s">
        <v>1499</v>
      </c>
      <c r="AC283" s="56"/>
      <c r="AE283" s="4" t="str">
        <f t="shared" si="20"/>
        <v>ORD-2024-320972</v>
      </c>
      <c r="AF283" s="4" t="str">
        <f t="shared" si="21"/>
        <v>Africa</v>
      </c>
      <c r="AG283" s="4" t="str">
        <f t="shared" si="22"/>
        <v>Q4</v>
      </c>
      <c r="AH283" s="19">
        <f t="shared" si="23"/>
        <v>803.28</v>
      </c>
      <c r="AI283" s="11" t="str">
        <f t="shared" si="24"/>
        <v>0.1-0.2</v>
      </c>
    </row>
    <row r="284" spans="24:35" x14ac:dyDescent="0.25">
      <c r="X284" t="s">
        <v>182</v>
      </c>
      <c r="Y284" t="s">
        <v>649</v>
      </c>
      <c r="Z284" t="s">
        <v>1506</v>
      </c>
      <c r="AA284" s="19">
        <v>1481.74</v>
      </c>
      <c r="AB284" s="30" t="s">
        <v>1500</v>
      </c>
      <c r="AC284" s="56"/>
      <c r="AE284" s="4" t="str">
        <f t="shared" si="20"/>
        <v>ORD-2024-329104</v>
      </c>
      <c r="AF284" s="4" t="str">
        <f t="shared" si="21"/>
        <v>Europe</v>
      </c>
      <c r="AG284" s="4" t="str">
        <f t="shared" si="22"/>
        <v>Q2</v>
      </c>
      <c r="AH284" s="19">
        <f t="shared" si="23"/>
        <v>1481.74</v>
      </c>
      <c r="AI284" s="11" t="str">
        <f t="shared" si="24"/>
        <v>0.2-0.3</v>
      </c>
    </row>
    <row r="285" spans="24:35" x14ac:dyDescent="0.25">
      <c r="X285" t="s">
        <v>576</v>
      </c>
      <c r="Y285" t="s">
        <v>646</v>
      </c>
      <c r="Z285" t="s">
        <v>1508</v>
      </c>
      <c r="AA285" s="19">
        <v>1195.98</v>
      </c>
      <c r="AB285" s="30" t="s">
        <v>1498</v>
      </c>
      <c r="AC285" s="56"/>
      <c r="AE285" s="4" t="str">
        <f t="shared" si="20"/>
        <v>ORD-2024-331226</v>
      </c>
      <c r="AF285" s="4" t="str">
        <f t="shared" si="21"/>
        <v>Africa</v>
      </c>
      <c r="AG285" s="4" t="str">
        <f t="shared" si="22"/>
        <v>Q4</v>
      </c>
      <c r="AH285" s="19">
        <f t="shared" si="23"/>
        <v>1195.98</v>
      </c>
      <c r="AI285" s="11" t="str">
        <f t="shared" si="24"/>
        <v>0-0.1</v>
      </c>
    </row>
    <row r="286" spans="24:35" x14ac:dyDescent="0.25">
      <c r="X286" t="s">
        <v>625</v>
      </c>
      <c r="Y286" t="s">
        <v>648</v>
      </c>
      <c r="Z286" t="s">
        <v>1505</v>
      </c>
      <c r="AA286" s="19">
        <v>714.43</v>
      </c>
      <c r="AB286" s="30" t="s">
        <v>1499</v>
      </c>
      <c r="AC286" s="56"/>
      <c r="AE286" s="4" t="str">
        <f t="shared" si="20"/>
        <v>ORD-2024-331408</v>
      </c>
      <c r="AF286" s="4" t="str">
        <f t="shared" si="21"/>
        <v>Americas</v>
      </c>
      <c r="AG286" s="4" t="str">
        <f t="shared" si="22"/>
        <v>Q1</v>
      </c>
      <c r="AH286" s="19">
        <f t="shared" si="23"/>
        <v>714.43</v>
      </c>
      <c r="AI286" s="11" t="str">
        <f t="shared" si="24"/>
        <v>0.1-0.2</v>
      </c>
    </row>
    <row r="287" spans="24:35" x14ac:dyDescent="0.25">
      <c r="X287" t="s">
        <v>349</v>
      </c>
      <c r="Y287" t="s">
        <v>649</v>
      </c>
      <c r="Z287" t="s">
        <v>1506</v>
      </c>
      <c r="AA287" s="19">
        <v>1288.8499999999999</v>
      </c>
      <c r="AB287" s="30" t="s">
        <v>1499</v>
      </c>
      <c r="AC287" s="56"/>
      <c r="AE287" s="4" t="str">
        <f t="shared" si="20"/>
        <v>ORD-2024-332076</v>
      </c>
      <c r="AF287" s="4" t="str">
        <f t="shared" si="21"/>
        <v>Europe</v>
      </c>
      <c r="AG287" s="4" t="str">
        <f t="shared" si="22"/>
        <v>Q2</v>
      </c>
      <c r="AH287" s="19">
        <f t="shared" si="23"/>
        <v>1288.8499999999999</v>
      </c>
      <c r="AI287" s="11" t="str">
        <f t="shared" si="24"/>
        <v>0.1-0.2</v>
      </c>
    </row>
    <row r="288" spans="24:35" x14ac:dyDescent="0.25">
      <c r="X288" t="s">
        <v>356</v>
      </c>
      <c r="Y288" t="s">
        <v>646</v>
      </c>
      <c r="Z288" t="s">
        <v>1508</v>
      </c>
      <c r="AA288" s="19">
        <v>805.81</v>
      </c>
      <c r="AB288" s="30" t="s">
        <v>1498</v>
      </c>
      <c r="AC288" s="56"/>
      <c r="AE288" s="4" t="str">
        <f t="shared" si="20"/>
        <v>ORD-2024-333192</v>
      </c>
      <c r="AF288" s="4" t="str">
        <f t="shared" si="21"/>
        <v>Africa</v>
      </c>
      <c r="AG288" s="4" t="str">
        <f t="shared" si="22"/>
        <v>Q4</v>
      </c>
      <c r="AH288" s="19">
        <f t="shared" si="23"/>
        <v>805.81</v>
      </c>
      <c r="AI288" s="11" t="str">
        <f t="shared" si="24"/>
        <v>0-0.1</v>
      </c>
    </row>
    <row r="289" spans="24:35" x14ac:dyDescent="0.25">
      <c r="X289" t="s">
        <v>21</v>
      </c>
      <c r="Y289" t="s">
        <v>647</v>
      </c>
      <c r="Z289" t="s">
        <v>1508</v>
      </c>
      <c r="AA289" s="19">
        <v>586.07000000000005</v>
      </c>
      <c r="AB289" s="30" t="s">
        <v>1499</v>
      </c>
      <c r="AC289" s="56"/>
      <c r="AE289" s="4" t="str">
        <f t="shared" si="20"/>
        <v>ORD-2024-336584</v>
      </c>
      <c r="AF289" s="4" t="str">
        <f t="shared" si="21"/>
        <v>Asia</v>
      </c>
      <c r="AG289" s="4" t="str">
        <f t="shared" si="22"/>
        <v>Q4</v>
      </c>
      <c r="AH289" s="19">
        <f t="shared" si="23"/>
        <v>586.07000000000005</v>
      </c>
      <c r="AI289" s="11" t="str">
        <f t="shared" si="24"/>
        <v>0.1-0.2</v>
      </c>
    </row>
    <row r="290" spans="24:35" x14ac:dyDescent="0.25">
      <c r="X290" t="s">
        <v>627</v>
      </c>
      <c r="Y290" t="s">
        <v>646</v>
      </c>
      <c r="Z290" t="s">
        <v>1506</v>
      </c>
      <c r="AA290" s="19">
        <v>1323.55</v>
      </c>
      <c r="AB290" s="30" t="s">
        <v>1498</v>
      </c>
      <c r="AC290" s="56"/>
      <c r="AE290" s="4" t="str">
        <f t="shared" si="20"/>
        <v>ORD-2024-341535</v>
      </c>
      <c r="AF290" s="4" t="str">
        <f t="shared" si="21"/>
        <v>Africa</v>
      </c>
      <c r="AG290" s="4" t="str">
        <f t="shared" si="22"/>
        <v>Q2</v>
      </c>
      <c r="AH290" s="19">
        <f t="shared" si="23"/>
        <v>1323.55</v>
      </c>
      <c r="AI290" s="11" t="str">
        <f t="shared" si="24"/>
        <v>0-0.1</v>
      </c>
    </row>
    <row r="291" spans="24:35" x14ac:dyDescent="0.25">
      <c r="X291" t="s">
        <v>377</v>
      </c>
      <c r="Y291" t="s">
        <v>647</v>
      </c>
      <c r="Z291" t="s">
        <v>1505</v>
      </c>
      <c r="AA291" s="19">
        <v>1029.67</v>
      </c>
      <c r="AB291" s="30" t="s">
        <v>1500</v>
      </c>
      <c r="AC291" s="56"/>
      <c r="AE291" s="4" t="str">
        <f t="shared" si="20"/>
        <v>ORD-2024-343877</v>
      </c>
      <c r="AF291" s="4" t="str">
        <f t="shared" si="21"/>
        <v>Asia</v>
      </c>
      <c r="AG291" s="4" t="str">
        <f t="shared" si="22"/>
        <v>Q1</v>
      </c>
      <c r="AH291" s="19">
        <f t="shared" si="23"/>
        <v>1029.67</v>
      </c>
      <c r="AI291" s="11" t="str">
        <f t="shared" si="24"/>
        <v>0.2-0.3</v>
      </c>
    </row>
    <row r="292" spans="24:35" x14ac:dyDescent="0.25">
      <c r="X292" t="s">
        <v>82</v>
      </c>
      <c r="Y292" t="s">
        <v>647</v>
      </c>
      <c r="Z292" t="s">
        <v>1506</v>
      </c>
      <c r="AA292" s="19">
        <v>673.88</v>
      </c>
      <c r="AB292" s="30" t="s">
        <v>1499</v>
      </c>
      <c r="AC292" s="56"/>
      <c r="AE292" s="4" t="str">
        <f t="shared" si="20"/>
        <v>ORD-2024-347736</v>
      </c>
      <c r="AF292" s="4" t="str">
        <f t="shared" si="21"/>
        <v>Asia</v>
      </c>
      <c r="AG292" s="4" t="str">
        <f t="shared" si="22"/>
        <v>Q2</v>
      </c>
      <c r="AH292" s="19">
        <f t="shared" si="23"/>
        <v>673.88</v>
      </c>
      <c r="AI292" s="11" t="str">
        <f t="shared" si="24"/>
        <v>0.1-0.2</v>
      </c>
    </row>
    <row r="293" spans="24:35" x14ac:dyDescent="0.25">
      <c r="X293" t="s">
        <v>268</v>
      </c>
      <c r="Y293" t="s">
        <v>647</v>
      </c>
      <c r="Z293" t="s">
        <v>1508</v>
      </c>
      <c r="AA293" s="19">
        <v>317.25</v>
      </c>
      <c r="AB293" s="30" t="s">
        <v>1498</v>
      </c>
      <c r="AC293" s="56"/>
      <c r="AE293" s="4" t="str">
        <f t="shared" si="20"/>
        <v>ORD-2024-350100</v>
      </c>
      <c r="AF293" s="4" t="str">
        <f t="shared" si="21"/>
        <v>Asia</v>
      </c>
      <c r="AG293" s="4" t="str">
        <f t="shared" si="22"/>
        <v>Q4</v>
      </c>
      <c r="AH293" s="19">
        <f t="shared" si="23"/>
        <v>317.25</v>
      </c>
      <c r="AI293" s="11" t="str">
        <f t="shared" si="24"/>
        <v>0-0.1</v>
      </c>
    </row>
    <row r="294" spans="24:35" x14ac:dyDescent="0.25">
      <c r="X294" t="s">
        <v>551</v>
      </c>
      <c r="Y294" t="s">
        <v>648</v>
      </c>
      <c r="Z294" t="s">
        <v>1507</v>
      </c>
      <c r="AA294" s="19">
        <v>1291.7</v>
      </c>
      <c r="AB294" s="30" t="s">
        <v>1498</v>
      </c>
      <c r="AC294" s="56"/>
      <c r="AE294" s="4" t="str">
        <f t="shared" si="20"/>
        <v>ORD-2024-353078</v>
      </c>
      <c r="AF294" s="4" t="str">
        <f t="shared" si="21"/>
        <v>Americas</v>
      </c>
      <c r="AG294" s="4" t="str">
        <f t="shared" si="22"/>
        <v>Q3</v>
      </c>
      <c r="AH294" s="19">
        <f t="shared" si="23"/>
        <v>1291.7</v>
      </c>
      <c r="AI294" s="11" t="str">
        <f t="shared" si="24"/>
        <v>0-0.1</v>
      </c>
    </row>
    <row r="295" spans="24:35" x14ac:dyDescent="0.25">
      <c r="X295" t="s">
        <v>587</v>
      </c>
      <c r="Y295" t="s">
        <v>648</v>
      </c>
      <c r="Z295" t="s">
        <v>1505</v>
      </c>
      <c r="AA295" s="19">
        <v>444.41</v>
      </c>
      <c r="AB295" s="30" t="s">
        <v>1500</v>
      </c>
      <c r="AC295" s="56"/>
      <c r="AE295" s="4" t="str">
        <f t="shared" si="20"/>
        <v>ORD-2024-355095</v>
      </c>
      <c r="AF295" s="4" t="str">
        <f t="shared" si="21"/>
        <v>Americas</v>
      </c>
      <c r="AG295" s="4" t="str">
        <f t="shared" si="22"/>
        <v>Q1</v>
      </c>
      <c r="AH295" s="19">
        <f t="shared" si="23"/>
        <v>444.41</v>
      </c>
      <c r="AI295" s="11" t="str">
        <f t="shared" si="24"/>
        <v>0.2-0.3</v>
      </c>
    </row>
    <row r="296" spans="24:35" x14ac:dyDescent="0.25">
      <c r="X296" t="s">
        <v>476</v>
      </c>
      <c r="Y296" t="s">
        <v>649</v>
      </c>
      <c r="Z296" t="s">
        <v>1505</v>
      </c>
      <c r="AA296" s="19">
        <v>738.16</v>
      </c>
      <c r="AB296" s="30" t="s">
        <v>1499</v>
      </c>
      <c r="AC296" s="56"/>
      <c r="AE296" s="4" t="str">
        <f t="shared" si="20"/>
        <v>ORD-2024-356812</v>
      </c>
      <c r="AF296" s="4" t="str">
        <f t="shared" si="21"/>
        <v>Europe</v>
      </c>
      <c r="AG296" s="4" t="str">
        <f t="shared" si="22"/>
        <v>Q1</v>
      </c>
      <c r="AH296" s="19">
        <f t="shared" si="23"/>
        <v>738.16</v>
      </c>
      <c r="AI296" s="11" t="str">
        <f t="shared" si="24"/>
        <v>0.1-0.2</v>
      </c>
    </row>
    <row r="297" spans="24:35" x14ac:dyDescent="0.25">
      <c r="X297" t="s">
        <v>176</v>
      </c>
      <c r="Y297" t="s">
        <v>647</v>
      </c>
      <c r="Z297" t="s">
        <v>1508</v>
      </c>
      <c r="AA297" s="19">
        <v>811.05</v>
      </c>
      <c r="AB297" s="30" t="s">
        <v>1498</v>
      </c>
      <c r="AC297" s="56"/>
      <c r="AE297" s="4" t="str">
        <f t="shared" si="20"/>
        <v>ORD-2024-357368</v>
      </c>
      <c r="AF297" s="4" t="str">
        <f t="shared" si="21"/>
        <v>Asia</v>
      </c>
      <c r="AG297" s="4" t="str">
        <f t="shared" si="22"/>
        <v>Q4</v>
      </c>
      <c r="AH297" s="19">
        <f t="shared" si="23"/>
        <v>811.05</v>
      </c>
      <c r="AI297" s="11" t="str">
        <f t="shared" si="24"/>
        <v>0-0.1</v>
      </c>
    </row>
    <row r="298" spans="24:35" x14ac:dyDescent="0.25">
      <c r="X298" t="s">
        <v>16</v>
      </c>
      <c r="Y298" t="s">
        <v>646</v>
      </c>
      <c r="Z298" t="s">
        <v>1508</v>
      </c>
      <c r="AA298" s="19">
        <v>1084.3900000000001</v>
      </c>
      <c r="AB298" s="30" t="s">
        <v>1500</v>
      </c>
      <c r="AC298" s="56"/>
      <c r="AE298" s="4" t="str">
        <f t="shared" si="20"/>
        <v>ORD-2024-358795</v>
      </c>
      <c r="AF298" s="4" t="str">
        <f t="shared" si="21"/>
        <v>Africa</v>
      </c>
      <c r="AG298" s="4" t="str">
        <f t="shared" si="22"/>
        <v>Q4</v>
      </c>
      <c r="AH298" s="19">
        <f t="shared" si="23"/>
        <v>1084.3900000000001</v>
      </c>
      <c r="AI298" s="11" t="str">
        <f t="shared" si="24"/>
        <v>0.2-0.3</v>
      </c>
    </row>
    <row r="299" spans="24:35" x14ac:dyDescent="0.25">
      <c r="X299" t="s">
        <v>539</v>
      </c>
      <c r="Y299" t="s">
        <v>646</v>
      </c>
      <c r="Z299" t="s">
        <v>1506</v>
      </c>
      <c r="AA299" s="19">
        <v>401.3</v>
      </c>
      <c r="AB299" s="30" t="s">
        <v>1500</v>
      </c>
      <c r="AC299" s="56"/>
      <c r="AE299" s="4" t="str">
        <f t="shared" si="20"/>
        <v>ORD-2024-364080</v>
      </c>
      <c r="AF299" s="4" t="str">
        <f t="shared" si="21"/>
        <v>Africa</v>
      </c>
      <c r="AG299" s="4" t="str">
        <f t="shared" si="22"/>
        <v>Q2</v>
      </c>
      <c r="AH299" s="19">
        <f t="shared" si="23"/>
        <v>401.3</v>
      </c>
      <c r="AI299" s="11" t="str">
        <f t="shared" si="24"/>
        <v>0.2-0.3</v>
      </c>
    </row>
    <row r="300" spans="24:35" x14ac:dyDescent="0.25">
      <c r="X300" t="s">
        <v>298</v>
      </c>
      <c r="Y300" t="s">
        <v>649</v>
      </c>
      <c r="Z300" t="s">
        <v>1505</v>
      </c>
      <c r="AA300" s="19">
        <v>1017.93</v>
      </c>
      <c r="AB300" s="30" t="s">
        <v>1499</v>
      </c>
      <c r="AC300" s="56"/>
      <c r="AE300" s="4" t="str">
        <f t="shared" si="20"/>
        <v>ORD-2024-366010</v>
      </c>
      <c r="AF300" s="4" t="str">
        <f t="shared" si="21"/>
        <v>Europe</v>
      </c>
      <c r="AG300" s="4" t="str">
        <f t="shared" si="22"/>
        <v>Q1</v>
      </c>
      <c r="AH300" s="19">
        <f t="shared" si="23"/>
        <v>1017.93</v>
      </c>
      <c r="AI300" s="11" t="str">
        <f t="shared" si="24"/>
        <v>0.1-0.2</v>
      </c>
    </row>
    <row r="301" spans="24:35" x14ac:dyDescent="0.25">
      <c r="X301" t="s">
        <v>501</v>
      </c>
      <c r="Y301" t="s">
        <v>648</v>
      </c>
      <c r="Z301" t="s">
        <v>1508</v>
      </c>
      <c r="AA301" s="19">
        <v>1008.16</v>
      </c>
      <c r="AB301" s="30" t="s">
        <v>1498</v>
      </c>
      <c r="AC301" s="56"/>
      <c r="AE301" s="4" t="str">
        <f t="shared" si="20"/>
        <v>ORD-2024-371409</v>
      </c>
      <c r="AF301" s="4" t="str">
        <f t="shared" si="21"/>
        <v>Americas</v>
      </c>
      <c r="AG301" s="4" t="str">
        <f t="shared" si="22"/>
        <v>Q4</v>
      </c>
      <c r="AH301" s="19">
        <f t="shared" si="23"/>
        <v>1008.16</v>
      </c>
      <c r="AI301" s="11" t="str">
        <f t="shared" si="24"/>
        <v>0-0.1</v>
      </c>
    </row>
    <row r="302" spans="24:35" x14ac:dyDescent="0.25">
      <c r="X302" t="s">
        <v>425</v>
      </c>
      <c r="Y302" t="s">
        <v>649</v>
      </c>
      <c r="Z302" t="s">
        <v>1506</v>
      </c>
      <c r="AA302" s="19">
        <v>663.66</v>
      </c>
      <c r="AB302" s="30" t="s">
        <v>1500</v>
      </c>
      <c r="AC302" s="56"/>
      <c r="AE302" s="4" t="str">
        <f t="shared" si="20"/>
        <v>ORD-2024-375848</v>
      </c>
      <c r="AF302" s="4" t="str">
        <f t="shared" si="21"/>
        <v>Europe</v>
      </c>
      <c r="AG302" s="4" t="str">
        <f t="shared" si="22"/>
        <v>Q2</v>
      </c>
      <c r="AH302" s="19">
        <f t="shared" si="23"/>
        <v>663.66</v>
      </c>
      <c r="AI302" s="11" t="str">
        <f t="shared" si="24"/>
        <v>0.2-0.3</v>
      </c>
    </row>
    <row r="303" spans="24:35" x14ac:dyDescent="0.25">
      <c r="X303" t="s">
        <v>444</v>
      </c>
      <c r="Y303" t="s">
        <v>649</v>
      </c>
      <c r="Z303" t="s">
        <v>1508</v>
      </c>
      <c r="AA303" s="19">
        <v>599.84</v>
      </c>
      <c r="AB303" s="30" t="s">
        <v>1499</v>
      </c>
      <c r="AC303" s="56"/>
      <c r="AE303" s="4" t="str">
        <f t="shared" si="20"/>
        <v>ORD-2024-381197</v>
      </c>
      <c r="AF303" s="4" t="str">
        <f t="shared" si="21"/>
        <v>Europe</v>
      </c>
      <c r="AG303" s="4" t="str">
        <f t="shared" si="22"/>
        <v>Q4</v>
      </c>
      <c r="AH303" s="19">
        <f t="shared" si="23"/>
        <v>599.84</v>
      </c>
      <c r="AI303" s="11" t="str">
        <f t="shared" si="24"/>
        <v>0.1-0.2</v>
      </c>
    </row>
    <row r="304" spans="24:35" x14ac:dyDescent="0.25">
      <c r="X304" t="s">
        <v>499</v>
      </c>
      <c r="Y304" t="s">
        <v>649</v>
      </c>
      <c r="Z304" t="s">
        <v>1508</v>
      </c>
      <c r="AA304" s="19">
        <v>257.44</v>
      </c>
      <c r="AB304" s="30" t="s">
        <v>1498</v>
      </c>
      <c r="AC304" s="56"/>
      <c r="AE304" s="4" t="str">
        <f t="shared" si="20"/>
        <v>ORD-2024-382152</v>
      </c>
      <c r="AF304" s="4" t="str">
        <f t="shared" si="21"/>
        <v>Europe</v>
      </c>
      <c r="AG304" s="4" t="str">
        <f t="shared" si="22"/>
        <v>Q4</v>
      </c>
      <c r="AH304" s="19">
        <f t="shared" si="23"/>
        <v>257.44</v>
      </c>
      <c r="AI304" s="11" t="str">
        <f t="shared" si="24"/>
        <v>0-0.1</v>
      </c>
    </row>
    <row r="305" spans="24:35" x14ac:dyDescent="0.25">
      <c r="X305" t="s">
        <v>158</v>
      </c>
      <c r="Y305" t="s">
        <v>648</v>
      </c>
      <c r="Z305" t="s">
        <v>1506</v>
      </c>
      <c r="AA305" s="19">
        <v>817.23</v>
      </c>
      <c r="AB305" s="30" t="s">
        <v>1500</v>
      </c>
      <c r="AC305" s="56"/>
      <c r="AE305" s="4" t="str">
        <f t="shared" si="20"/>
        <v>ORD-2024-389102</v>
      </c>
      <c r="AF305" s="4" t="str">
        <f t="shared" si="21"/>
        <v>Americas</v>
      </c>
      <c r="AG305" s="4" t="str">
        <f t="shared" si="22"/>
        <v>Q2</v>
      </c>
      <c r="AH305" s="19">
        <f t="shared" si="23"/>
        <v>817.23</v>
      </c>
      <c r="AI305" s="11" t="str">
        <f t="shared" si="24"/>
        <v>0.2-0.3</v>
      </c>
    </row>
    <row r="306" spans="24:35" x14ac:dyDescent="0.25">
      <c r="X306" t="s">
        <v>59</v>
      </c>
      <c r="Y306" t="s">
        <v>648</v>
      </c>
      <c r="Z306" t="s">
        <v>1506</v>
      </c>
      <c r="AA306" s="19">
        <v>675.43</v>
      </c>
      <c r="AB306" s="30" t="s">
        <v>1499</v>
      </c>
      <c r="AC306" s="56"/>
      <c r="AE306" s="4" t="str">
        <f t="shared" si="20"/>
        <v>ORD-2024-389336</v>
      </c>
      <c r="AF306" s="4" t="str">
        <f t="shared" si="21"/>
        <v>Americas</v>
      </c>
      <c r="AG306" s="4" t="str">
        <f t="shared" si="22"/>
        <v>Q2</v>
      </c>
      <c r="AH306" s="19">
        <f t="shared" si="23"/>
        <v>675.43</v>
      </c>
      <c r="AI306" s="11" t="str">
        <f t="shared" si="24"/>
        <v>0.1-0.2</v>
      </c>
    </row>
    <row r="307" spans="24:35" x14ac:dyDescent="0.25">
      <c r="X307" t="s">
        <v>420</v>
      </c>
      <c r="Y307" t="s">
        <v>647</v>
      </c>
      <c r="Z307" t="s">
        <v>1508</v>
      </c>
      <c r="AA307" s="19">
        <v>1361.34</v>
      </c>
      <c r="AB307" s="30" t="s">
        <v>1498</v>
      </c>
      <c r="AC307" s="56"/>
      <c r="AE307" s="4" t="str">
        <f t="shared" si="20"/>
        <v>ORD-2024-390951</v>
      </c>
      <c r="AF307" s="4" t="str">
        <f t="shared" si="21"/>
        <v>Asia</v>
      </c>
      <c r="AG307" s="4" t="str">
        <f t="shared" si="22"/>
        <v>Q4</v>
      </c>
      <c r="AH307" s="19">
        <f t="shared" si="23"/>
        <v>1361.34</v>
      </c>
      <c r="AI307" s="11" t="str">
        <f t="shared" si="24"/>
        <v>0-0.1</v>
      </c>
    </row>
    <row r="308" spans="24:35" x14ac:dyDescent="0.25">
      <c r="X308" t="s">
        <v>398</v>
      </c>
      <c r="Y308" t="s">
        <v>649</v>
      </c>
      <c r="Z308" t="s">
        <v>1507</v>
      </c>
      <c r="AA308" s="19">
        <v>941.35</v>
      </c>
      <c r="AB308" s="30" t="s">
        <v>1498</v>
      </c>
      <c r="AC308" s="56"/>
      <c r="AE308" s="4" t="str">
        <f t="shared" si="20"/>
        <v>ORD-2024-398783</v>
      </c>
      <c r="AF308" s="4" t="str">
        <f t="shared" si="21"/>
        <v>Europe</v>
      </c>
      <c r="AG308" s="4" t="str">
        <f t="shared" si="22"/>
        <v>Q3</v>
      </c>
      <c r="AH308" s="19">
        <f t="shared" si="23"/>
        <v>941.35</v>
      </c>
      <c r="AI308" s="11" t="str">
        <f t="shared" si="24"/>
        <v>0-0.1</v>
      </c>
    </row>
    <row r="309" spans="24:35" x14ac:dyDescent="0.25">
      <c r="X309" t="s">
        <v>532</v>
      </c>
      <c r="Y309" t="s">
        <v>649</v>
      </c>
      <c r="Z309" t="s">
        <v>1506</v>
      </c>
      <c r="AA309" s="19">
        <v>930.71</v>
      </c>
      <c r="AB309" s="30" t="s">
        <v>1499</v>
      </c>
      <c r="AC309" s="56"/>
      <c r="AE309" s="4" t="str">
        <f t="shared" si="20"/>
        <v>ORD-2024-402240</v>
      </c>
      <c r="AF309" s="4" t="str">
        <f t="shared" si="21"/>
        <v>Europe</v>
      </c>
      <c r="AG309" s="4" t="str">
        <f t="shared" si="22"/>
        <v>Q2</v>
      </c>
      <c r="AH309" s="19">
        <f t="shared" si="23"/>
        <v>930.71</v>
      </c>
      <c r="AI309" s="11" t="str">
        <f t="shared" si="24"/>
        <v>0.1-0.2</v>
      </c>
    </row>
    <row r="310" spans="24:35" x14ac:dyDescent="0.25">
      <c r="X310" t="s">
        <v>325</v>
      </c>
      <c r="Y310" t="s">
        <v>648</v>
      </c>
      <c r="Z310" t="s">
        <v>1506</v>
      </c>
      <c r="AA310" s="19">
        <v>51.13</v>
      </c>
      <c r="AB310" s="30" t="s">
        <v>1498</v>
      </c>
      <c r="AC310" s="56"/>
      <c r="AE310" s="4" t="str">
        <f t="shared" si="20"/>
        <v>ORD-2024-403664</v>
      </c>
      <c r="AF310" s="4" t="str">
        <f t="shared" si="21"/>
        <v>Americas</v>
      </c>
      <c r="AG310" s="4" t="str">
        <f t="shared" si="22"/>
        <v>Q2</v>
      </c>
      <c r="AH310" s="19">
        <f t="shared" si="23"/>
        <v>51.13</v>
      </c>
      <c r="AI310" s="11" t="str">
        <f t="shared" si="24"/>
        <v>0-0.1</v>
      </c>
    </row>
    <row r="311" spans="24:35" x14ac:dyDescent="0.25">
      <c r="X311" t="s">
        <v>560</v>
      </c>
      <c r="Y311" t="s">
        <v>646</v>
      </c>
      <c r="Z311" t="s">
        <v>1505</v>
      </c>
      <c r="AA311" s="19">
        <v>441.08</v>
      </c>
      <c r="AB311" s="30" t="s">
        <v>1500</v>
      </c>
      <c r="AC311" s="56"/>
      <c r="AE311" s="4" t="str">
        <f t="shared" si="20"/>
        <v>ORD-2024-419248</v>
      </c>
      <c r="AF311" s="4" t="str">
        <f t="shared" si="21"/>
        <v>Africa</v>
      </c>
      <c r="AG311" s="4" t="str">
        <f t="shared" si="22"/>
        <v>Q1</v>
      </c>
      <c r="AH311" s="19">
        <f t="shared" si="23"/>
        <v>441.08</v>
      </c>
      <c r="AI311" s="11" t="str">
        <f t="shared" si="24"/>
        <v>0.2-0.3</v>
      </c>
    </row>
    <row r="312" spans="24:35" x14ac:dyDescent="0.25">
      <c r="X312" t="s">
        <v>246</v>
      </c>
      <c r="Y312" t="s">
        <v>646</v>
      </c>
      <c r="Z312" t="s">
        <v>1507</v>
      </c>
      <c r="AA312" s="19">
        <v>197.63</v>
      </c>
      <c r="AB312" s="30" t="s">
        <v>1499</v>
      </c>
      <c r="AC312" s="56"/>
      <c r="AE312" s="4" t="str">
        <f t="shared" si="20"/>
        <v>ORD-2024-423853</v>
      </c>
      <c r="AF312" s="4" t="str">
        <f t="shared" si="21"/>
        <v>Africa</v>
      </c>
      <c r="AG312" s="4" t="str">
        <f t="shared" si="22"/>
        <v>Q3</v>
      </c>
      <c r="AH312" s="19">
        <f t="shared" si="23"/>
        <v>197.63</v>
      </c>
      <c r="AI312" s="11" t="str">
        <f t="shared" si="24"/>
        <v>0.1-0.2</v>
      </c>
    </row>
    <row r="313" spans="24:35" x14ac:dyDescent="0.25">
      <c r="X313" t="s">
        <v>328</v>
      </c>
      <c r="Y313" t="s">
        <v>646</v>
      </c>
      <c r="Z313" t="s">
        <v>1506</v>
      </c>
      <c r="AA313" s="19">
        <v>597.85</v>
      </c>
      <c r="AB313" s="30" t="s">
        <v>1498</v>
      </c>
      <c r="AC313" s="56"/>
      <c r="AE313" s="4" t="str">
        <f t="shared" si="20"/>
        <v>ORD-2024-427031</v>
      </c>
      <c r="AF313" s="4" t="str">
        <f t="shared" si="21"/>
        <v>Africa</v>
      </c>
      <c r="AG313" s="4" t="str">
        <f t="shared" si="22"/>
        <v>Q2</v>
      </c>
      <c r="AH313" s="19">
        <f t="shared" si="23"/>
        <v>597.85</v>
      </c>
      <c r="AI313" s="11" t="str">
        <f t="shared" si="24"/>
        <v>0-0.1</v>
      </c>
    </row>
    <row r="314" spans="24:35" x14ac:dyDescent="0.25">
      <c r="X314" t="s">
        <v>509</v>
      </c>
      <c r="Y314" t="s">
        <v>648</v>
      </c>
      <c r="Z314" t="s">
        <v>1507</v>
      </c>
      <c r="AA314" s="19">
        <v>352.79</v>
      </c>
      <c r="AB314" s="30" t="s">
        <v>1499</v>
      </c>
      <c r="AC314" s="56"/>
      <c r="AE314" s="4" t="str">
        <f t="shared" si="20"/>
        <v>ORD-2024-433936</v>
      </c>
      <c r="AF314" s="4" t="str">
        <f t="shared" si="21"/>
        <v>Americas</v>
      </c>
      <c r="AG314" s="4" t="str">
        <f t="shared" si="22"/>
        <v>Q3</v>
      </c>
      <c r="AH314" s="19">
        <f t="shared" si="23"/>
        <v>352.79</v>
      </c>
      <c r="AI314" s="11" t="str">
        <f t="shared" si="24"/>
        <v>0.1-0.2</v>
      </c>
    </row>
    <row r="315" spans="24:35" x14ac:dyDescent="0.25">
      <c r="X315" t="s">
        <v>583</v>
      </c>
      <c r="Y315" t="s">
        <v>648</v>
      </c>
      <c r="Z315" t="s">
        <v>1505</v>
      </c>
      <c r="AA315" s="19">
        <v>1407.05</v>
      </c>
      <c r="AB315" s="30" t="s">
        <v>1498</v>
      </c>
      <c r="AC315" s="56"/>
      <c r="AE315" s="4" t="str">
        <f t="shared" si="20"/>
        <v>ORD-2024-437164</v>
      </c>
      <c r="AF315" s="4" t="str">
        <f t="shared" si="21"/>
        <v>Americas</v>
      </c>
      <c r="AG315" s="4" t="str">
        <f t="shared" si="22"/>
        <v>Q1</v>
      </c>
      <c r="AH315" s="19">
        <f t="shared" si="23"/>
        <v>1407.05</v>
      </c>
      <c r="AI315" s="11" t="str">
        <f t="shared" si="24"/>
        <v>0-0.1</v>
      </c>
    </row>
    <row r="316" spans="24:35" x14ac:dyDescent="0.25">
      <c r="X316" t="s">
        <v>164</v>
      </c>
      <c r="Y316" t="s">
        <v>648</v>
      </c>
      <c r="Z316" t="s">
        <v>1507</v>
      </c>
      <c r="AA316" s="19">
        <v>1297</v>
      </c>
      <c r="AB316" s="30" t="s">
        <v>1498</v>
      </c>
      <c r="AC316" s="56"/>
      <c r="AE316" s="4" t="str">
        <f t="shared" si="20"/>
        <v>ORD-2024-438404</v>
      </c>
      <c r="AF316" s="4" t="str">
        <f t="shared" si="21"/>
        <v>Americas</v>
      </c>
      <c r="AG316" s="4" t="str">
        <f t="shared" si="22"/>
        <v>Q3</v>
      </c>
      <c r="AH316" s="19">
        <f t="shared" si="23"/>
        <v>1297</v>
      </c>
      <c r="AI316" s="11" t="str">
        <f t="shared" si="24"/>
        <v>0-0.1</v>
      </c>
    </row>
    <row r="317" spans="24:35" x14ac:dyDescent="0.25">
      <c r="X317" t="s">
        <v>609</v>
      </c>
      <c r="Y317" t="s">
        <v>646</v>
      </c>
      <c r="Z317" t="s">
        <v>1506</v>
      </c>
      <c r="AA317" s="19">
        <v>753.43</v>
      </c>
      <c r="AB317" s="30" t="s">
        <v>1498</v>
      </c>
      <c r="AC317" s="56"/>
      <c r="AE317" s="4" t="str">
        <f t="shared" si="20"/>
        <v>ORD-2024-442776</v>
      </c>
      <c r="AF317" s="4" t="str">
        <f t="shared" si="21"/>
        <v>Africa</v>
      </c>
      <c r="AG317" s="4" t="str">
        <f t="shared" si="22"/>
        <v>Q2</v>
      </c>
      <c r="AH317" s="19">
        <f t="shared" si="23"/>
        <v>753.43</v>
      </c>
      <c r="AI317" s="11" t="str">
        <f t="shared" si="24"/>
        <v>0-0.1</v>
      </c>
    </row>
    <row r="318" spans="24:35" x14ac:dyDescent="0.25">
      <c r="X318" t="s">
        <v>209</v>
      </c>
      <c r="Y318" t="s">
        <v>648</v>
      </c>
      <c r="Z318" t="s">
        <v>1507</v>
      </c>
      <c r="AA318" s="19">
        <v>1378.8</v>
      </c>
      <c r="AB318" s="30" t="s">
        <v>1499</v>
      </c>
      <c r="AC318" s="56"/>
      <c r="AE318" s="4" t="str">
        <f t="shared" si="20"/>
        <v>ORD-2024-444710</v>
      </c>
      <c r="AF318" s="4" t="str">
        <f t="shared" si="21"/>
        <v>Americas</v>
      </c>
      <c r="AG318" s="4" t="str">
        <f t="shared" si="22"/>
        <v>Q3</v>
      </c>
      <c r="AH318" s="19">
        <f t="shared" si="23"/>
        <v>1378.8</v>
      </c>
      <c r="AI318" s="11" t="str">
        <f t="shared" si="24"/>
        <v>0.1-0.2</v>
      </c>
    </row>
    <row r="319" spans="24:35" x14ac:dyDescent="0.25">
      <c r="X319" t="s">
        <v>455</v>
      </c>
      <c r="Y319" t="s">
        <v>647</v>
      </c>
      <c r="Z319" t="s">
        <v>1505</v>
      </c>
      <c r="AA319" s="19">
        <v>382.21</v>
      </c>
      <c r="AB319" s="30" t="s">
        <v>1499</v>
      </c>
      <c r="AC319" s="56"/>
      <c r="AE319" s="4" t="str">
        <f t="shared" si="20"/>
        <v>ORD-2024-446030</v>
      </c>
      <c r="AF319" s="4" t="str">
        <f t="shared" si="21"/>
        <v>Asia</v>
      </c>
      <c r="AG319" s="4" t="str">
        <f t="shared" si="22"/>
        <v>Q1</v>
      </c>
      <c r="AH319" s="19">
        <f t="shared" si="23"/>
        <v>382.21</v>
      </c>
      <c r="AI319" s="11" t="str">
        <f t="shared" si="24"/>
        <v>0.1-0.2</v>
      </c>
    </row>
    <row r="320" spans="24:35" x14ac:dyDescent="0.25">
      <c r="X320" t="s">
        <v>91</v>
      </c>
      <c r="Y320" t="s">
        <v>648</v>
      </c>
      <c r="Z320" t="s">
        <v>1507</v>
      </c>
      <c r="AA320" s="19">
        <v>1394.65</v>
      </c>
      <c r="AB320" s="30" t="s">
        <v>1499</v>
      </c>
      <c r="AC320" s="56"/>
      <c r="AE320" s="4" t="str">
        <f t="shared" si="20"/>
        <v>ORD-2024-446699</v>
      </c>
      <c r="AF320" s="4" t="str">
        <f t="shared" si="21"/>
        <v>Americas</v>
      </c>
      <c r="AG320" s="4" t="str">
        <f t="shared" si="22"/>
        <v>Q3</v>
      </c>
      <c r="AH320" s="19">
        <f t="shared" si="23"/>
        <v>1394.65</v>
      </c>
      <c r="AI320" s="11" t="str">
        <f t="shared" si="24"/>
        <v>0.1-0.2</v>
      </c>
    </row>
    <row r="321" spans="24:35" x14ac:dyDescent="0.25">
      <c r="X321" t="s">
        <v>92</v>
      </c>
      <c r="Y321" t="s">
        <v>648</v>
      </c>
      <c r="Z321" t="s">
        <v>1506</v>
      </c>
      <c r="AA321" s="19">
        <v>1112.98</v>
      </c>
      <c r="AB321" s="30" t="s">
        <v>1498</v>
      </c>
      <c r="AC321" s="56"/>
      <c r="AE321" s="4" t="str">
        <f t="shared" si="20"/>
        <v>ORD-2024-451005</v>
      </c>
      <c r="AF321" s="4" t="str">
        <f t="shared" si="21"/>
        <v>Americas</v>
      </c>
      <c r="AG321" s="4" t="str">
        <f t="shared" si="22"/>
        <v>Q2</v>
      </c>
      <c r="AH321" s="19">
        <f t="shared" si="23"/>
        <v>1112.98</v>
      </c>
      <c r="AI321" s="11" t="str">
        <f t="shared" si="24"/>
        <v>0-0.1</v>
      </c>
    </row>
    <row r="322" spans="24:35" x14ac:dyDescent="0.25">
      <c r="X322" t="s">
        <v>428</v>
      </c>
      <c r="Y322" t="s">
        <v>647</v>
      </c>
      <c r="Z322" t="s">
        <v>1506</v>
      </c>
      <c r="AA322" s="19">
        <v>1253.25</v>
      </c>
      <c r="AB322" s="30" t="s">
        <v>1498</v>
      </c>
      <c r="AC322" s="56"/>
      <c r="AE322" s="4" t="str">
        <f t="shared" si="20"/>
        <v>ORD-2024-465898</v>
      </c>
      <c r="AF322" s="4" t="str">
        <f t="shared" si="21"/>
        <v>Asia</v>
      </c>
      <c r="AG322" s="4" t="str">
        <f t="shared" si="22"/>
        <v>Q2</v>
      </c>
      <c r="AH322" s="19">
        <f t="shared" si="23"/>
        <v>1253.25</v>
      </c>
      <c r="AI322" s="11" t="str">
        <f t="shared" si="24"/>
        <v>0-0.1</v>
      </c>
    </row>
    <row r="323" spans="24:35" x14ac:dyDescent="0.25">
      <c r="X323" t="s">
        <v>65</v>
      </c>
      <c r="Y323" t="s">
        <v>648</v>
      </c>
      <c r="Z323" t="s">
        <v>1508</v>
      </c>
      <c r="AA323" s="19">
        <v>1454.11</v>
      </c>
      <c r="AB323" s="30" t="s">
        <v>1500</v>
      </c>
      <c r="AC323" s="56"/>
      <c r="AE323" s="4" t="str">
        <f t="shared" si="20"/>
        <v>ORD-2024-468501</v>
      </c>
      <c r="AF323" s="4" t="str">
        <f t="shared" si="21"/>
        <v>Americas</v>
      </c>
      <c r="AG323" s="4" t="str">
        <f t="shared" si="22"/>
        <v>Q4</v>
      </c>
      <c r="AH323" s="19">
        <f t="shared" si="23"/>
        <v>1454.11</v>
      </c>
      <c r="AI323" s="11" t="str">
        <f t="shared" si="24"/>
        <v>0.2-0.3</v>
      </c>
    </row>
    <row r="324" spans="24:35" x14ac:dyDescent="0.25">
      <c r="X324" t="s">
        <v>536</v>
      </c>
      <c r="Y324" t="s">
        <v>647</v>
      </c>
      <c r="Z324" t="s">
        <v>1507</v>
      </c>
      <c r="AA324" s="19">
        <v>748.39</v>
      </c>
      <c r="AB324" s="30" t="s">
        <v>1498</v>
      </c>
      <c r="AC324" s="56"/>
      <c r="AE324" s="4" t="str">
        <f t="shared" ref="AE324:AE387" si="25">X324</f>
        <v>ORD-2024-468615</v>
      </c>
      <c r="AF324" s="4" t="str">
        <f t="shared" ref="AF324:AF387" si="26">Y324</f>
        <v>Asia</v>
      </c>
      <c r="AG324" s="4" t="str">
        <f t="shared" ref="AG324:AG387" si="27">Z324</f>
        <v>Q3</v>
      </c>
      <c r="AH324" s="19">
        <f t="shared" ref="AH324:AH387" si="28">AA324</f>
        <v>748.39</v>
      </c>
      <c r="AI324" s="11" t="str">
        <f t="shared" ref="AI324:AI387" si="29">AB324</f>
        <v>0-0.1</v>
      </c>
    </row>
    <row r="325" spans="24:35" x14ac:dyDescent="0.25">
      <c r="X325" t="s">
        <v>438</v>
      </c>
      <c r="Y325" t="s">
        <v>647</v>
      </c>
      <c r="Z325" t="s">
        <v>1505</v>
      </c>
      <c r="AA325" s="19">
        <v>1477.84</v>
      </c>
      <c r="AB325" s="30" t="s">
        <v>1500</v>
      </c>
      <c r="AC325" s="56"/>
      <c r="AE325" s="4" t="str">
        <f t="shared" si="25"/>
        <v>ORD-2024-468655</v>
      </c>
      <c r="AF325" s="4" t="str">
        <f t="shared" si="26"/>
        <v>Asia</v>
      </c>
      <c r="AG325" s="4" t="str">
        <f t="shared" si="27"/>
        <v>Q1</v>
      </c>
      <c r="AH325" s="19">
        <f t="shared" si="28"/>
        <v>1477.84</v>
      </c>
      <c r="AI325" s="11" t="str">
        <f t="shared" si="29"/>
        <v>0.2-0.3</v>
      </c>
    </row>
    <row r="326" spans="24:35" x14ac:dyDescent="0.25">
      <c r="X326" t="s">
        <v>132</v>
      </c>
      <c r="Y326" t="s">
        <v>649</v>
      </c>
      <c r="Z326" t="s">
        <v>1508</v>
      </c>
      <c r="AA326" s="19">
        <v>1391.99</v>
      </c>
      <c r="AB326" s="30" t="s">
        <v>1499</v>
      </c>
      <c r="AC326" s="56"/>
      <c r="AE326" s="4" t="str">
        <f t="shared" si="25"/>
        <v>ORD-2024-474999</v>
      </c>
      <c r="AF326" s="4" t="str">
        <f t="shared" si="26"/>
        <v>Europe</v>
      </c>
      <c r="AG326" s="4" t="str">
        <f t="shared" si="27"/>
        <v>Q4</v>
      </c>
      <c r="AH326" s="19">
        <f t="shared" si="28"/>
        <v>1391.99</v>
      </c>
      <c r="AI326" s="11" t="str">
        <f t="shared" si="29"/>
        <v>0.1-0.2</v>
      </c>
    </row>
    <row r="327" spans="24:35" x14ac:dyDescent="0.25">
      <c r="X327" t="s">
        <v>118</v>
      </c>
      <c r="Y327" t="s">
        <v>648</v>
      </c>
      <c r="Z327" t="s">
        <v>1508</v>
      </c>
      <c r="AA327" s="19">
        <v>107.03</v>
      </c>
      <c r="AB327" s="30" t="s">
        <v>1499</v>
      </c>
      <c r="AC327" s="56"/>
      <c r="AE327" s="4" t="str">
        <f t="shared" si="25"/>
        <v>ORD-2024-478165</v>
      </c>
      <c r="AF327" s="4" t="str">
        <f t="shared" si="26"/>
        <v>Americas</v>
      </c>
      <c r="AG327" s="4" t="str">
        <f t="shared" si="27"/>
        <v>Q4</v>
      </c>
      <c r="AH327" s="19">
        <f t="shared" si="28"/>
        <v>107.03</v>
      </c>
      <c r="AI327" s="11" t="str">
        <f t="shared" si="29"/>
        <v>0.1-0.2</v>
      </c>
    </row>
    <row r="328" spans="24:35" x14ac:dyDescent="0.25">
      <c r="X328" t="s">
        <v>593</v>
      </c>
      <c r="Y328" t="s">
        <v>649</v>
      </c>
      <c r="Z328" t="s">
        <v>1508</v>
      </c>
      <c r="AA328" s="19">
        <v>164.53</v>
      </c>
      <c r="AB328" s="30" t="s">
        <v>1498</v>
      </c>
      <c r="AC328" s="56"/>
      <c r="AE328" s="4" t="str">
        <f t="shared" si="25"/>
        <v>ORD-2024-496601</v>
      </c>
      <c r="AF328" s="4" t="str">
        <f t="shared" si="26"/>
        <v>Europe</v>
      </c>
      <c r="AG328" s="4" t="str">
        <f t="shared" si="27"/>
        <v>Q4</v>
      </c>
      <c r="AH328" s="19">
        <f t="shared" si="28"/>
        <v>164.53</v>
      </c>
      <c r="AI328" s="11" t="str">
        <f t="shared" si="29"/>
        <v>0-0.1</v>
      </c>
    </row>
    <row r="329" spans="24:35" x14ac:dyDescent="0.25">
      <c r="X329" t="s">
        <v>289</v>
      </c>
      <c r="Y329" t="s">
        <v>648</v>
      </c>
      <c r="Z329" t="s">
        <v>1505</v>
      </c>
      <c r="AA329" s="19">
        <v>1410.97</v>
      </c>
      <c r="AB329" s="30" t="s">
        <v>1499</v>
      </c>
      <c r="AC329" s="56"/>
      <c r="AE329" s="4" t="str">
        <f t="shared" si="25"/>
        <v>ORD-2024-499009</v>
      </c>
      <c r="AF329" s="4" t="str">
        <f t="shared" si="26"/>
        <v>Americas</v>
      </c>
      <c r="AG329" s="4" t="str">
        <f t="shared" si="27"/>
        <v>Q1</v>
      </c>
      <c r="AH329" s="19">
        <f t="shared" si="28"/>
        <v>1410.97</v>
      </c>
      <c r="AI329" s="11" t="str">
        <f t="shared" si="29"/>
        <v>0.1-0.2</v>
      </c>
    </row>
    <row r="330" spans="24:35" x14ac:dyDescent="0.25">
      <c r="X330" t="s">
        <v>38</v>
      </c>
      <c r="Y330" t="s">
        <v>648</v>
      </c>
      <c r="Z330" t="s">
        <v>1506</v>
      </c>
      <c r="AA330" s="19">
        <v>1274.5899999999999</v>
      </c>
      <c r="AB330" s="30" t="s">
        <v>1498</v>
      </c>
      <c r="AC330" s="56"/>
      <c r="AE330" s="4" t="str">
        <f t="shared" si="25"/>
        <v>ORD-2024-500109</v>
      </c>
      <c r="AF330" s="4" t="str">
        <f t="shared" si="26"/>
        <v>Americas</v>
      </c>
      <c r="AG330" s="4" t="str">
        <f t="shared" si="27"/>
        <v>Q2</v>
      </c>
      <c r="AH330" s="19">
        <f t="shared" si="28"/>
        <v>1274.5899999999999</v>
      </c>
      <c r="AI330" s="11" t="str">
        <f t="shared" si="29"/>
        <v>0-0.1</v>
      </c>
    </row>
    <row r="331" spans="24:35" x14ac:dyDescent="0.25">
      <c r="X331" t="s">
        <v>280</v>
      </c>
      <c r="Y331" t="s">
        <v>649</v>
      </c>
      <c r="Z331" t="s">
        <v>1508</v>
      </c>
      <c r="AA331" s="19">
        <v>1108.1099999999999</v>
      </c>
      <c r="AB331" s="30" t="s">
        <v>1499</v>
      </c>
      <c r="AC331" s="56"/>
      <c r="AE331" s="4" t="str">
        <f t="shared" si="25"/>
        <v>ORD-2024-500511</v>
      </c>
      <c r="AF331" s="4" t="str">
        <f t="shared" si="26"/>
        <v>Europe</v>
      </c>
      <c r="AG331" s="4" t="str">
        <f t="shared" si="27"/>
        <v>Q4</v>
      </c>
      <c r="AH331" s="19">
        <f t="shared" si="28"/>
        <v>1108.1099999999999</v>
      </c>
      <c r="AI331" s="11" t="str">
        <f t="shared" si="29"/>
        <v>0.1-0.2</v>
      </c>
    </row>
    <row r="332" spans="24:35" x14ac:dyDescent="0.25">
      <c r="X332" t="s">
        <v>338</v>
      </c>
      <c r="Y332" t="s">
        <v>648</v>
      </c>
      <c r="Z332" t="s">
        <v>1507</v>
      </c>
      <c r="AA332" s="19">
        <v>1010.33</v>
      </c>
      <c r="AB332" s="30" t="s">
        <v>1498</v>
      </c>
      <c r="AC332" s="56"/>
      <c r="AE332" s="4" t="str">
        <f t="shared" si="25"/>
        <v>ORD-2024-500890</v>
      </c>
      <c r="AF332" s="4" t="str">
        <f t="shared" si="26"/>
        <v>Americas</v>
      </c>
      <c r="AG332" s="4" t="str">
        <f t="shared" si="27"/>
        <v>Q3</v>
      </c>
      <c r="AH332" s="19">
        <f t="shared" si="28"/>
        <v>1010.33</v>
      </c>
      <c r="AI332" s="11" t="str">
        <f t="shared" si="29"/>
        <v>0-0.1</v>
      </c>
    </row>
    <row r="333" spans="24:35" x14ac:dyDescent="0.25">
      <c r="X333" t="s">
        <v>203</v>
      </c>
      <c r="Y333" t="s">
        <v>648</v>
      </c>
      <c r="Z333" t="s">
        <v>1506</v>
      </c>
      <c r="AA333" s="19">
        <v>1075.9000000000001</v>
      </c>
      <c r="AB333" s="30" t="s">
        <v>1498</v>
      </c>
      <c r="AC333" s="56"/>
      <c r="AE333" s="4" t="str">
        <f t="shared" si="25"/>
        <v>ORD-2024-503082</v>
      </c>
      <c r="AF333" s="4" t="str">
        <f t="shared" si="26"/>
        <v>Americas</v>
      </c>
      <c r="AG333" s="4" t="str">
        <f t="shared" si="27"/>
        <v>Q2</v>
      </c>
      <c r="AH333" s="19">
        <f t="shared" si="28"/>
        <v>1075.9000000000001</v>
      </c>
      <c r="AI333" s="11" t="str">
        <f t="shared" si="29"/>
        <v>0-0.1</v>
      </c>
    </row>
    <row r="334" spans="24:35" x14ac:dyDescent="0.25">
      <c r="X334" t="s">
        <v>479</v>
      </c>
      <c r="Y334" t="s">
        <v>646</v>
      </c>
      <c r="Z334" t="s">
        <v>1508</v>
      </c>
      <c r="AA334" s="19">
        <v>1335.76</v>
      </c>
      <c r="AB334" s="30" t="s">
        <v>1500</v>
      </c>
      <c r="AC334" s="56"/>
      <c r="AE334" s="4" t="str">
        <f t="shared" si="25"/>
        <v>ORD-2024-508213</v>
      </c>
      <c r="AF334" s="4" t="str">
        <f t="shared" si="26"/>
        <v>Africa</v>
      </c>
      <c r="AG334" s="4" t="str">
        <f t="shared" si="27"/>
        <v>Q4</v>
      </c>
      <c r="AH334" s="19">
        <f t="shared" si="28"/>
        <v>1335.76</v>
      </c>
      <c r="AI334" s="11" t="str">
        <f t="shared" si="29"/>
        <v>0.2-0.3</v>
      </c>
    </row>
    <row r="335" spans="24:35" x14ac:dyDescent="0.25">
      <c r="X335" t="s">
        <v>458</v>
      </c>
      <c r="Y335" t="s">
        <v>648</v>
      </c>
      <c r="Z335" t="s">
        <v>1507</v>
      </c>
      <c r="AA335" s="19">
        <v>558.19000000000005</v>
      </c>
      <c r="AB335" s="30" t="s">
        <v>1498</v>
      </c>
      <c r="AC335" s="56"/>
      <c r="AE335" s="4" t="str">
        <f t="shared" si="25"/>
        <v>ORD-2024-510520</v>
      </c>
      <c r="AF335" s="4" t="str">
        <f t="shared" si="26"/>
        <v>Americas</v>
      </c>
      <c r="AG335" s="4" t="str">
        <f t="shared" si="27"/>
        <v>Q3</v>
      </c>
      <c r="AH335" s="19">
        <f t="shared" si="28"/>
        <v>558.19000000000005</v>
      </c>
      <c r="AI335" s="11" t="str">
        <f t="shared" si="29"/>
        <v>0-0.1</v>
      </c>
    </row>
    <row r="336" spans="24:35" x14ac:dyDescent="0.25">
      <c r="X336" t="s">
        <v>371</v>
      </c>
      <c r="Y336" t="s">
        <v>648</v>
      </c>
      <c r="Z336" t="s">
        <v>1506</v>
      </c>
      <c r="AA336" s="19">
        <v>1176.69</v>
      </c>
      <c r="AB336" s="30" t="s">
        <v>1499</v>
      </c>
      <c r="AC336" s="56"/>
      <c r="AE336" s="4" t="str">
        <f t="shared" si="25"/>
        <v>ORD-2024-510591</v>
      </c>
      <c r="AF336" s="4" t="str">
        <f t="shared" si="26"/>
        <v>Americas</v>
      </c>
      <c r="AG336" s="4" t="str">
        <f t="shared" si="27"/>
        <v>Q2</v>
      </c>
      <c r="AH336" s="19">
        <f t="shared" si="28"/>
        <v>1176.69</v>
      </c>
      <c r="AI336" s="11" t="str">
        <f t="shared" si="29"/>
        <v>0.1-0.2</v>
      </c>
    </row>
    <row r="337" spans="24:35" x14ac:dyDescent="0.25">
      <c r="X337" t="s">
        <v>439</v>
      </c>
      <c r="Y337" t="s">
        <v>647</v>
      </c>
      <c r="Z337" t="s">
        <v>1505</v>
      </c>
      <c r="AA337" s="19">
        <v>1035.19</v>
      </c>
      <c r="AB337" s="30" t="s">
        <v>1499</v>
      </c>
      <c r="AC337" s="56"/>
      <c r="AE337" s="4" t="str">
        <f t="shared" si="25"/>
        <v>ORD-2024-515105</v>
      </c>
      <c r="AF337" s="4" t="str">
        <f t="shared" si="26"/>
        <v>Asia</v>
      </c>
      <c r="AG337" s="4" t="str">
        <f t="shared" si="27"/>
        <v>Q1</v>
      </c>
      <c r="AH337" s="19">
        <f t="shared" si="28"/>
        <v>1035.19</v>
      </c>
      <c r="AI337" s="11" t="str">
        <f t="shared" si="29"/>
        <v>0.1-0.2</v>
      </c>
    </row>
    <row r="338" spans="24:35" x14ac:dyDescent="0.25">
      <c r="X338" t="s">
        <v>507</v>
      </c>
      <c r="Y338" t="s">
        <v>648</v>
      </c>
      <c r="Z338" t="s">
        <v>1505</v>
      </c>
      <c r="AA338" s="19">
        <v>5.34</v>
      </c>
      <c r="AB338" s="30" t="s">
        <v>1499</v>
      </c>
      <c r="AC338" s="56"/>
      <c r="AE338" s="4" t="str">
        <f t="shared" si="25"/>
        <v>ORD-2024-516704</v>
      </c>
      <c r="AF338" s="4" t="str">
        <f t="shared" si="26"/>
        <v>Americas</v>
      </c>
      <c r="AG338" s="4" t="str">
        <f t="shared" si="27"/>
        <v>Q1</v>
      </c>
      <c r="AH338" s="19">
        <f t="shared" si="28"/>
        <v>5.34</v>
      </c>
      <c r="AI338" s="11" t="str">
        <f t="shared" si="29"/>
        <v>0.1-0.2</v>
      </c>
    </row>
    <row r="339" spans="24:35" x14ac:dyDescent="0.25">
      <c r="X339" t="s">
        <v>401</v>
      </c>
      <c r="Y339" t="s">
        <v>646</v>
      </c>
      <c r="Z339" t="s">
        <v>1506</v>
      </c>
      <c r="AA339" s="19">
        <v>1163.99</v>
      </c>
      <c r="AB339" s="30" t="s">
        <v>1499</v>
      </c>
      <c r="AC339" s="56"/>
      <c r="AE339" s="4" t="str">
        <f t="shared" si="25"/>
        <v>ORD-2024-527858</v>
      </c>
      <c r="AF339" s="4" t="str">
        <f t="shared" si="26"/>
        <v>Africa</v>
      </c>
      <c r="AG339" s="4" t="str">
        <f t="shared" si="27"/>
        <v>Q2</v>
      </c>
      <c r="AH339" s="19">
        <f t="shared" si="28"/>
        <v>1163.99</v>
      </c>
      <c r="AI339" s="11" t="str">
        <f t="shared" si="29"/>
        <v>0.1-0.2</v>
      </c>
    </row>
    <row r="340" spans="24:35" x14ac:dyDescent="0.25">
      <c r="X340" t="s">
        <v>544</v>
      </c>
      <c r="Y340" t="s">
        <v>647</v>
      </c>
      <c r="Z340" t="s">
        <v>1505</v>
      </c>
      <c r="AA340" s="19">
        <v>937.16</v>
      </c>
      <c r="AB340" s="30" t="s">
        <v>1498</v>
      </c>
      <c r="AC340" s="56"/>
      <c r="AE340" s="4" t="str">
        <f t="shared" si="25"/>
        <v>ORD-2024-532184</v>
      </c>
      <c r="AF340" s="4" t="str">
        <f t="shared" si="26"/>
        <v>Asia</v>
      </c>
      <c r="AG340" s="4" t="str">
        <f t="shared" si="27"/>
        <v>Q1</v>
      </c>
      <c r="AH340" s="19">
        <f t="shared" si="28"/>
        <v>937.16</v>
      </c>
      <c r="AI340" s="11" t="str">
        <f t="shared" si="29"/>
        <v>0-0.1</v>
      </c>
    </row>
    <row r="341" spans="24:35" x14ac:dyDescent="0.25">
      <c r="X341" t="s">
        <v>569</v>
      </c>
      <c r="Y341" t="s">
        <v>647</v>
      </c>
      <c r="Z341" t="s">
        <v>1507</v>
      </c>
      <c r="AA341" s="19">
        <v>1189.03</v>
      </c>
      <c r="AB341" s="30" t="s">
        <v>1499</v>
      </c>
      <c r="AC341" s="56"/>
      <c r="AE341" s="4" t="str">
        <f t="shared" si="25"/>
        <v>ORD-2024-536442</v>
      </c>
      <c r="AF341" s="4" t="str">
        <f t="shared" si="26"/>
        <v>Asia</v>
      </c>
      <c r="AG341" s="4" t="str">
        <f t="shared" si="27"/>
        <v>Q3</v>
      </c>
      <c r="AH341" s="19">
        <f t="shared" si="28"/>
        <v>1189.03</v>
      </c>
      <c r="AI341" s="11" t="str">
        <f t="shared" si="29"/>
        <v>0.1-0.2</v>
      </c>
    </row>
    <row r="342" spans="24:35" x14ac:dyDescent="0.25">
      <c r="X342" t="s">
        <v>424</v>
      </c>
      <c r="Y342" t="s">
        <v>647</v>
      </c>
      <c r="Z342" t="s">
        <v>1507</v>
      </c>
      <c r="AA342" s="19">
        <v>466.16</v>
      </c>
      <c r="AB342" s="30" t="s">
        <v>1500</v>
      </c>
      <c r="AC342" s="56"/>
      <c r="AE342" s="4" t="str">
        <f t="shared" si="25"/>
        <v>ORD-2024-542244</v>
      </c>
      <c r="AF342" s="4" t="str">
        <f t="shared" si="26"/>
        <v>Asia</v>
      </c>
      <c r="AG342" s="4" t="str">
        <f t="shared" si="27"/>
        <v>Q3</v>
      </c>
      <c r="AH342" s="19">
        <f t="shared" si="28"/>
        <v>466.16</v>
      </c>
      <c r="AI342" s="11" t="str">
        <f t="shared" si="29"/>
        <v>0.2-0.3</v>
      </c>
    </row>
    <row r="343" spans="24:35" x14ac:dyDescent="0.25">
      <c r="X343" t="s">
        <v>260</v>
      </c>
      <c r="Y343" t="s">
        <v>648</v>
      </c>
      <c r="Z343" t="s">
        <v>1505</v>
      </c>
      <c r="AA343" s="19">
        <v>1350.98</v>
      </c>
      <c r="AB343" s="30" t="s">
        <v>1500</v>
      </c>
      <c r="AC343" s="56"/>
      <c r="AE343" s="4" t="str">
        <f t="shared" si="25"/>
        <v>ORD-2024-544865</v>
      </c>
      <c r="AF343" s="4" t="str">
        <f t="shared" si="26"/>
        <v>Americas</v>
      </c>
      <c r="AG343" s="4" t="str">
        <f t="shared" si="27"/>
        <v>Q1</v>
      </c>
      <c r="AH343" s="19">
        <f t="shared" si="28"/>
        <v>1350.98</v>
      </c>
      <c r="AI343" s="11" t="str">
        <f t="shared" si="29"/>
        <v>0.2-0.3</v>
      </c>
    </row>
    <row r="344" spans="24:35" x14ac:dyDescent="0.25">
      <c r="X344" t="s">
        <v>62</v>
      </c>
      <c r="Y344" t="s">
        <v>649</v>
      </c>
      <c r="Z344" t="s">
        <v>1506</v>
      </c>
      <c r="AA344" s="19">
        <v>1421.14</v>
      </c>
      <c r="AB344" s="30" t="s">
        <v>1498</v>
      </c>
      <c r="AC344" s="56"/>
      <c r="AE344" s="4" t="str">
        <f t="shared" si="25"/>
        <v>ORD-2024-548345</v>
      </c>
      <c r="AF344" s="4" t="str">
        <f t="shared" si="26"/>
        <v>Europe</v>
      </c>
      <c r="AG344" s="4" t="str">
        <f t="shared" si="27"/>
        <v>Q2</v>
      </c>
      <c r="AH344" s="19">
        <f t="shared" si="28"/>
        <v>1421.14</v>
      </c>
      <c r="AI344" s="11" t="str">
        <f t="shared" si="29"/>
        <v>0-0.1</v>
      </c>
    </row>
    <row r="345" spans="24:35" x14ac:dyDescent="0.25">
      <c r="X345" t="s">
        <v>615</v>
      </c>
      <c r="Y345" t="s">
        <v>648</v>
      </c>
      <c r="Z345" t="s">
        <v>1507</v>
      </c>
      <c r="AA345" s="19">
        <v>1337.01</v>
      </c>
      <c r="AB345" s="30" t="s">
        <v>1499</v>
      </c>
      <c r="AC345" s="56"/>
      <c r="AE345" s="4" t="str">
        <f t="shared" si="25"/>
        <v>ORD-2024-550400</v>
      </c>
      <c r="AF345" s="4" t="str">
        <f t="shared" si="26"/>
        <v>Americas</v>
      </c>
      <c r="AG345" s="4" t="str">
        <f t="shared" si="27"/>
        <v>Q3</v>
      </c>
      <c r="AH345" s="19">
        <f t="shared" si="28"/>
        <v>1337.01</v>
      </c>
      <c r="AI345" s="11" t="str">
        <f t="shared" si="29"/>
        <v>0.1-0.2</v>
      </c>
    </row>
    <row r="346" spans="24:35" x14ac:dyDescent="0.25">
      <c r="X346" t="s">
        <v>172</v>
      </c>
      <c r="Y346" t="s">
        <v>647</v>
      </c>
      <c r="Z346" t="s">
        <v>1507</v>
      </c>
      <c r="AA346" s="19">
        <v>896.75</v>
      </c>
      <c r="AB346" s="30" t="s">
        <v>1498</v>
      </c>
      <c r="AC346" s="56"/>
      <c r="AE346" s="4" t="str">
        <f t="shared" si="25"/>
        <v>ORD-2024-553449</v>
      </c>
      <c r="AF346" s="4" t="str">
        <f t="shared" si="26"/>
        <v>Asia</v>
      </c>
      <c r="AG346" s="4" t="str">
        <f t="shared" si="27"/>
        <v>Q3</v>
      </c>
      <c r="AH346" s="19">
        <f t="shared" si="28"/>
        <v>896.75</v>
      </c>
      <c r="AI346" s="11" t="str">
        <f t="shared" si="29"/>
        <v>0-0.1</v>
      </c>
    </row>
    <row r="347" spans="24:35" x14ac:dyDescent="0.25">
      <c r="X347" t="s">
        <v>573</v>
      </c>
      <c r="Y347" t="s">
        <v>646</v>
      </c>
      <c r="Z347" t="s">
        <v>1506</v>
      </c>
      <c r="AA347" s="19">
        <v>857.42</v>
      </c>
      <c r="AB347" s="30" t="s">
        <v>1499</v>
      </c>
      <c r="AC347" s="56"/>
      <c r="AE347" s="4" t="str">
        <f t="shared" si="25"/>
        <v>ORD-2024-555229</v>
      </c>
      <c r="AF347" s="4" t="str">
        <f t="shared" si="26"/>
        <v>Africa</v>
      </c>
      <c r="AG347" s="4" t="str">
        <f t="shared" si="27"/>
        <v>Q2</v>
      </c>
      <c r="AH347" s="19">
        <f t="shared" si="28"/>
        <v>857.42</v>
      </c>
      <c r="AI347" s="11" t="str">
        <f t="shared" si="29"/>
        <v>0.1-0.2</v>
      </c>
    </row>
    <row r="348" spans="24:35" x14ac:dyDescent="0.25">
      <c r="X348" t="s">
        <v>463</v>
      </c>
      <c r="Y348" t="s">
        <v>646</v>
      </c>
      <c r="Z348" t="s">
        <v>1506</v>
      </c>
      <c r="AA348" s="19">
        <v>895.54</v>
      </c>
      <c r="AB348" s="30" t="s">
        <v>1500</v>
      </c>
      <c r="AC348" s="56"/>
      <c r="AE348" s="4" t="str">
        <f t="shared" si="25"/>
        <v>ORD-2024-566589</v>
      </c>
      <c r="AF348" s="4" t="str">
        <f t="shared" si="26"/>
        <v>Africa</v>
      </c>
      <c r="AG348" s="4" t="str">
        <f t="shared" si="27"/>
        <v>Q2</v>
      </c>
      <c r="AH348" s="19">
        <f t="shared" si="28"/>
        <v>895.54</v>
      </c>
      <c r="AI348" s="11" t="str">
        <f t="shared" si="29"/>
        <v>0.2-0.3</v>
      </c>
    </row>
    <row r="349" spans="24:35" x14ac:dyDescent="0.25">
      <c r="X349" t="s">
        <v>515</v>
      </c>
      <c r="Y349" t="s">
        <v>649</v>
      </c>
      <c r="Z349" t="s">
        <v>1506</v>
      </c>
      <c r="AA349" s="19">
        <v>1232.77</v>
      </c>
      <c r="AB349" s="30" t="s">
        <v>1499</v>
      </c>
      <c r="AC349" s="56"/>
      <c r="AE349" s="4" t="str">
        <f t="shared" si="25"/>
        <v>ORD-2024-567435</v>
      </c>
      <c r="AF349" s="4" t="str">
        <f t="shared" si="26"/>
        <v>Europe</v>
      </c>
      <c r="AG349" s="4" t="str">
        <f t="shared" si="27"/>
        <v>Q2</v>
      </c>
      <c r="AH349" s="19">
        <f t="shared" si="28"/>
        <v>1232.77</v>
      </c>
      <c r="AI349" s="11" t="str">
        <f t="shared" si="29"/>
        <v>0.1-0.2</v>
      </c>
    </row>
    <row r="350" spans="24:35" x14ac:dyDescent="0.25">
      <c r="X350" t="s">
        <v>247</v>
      </c>
      <c r="Y350" t="s">
        <v>647</v>
      </c>
      <c r="Z350" t="s">
        <v>1507</v>
      </c>
      <c r="AA350" s="19">
        <v>195.54</v>
      </c>
      <c r="AB350" s="30" t="s">
        <v>1499</v>
      </c>
      <c r="AC350" s="56"/>
      <c r="AE350" s="4" t="str">
        <f t="shared" si="25"/>
        <v>ORD-2024-569164</v>
      </c>
      <c r="AF350" s="4" t="str">
        <f t="shared" si="26"/>
        <v>Asia</v>
      </c>
      <c r="AG350" s="4" t="str">
        <f t="shared" si="27"/>
        <v>Q3</v>
      </c>
      <c r="AH350" s="19">
        <f t="shared" si="28"/>
        <v>195.54</v>
      </c>
      <c r="AI350" s="11" t="str">
        <f t="shared" si="29"/>
        <v>0.1-0.2</v>
      </c>
    </row>
    <row r="351" spans="24:35" x14ac:dyDescent="0.25">
      <c r="X351" t="s">
        <v>350</v>
      </c>
      <c r="Y351" t="s">
        <v>647</v>
      </c>
      <c r="Z351" t="s">
        <v>1507</v>
      </c>
      <c r="AA351" s="19">
        <v>647.26</v>
      </c>
      <c r="AB351" s="30" t="s">
        <v>1498</v>
      </c>
      <c r="AC351" s="56"/>
      <c r="AE351" s="4" t="str">
        <f t="shared" si="25"/>
        <v>ORD-2024-571797</v>
      </c>
      <c r="AF351" s="4" t="str">
        <f t="shared" si="26"/>
        <v>Asia</v>
      </c>
      <c r="AG351" s="4" t="str">
        <f t="shared" si="27"/>
        <v>Q3</v>
      </c>
      <c r="AH351" s="19">
        <f t="shared" si="28"/>
        <v>647.26</v>
      </c>
      <c r="AI351" s="11" t="str">
        <f t="shared" si="29"/>
        <v>0-0.1</v>
      </c>
    </row>
    <row r="352" spans="24:35" x14ac:dyDescent="0.25">
      <c r="X352" t="s">
        <v>602</v>
      </c>
      <c r="Y352" t="s">
        <v>647</v>
      </c>
      <c r="Z352" t="s">
        <v>1506</v>
      </c>
      <c r="AA352" s="19">
        <v>1367.13</v>
      </c>
      <c r="AB352" s="30" t="s">
        <v>1499</v>
      </c>
      <c r="AC352" s="56"/>
      <c r="AE352" s="4" t="str">
        <f t="shared" si="25"/>
        <v>ORD-2024-572312</v>
      </c>
      <c r="AF352" s="4" t="str">
        <f t="shared" si="26"/>
        <v>Asia</v>
      </c>
      <c r="AG352" s="4" t="str">
        <f t="shared" si="27"/>
        <v>Q2</v>
      </c>
      <c r="AH352" s="19">
        <f t="shared" si="28"/>
        <v>1367.13</v>
      </c>
      <c r="AI352" s="11" t="str">
        <f t="shared" si="29"/>
        <v>0.1-0.2</v>
      </c>
    </row>
    <row r="353" spans="24:35" x14ac:dyDescent="0.25">
      <c r="X353" t="s">
        <v>508</v>
      </c>
      <c r="Y353" t="s">
        <v>647</v>
      </c>
      <c r="Z353" t="s">
        <v>1506</v>
      </c>
      <c r="AA353" s="19">
        <v>465.02</v>
      </c>
      <c r="AB353" s="30" t="s">
        <v>1498</v>
      </c>
      <c r="AC353" s="56"/>
      <c r="AE353" s="4" t="str">
        <f t="shared" si="25"/>
        <v>ORD-2024-578646</v>
      </c>
      <c r="AF353" s="4" t="str">
        <f t="shared" si="26"/>
        <v>Asia</v>
      </c>
      <c r="AG353" s="4" t="str">
        <f t="shared" si="27"/>
        <v>Q2</v>
      </c>
      <c r="AH353" s="19">
        <f t="shared" si="28"/>
        <v>465.02</v>
      </c>
      <c r="AI353" s="11" t="str">
        <f t="shared" si="29"/>
        <v>0-0.1</v>
      </c>
    </row>
    <row r="354" spans="24:35" x14ac:dyDescent="0.25">
      <c r="X354" t="s">
        <v>292</v>
      </c>
      <c r="Y354" t="s">
        <v>646</v>
      </c>
      <c r="Z354" t="s">
        <v>1506</v>
      </c>
      <c r="AA354" s="19">
        <v>1173.83</v>
      </c>
      <c r="AB354" s="30" t="s">
        <v>1499</v>
      </c>
      <c r="AC354" s="56"/>
      <c r="AE354" s="4" t="str">
        <f t="shared" si="25"/>
        <v>ORD-2024-580808</v>
      </c>
      <c r="AF354" s="4" t="str">
        <f t="shared" si="26"/>
        <v>Africa</v>
      </c>
      <c r="AG354" s="4" t="str">
        <f t="shared" si="27"/>
        <v>Q2</v>
      </c>
      <c r="AH354" s="19">
        <f t="shared" si="28"/>
        <v>1173.83</v>
      </c>
      <c r="AI354" s="11" t="str">
        <f t="shared" si="29"/>
        <v>0.1-0.2</v>
      </c>
    </row>
    <row r="355" spans="24:35" x14ac:dyDescent="0.25">
      <c r="X355" t="s">
        <v>448</v>
      </c>
      <c r="Y355" t="s">
        <v>647</v>
      </c>
      <c r="Z355" t="s">
        <v>1507</v>
      </c>
      <c r="AA355" s="19">
        <v>181.74</v>
      </c>
      <c r="AB355" s="30" t="s">
        <v>1500</v>
      </c>
      <c r="AC355" s="56"/>
      <c r="AE355" s="4" t="str">
        <f t="shared" si="25"/>
        <v>ORD-2024-581530</v>
      </c>
      <c r="AF355" s="4" t="str">
        <f t="shared" si="26"/>
        <v>Asia</v>
      </c>
      <c r="AG355" s="4" t="str">
        <f t="shared" si="27"/>
        <v>Q3</v>
      </c>
      <c r="AH355" s="19">
        <f t="shared" si="28"/>
        <v>181.74</v>
      </c>
      <c r="AI355" s="11" t="str">
        <f t="shared" si="29"/>
        <v>0.2-0.3</v>
      </c>
    </row>
    <row r="356" spans="24:35" x14ac:dyDescent="0.25">
      <c r="X356" t="s">
        <v>141</v>
      </c>
      <c r="Y356" t="s">
        <v>649</v>
      </c>
      <c r="Z356" t="s">
        <v>1506</v>
      </c>
      <c r="AA356" s="19">
        <v>1064.32</v>
      </c>
      <c r="AB356" s="30" t="s">
        <v>1498</v>
      </c>
      <c r="AC356" s="56"/>
      <c r="AE356" s="4" t="str">
        <f t="shared" si="25"/>
        <v>ORD-2024-584090</v>
      </c>
      <c r="AF356" s="4" t="str">
        <f t="shared" si="26"/>
        <v>Europe</v>
      </c>
      <c r="AG356" s="4" t="str">
        <f t="shared" si="27"/>
        <v>Q2</v>
      </c>
      <c r="AH356" s="19">
        <f t="shared" si="28"/>
        <v>1064.32</v>
      </c>
      <c r="AI356" s="11" t="str">
        <f t="shared" si="29"/>
        <v>0-0.1</v>
      </c>
    </row>
    <row r="357" spans="24:35" x14ac:dyDescent="0.25">
      <c r="X357" t="s">
        <v>613</v>
      </c>
      <c r="Y357" t="s">
        <v>648</v>
      </c>
      <c r="Z357" t="s">
        <v>1507</v>
      </c>
      <c r="AA357" s="19">
        <v>165.3</v>
      </c>
      <c r="AB357" s="30" t="s">
        <v>1499</v>
      </c>
      <c r="AC357" s="56"/>
      <c r="AE357" s="4" t="str">
        <f t="shared" si="25"/>
        <v>ORD-2024-585443</v>
      </c>
      <c r="AF357" s="4" t="str">
        <f t="shared" si="26"/>
        <v>Americas</v>
      </c>
      <c r="AG357" s="4" t="str">
        <f t="shared" si="27"/>
        <v>Q3</v>
      </c>
      <c r="AH357" s="19">
        <f t="shared" si="28"/>
        <v>165.3</v>
      </c>
      <c r="AI357" s="11" t="str">
        <f t="shared" si="29"/>
        <v>0.1-0.2</v>
      </c>
    </row>
    <row r="358" spans="24:35" x14ac:dyDescent="0.25">
      <c r="X358" t="s">
        <v>138</v>
      </c>
      <c r="Y358" t="s">
        <v>648</v>
      </c>
      <c r="Z358" t="s">
        <v>1508</v>
      </c>
      <c r="AA358" s="19">
        <v>1363.51</v>
      </c>
      <c r="AB358" s="30" t="s">
        <v>1498</v>
      </c>
      <c r="AC358" s="56"/>
      <c r="AE358" s="4" t="str">
        <f t="shared" si="25"/>
        <v>ORD-2024-588972</v>
      </c>
      <c r="AF358" s="4" t="str">
        <f t="shared" si="26"/>
        <v>Americas</v>
      </c>
      <c r="AG358" s="4" t="str">
        <f t="shared" si="27"/>
        <v>Q4</v>
      </c>
      <c r="AH358" s="19">
        <f t="shared" si="28"/>
        <v>1363.51</v>
      </c>
      <c r="AI358" s="11" t="str">
        <f t="shared" si="29"/>
        <v>0-0.1</v>
      </c>
    </row>
    <row r="359" spans="24:35" x14ac:dyDescent="0.25">
      <c r="X359" t="s">
        <v>23</v>
      </c>
      <c r="Y359" t="s">
        <v>646</v>
      </c>
      <c r="Z359" t="s">
        <v>1506</v>
      </c>
      <c r="AA359" s="19">
        <v>1295.3399999999999</v>
      </c>
      <c r="AB359" s="30" t="s">
        <v>1498</v>
      </c>
      <c r="AC359" s="56"/>
      <c r="AE359" s="4" t="str">
        <f t="shared" si="25"/>
        <v>ORD-2024-589570</v>
      </c>
      <c r="AF359" s="4" t="str">
        <f t="shared" si="26"/>
        <v>Africa</v>
      </c>
      <c r="AG359" s="4" t="str">
        <f t="shared" si="27"/>
        <v>Q2</v>
      </c>
      <c r="AH359" s="19">
        <f t="shared" si="28"/>
        <v>1295.3399999999999</v>
      </c>
      <c r="AI359" s="11" t="str">
        <f t="shared" si="29"/>
        <v>0-0.1</v>
      </c>
    </row>
    <row r="360" spans="24:35" x14ac:dyDescent="0.25">
      <c r="X360" t="s">
        <v>597</v>
      </c>
      <c r="Y360" t="s">
        <v>647</v>
      </c>
      <c r="Z360" t="s">
        <v>1507</v>
      </c>
      <c r="AA360" s="19">
        <v>1368.17</v>
      </c>
      <c r="AB360" s="30" t="s">
        <v>1499</v>
      </c>
      <c r="AC360" s="56"/>
      <c r="AE360" s="4" t="str">
        <f t="shared" si="25"/>
        <v>ORD-2024-594527</v>
      </c>
      <c r="AF360" s="4" t="str">
        <f t="shared" si="26"/>
        <v>Asia</v>
      </c>
      <c r="AG360" s="4" t="str">
        <f t="shared" si="27"/>
        <v>Q3</v>
      </c>
      <c r="AH360" s="19">
        <f t="shared" si="28"/>
        <v>1368.17</v>
      </c>
      <c r="AI360" s="11" t="str">
        <f t="shared" si="29"/>
        <v>0.1-0.2</v>
      </c>
    </row>
    <row r="361" spans="24:35" x14ac:dyDescent="0.25">
      <c r="X361" t="s">
        <v>101</v>
      </c>
      <c r="Y361" t="s">
        <v>647</v>
      </c>
      <c r="Z361" t="s">
        <v>1506</v>
      </c>
      <c r="AA361" s="19">
        <v>1366.48</v>
      </c>
      <c r="AB361" s="30" t="s">
        <v>1499</v>
      </c>
      <c r="AC361" s="56"/>
      <c r="AE361" s="4" t="str">
        <f t="shared" si="25"/>
        <v>ORD-2024-594592</v>
      </c>
      <c r="AF361" s="4" t="str">
        <f t="shared" si="26"/>
        <v>Asia</v>
      </c>
      <c r="AG361" s="4" t="str">
        <f t="shared" si="27"/>
        <v>Q2</v>
      </c>
      <c r="AH361" s="19">
        <f t="shared" si="28"/>
        <v>1366.48</v>
      </c>
      <c r="AI361" s="11" t="str">
        <f t="shared" si="29"/>
        <v>0.1-0.2</v>
      </c>
    </row>
    <row r="362" spans="24:35" x14ac:dyDescent="0.25">
      <c r="X362" t="s">
        <v>53</v>
      </c>
      <c r="Y362" t="s">
        <v>646</v>
      </c>
      <c r="Z362" t="s">
        <v>1506</v>
      </c>
      <c r="AA362" s="19">
        <v>865.33</v>
      </c>
      <c r="AB362" s="30" t="s">
        <v>1499</v>
      </c>
      <c r="AC362" s="56"/>
      <c r="AE362" s="4" t="str">
        <f t="shared" si="25"/>
        <v>ORD-2024-599522</v>
      </c>
      <c r="AF362" s="4" t="str">
        <f t="shared" si="26"/>
        <v>Africa</v>
      </c>
      <c r="AG362" s="4" t="str">
        <f t="shared" si="27"/>
        <v>Q2</v>
      </c>
      <c r="AH362" s="19">
        <f t="shared" si="28"/>
        <v>865.33</v>
      </c>
      <c r="AI362" s="11" t="str">
        <f t="shared" si="29"/>
        <v>0.1-0.2</v>
      </c>
    </row>
    <row r="363" spans="24:35" x14ac:dyDescent="0.25">
      <c r="X363" t="s">
        <v>103</v>
      </c>
      <c r="Y363" t="s">
        <v>647</v>
      </c>
      <c r="Z363" t="s">
        <v>1505</v>
      </c>
      <c r="AA363" s="19">
        <v>523.70000000000005</v>
      </c>
      <c r="AB363" s="30" t="s">
        <v>1498</v>
      </c>
      <c r="AC363" s="56"/>
      <c r="AE363" s="4" t="str">
        <f t="shared" si="25"/>
        <v>ORD-2024-604471</v>
      </c>
      <c r="AF363" s="4" t="str">
        <f t="shared" si="26"/>
        <v>Asia</v>
      </c>
      <c r="AG363" s="4" t="str">
        <f t="shared" si="27"/>
        <v>Q1</v>
      </c>
      <c r="AH363" s="19">
        <f t="shared" si="28"/>
        <v>523.70000000000005</v>
      </c>
      <c r="AI363" s="11" t="str">
        <f t="shared" si="29"/>
        <v>0-0.1</v>
      </c>
    </row>
    <row r="364" spans="24:35" x14ac:dyDescent="0.25">
      <c r="X364" t="s">
        <v>143</v>
      </c>
      <c r="Y364" t="s">
        <v>648</v>
      </c>
      <c r="Z364" t="s">
        <v>1506</v>
      </c>
      <c r="AA364" s="19">
        <v>157.78</v>
      </c>
      <c r="AB364" s="30" t="s">
        <v>1499</v>
      </c>
      <c r="AC364" s="56"/>
      <c r="AE364" s="4" t="str">
        <f t="shared" si="25"/>
        <v>ORD-2024-605518</v>
      </c>
      <c r="AF364" s="4" t="str">
        <f t="shared" si="26"/>
        <v>Americas</v>
      </c>
      <c r="AG364" s="4" t="str">
        <f t="shared" si="27"/>
        <v>Q2</v>
      </c>
      <c r="AH364" s="19">
        <f t="shared" si="28"/>
        <v>157.78</v>
      </c>
      <c r="AI364" s="11" t="str">
        <f t="shared" si="29"/>
        <v>0.1-0.2</v>
      </c>
    </row>
    <row r="365" spans="24:35" x14ac:dyDescent="0.25">
      <c r="X365" t="s">
        <v>185</v>
      </c>
      <c r="Y365" t="s">
        <v>647</v>
      </c>
      <c r="Z365" t="s">
        <v>1507</v>
      </c>
      <c r="AA365" s="19">
        <v>801.77</v>
      </c>
      <c r="AB365" s="30" t="s">
        <v>1500</v>
      </c>
      <c r="AC365" s="56"/>
      <c r="AE365" s="4" t="str">
        <f t="shared" si="25"/>
        <v>ORD-2024-605629</v>
      </c>
      <c r="AF365" s="4" t="str">
        <f t="shared" si="26"/>
        <v>Asia</v>
      </c>
      <c r="AG365" s="4" t="str">
        <f t="shared" si="27"/>
        <v>Q3</v>
      </c>
      <c r="AH365" s="19">
        <f t="shared" si="28"/>
        <v>801.77</v>
      </c>
      <c r="AI365" s="11" t="str">
        <f t="shared" si="29"/>
        <v>0.2-0.3</v>
      </c>
    </row>
    <row r="366" spans="24:35" x14ac:dyDescent="0.25">
      <c r="X366" t="s">
        <v>415</v>
      </c>
      <c r="Y366" t="s">
        <v>648</v>
      </c>
      <c r="Z366" t="s">
        <v>1507</v>
      </c>
      <c r="AA366" s="19">
        <v>850.7</v>
      </c>
      <c r="AB366" s="30" t="s">
        <v>1499</v>
      </c>
      <c r="AC366" s="56"/>
      <c r="AE366" s="4" t="str">
        <f t="shared" si="25"/>
        <v>ORD-2024-626750</v>
      </c>
      <c r="AF366" s="4" t="str">
        <f t="shared" si="26"/>
        <v>Americas</v>
      </c>
      <c r="AG366" s="4" t="str">
        <f t="shared" si="27"/>
        <v>Q3</v>
      </c>
      <c r="AH366" s="19">
        <f t="shared" si="28"/>
        <v>850.7</v>
      </c>
      <c r="AI366" s="11" t="str">
        <f t="shared" si="29"/>
        <v>0.1-0.2</v>
      </c>
    </row>
    <row r="367" spans="24:35" x14ac:dyDescent="0.25">
      <c r="X367" t="s">
        <v>556</v>
      </c>
      <c r="Y367" t="s">
        <v>647</v>
      </c>
      <c r="Z367" t="s">
        <v>1506</v>
      </c>
      <c r="AA367" s="19">
        <v>1370.28</v>
      </c>
      <c r="AB367" s="30" t="s">
        <v>1499</v>
      </c>
      <c r="AC367" s="56"/>
      <c r="AE367" s="4" t="str">
        <f t="shared" si="25"/>
        <v>ORD-2024-626925</v>
      </c>
      <c r="AF367" s="4" t="str">
        <f t="shared" si="26"/>
        <v>Asia</v>
      </c>
      <c r="AG367" s="4" t="str">
        <f t="shared" si="27"/>
        <v>Q2</v>
      </c>
      <c r="AH367" s="19">
        <f t="shared" si="28"/>
        <v>1370.28</v>
      </c>
      <c r="AI367" s="11" t="str">
        <f t="shared" si="29"/>
        <v>0.1-0.2</v>
      </c>
    </row>
    <row r="368" spans="24:35" x14ac:dyDescent="0.25">
      <c r="X368" t="s">
        <v>48</v>
      </c>
      <c r="Y368" t="s">
        <v>649</v>
      </c>
      <c r="Z368" t="s">
        <v>1506</v>
      </c>
      <c r="AA368" s="19">
        <v>645.33000000000004</v>
      </c>
      <c r="AB368" s="30" t="s">
        <v>1498</v>
      </c>
      <c r="AC368" s="56"/>
      <c r="AE368" s="4" t="str">
        <f t="shared" si="25"/>
        <v>ORD-2024-629525</v>
      </c>
      <c r="AF368" s="4" t="str">
        <f t="shared" si="26"/>
        <v>Europe</v>
      </c>
      <c r="AG368" s="4" t="str">
        <f t="shared" si="27"/>
        <v>Q2</v>
      </c>
      <c r="AH368" s="19">
        <f t="shared" si="28"/>
        <v>645.33000000000004</v>
      </c>
      <c r="AI368" s="11" t="str">
        <f t="shared" si="29"/>
        <v>0-0.1</v>
      </c>
    </row>
    <row r="369" spans="24:35" x14ac:dyDescent="0.25">
      <c r="X369" t="s">
        <v>55</v>
      </c>
      <c r="Y369" t="s">
        <v>649</v>
      </c>
      <c r="Z369" t="s">
        <v>1507</v>
      </c>
      <c r="AA369" s="19">
        <v>1024.01</v>
      </c>
      <c r="AB369" s="30" t="s">
        <v>1498</v>
      </c>
      <c r="AC369" s="56"/>
      <c r="AE369" s="4" t="str">
        <f t="shared" si="25"/>
        <v>ORD-2024-635626</v>
      </c>
      <c r="AF369" s="4" t="str">
        <f t="shared" si="26"/>
        <v>Europe</v>
      </c>
      <c r="AG369" s="4" t="str">
        <f t="shared" si="27"/>
        <v>Q3</v>
      </c>
      <c r="AH369" s="19">
        <f t="shared" si="28"/>
        <v>1024.01</v>
      </c>
      <c r="AI369" s="11" t="str">
        <f t="shared" si="29"/>
        <v>0-0.1</v>
      </c>
    </row>
    <row r="370" spans="24:35" x14ac:dyDescent="0.25">
      <c r="X370" t="s">
        <v>112</v>
      </c>
      <c r="Y370" t="s">
        <v>646</v>
      </c>
      <c r="Z370" t="s">
        <v>1506</v>
      </c>
      <c r="AA370" s="19">
        <v>1227.08</v>
      </c>
      <c r="AB370" s="30" t="s">
        <v>1498</v>
      </c>
      <c r="AC370" s="56"/>
      <c r="AE370" s="4" t="str">
        <f t="shared" si="25"/>
        <v>ORD-2024-638884</v>
      </c>
      <c r="AF370" s="4" t="str">
        <f t="shared" si="26"/>
        <v>Africa</v>
      </c>
      <c r="AG370" s="4" t="str">
        <f t="shared" si="27"/>
        <v>Q2</v>
      </c>
      <c r="AH370" s="19">
        <f t="shared" si="28"/>
        <v>1227.08</v>
      </c>
      <c r="AI370" s="11" t="str">
        <f t="shared" si="29"/>
        <v>0-0.1</v>
      </c>
    </row>
    <row r="371" spans="24:35" x14ac:dyDescent="0.25">
      <c r="X371" t="s">
        <v>199</v>
      </c>
      <c r="Y371" t="s">
        <v>646</v>
      </c>
      <c r="Z371" t="s">
        <v>1508</v>
      </c>
      <c r="AA371" s="19">
        <v>1023.06</v>
      </c>
      <c r="AB371" s="30" t="s">
        <v>1499</v>
      </c>
      <c r="AC371" s="56"/>
      <c r="AE371" s="4" t="str">
        <f t="shared" si="25"/>
        <v>ORD-2024-640340</v>
      </c>
      <c r="AF371" s="4" t="str">
        <f t="shared" si="26"/>
        <v>Africa</v>
      </c>
      <c r="AG371" s="4" t="str">
        <f t="shared" si="27"/>
        <v>Q4</v>
      </c>
      <c r="AH371" s="19">
        <f t="shared" si="28"/>
        <v>1023.06</v>
      </c>
      <c r="AI371" s="11" t="str">
        <f t="shared" si="29"/>
        <v>0.1-0.2</v>
      </c>
    </row>
    <row r="372" spans="24:35" x14ac:dyDescent="0.25">
      <c r="X372" t="s">
        <v>490</v>
      </c>
      <c r="Y372" t="s">
        <v>649</v>
      </c>
      <c r="Z372" t="s">
        <v>1506</v>
      </c>
      <c r="AA372" s="19">
        <v>210.76</v>
      </c>
      <c r="AB372" s="30" t="s">
        <v>1498</v>
      </c>
      <c r="AC372" s="56"/>
      <c r="AE372" s="4" t="str">
        <f t="shared" si="25"/>
        <v>ORD-2024-641220</v>
      </c>
      <c r="AF372" s="4" t="str">
        <f t="shared" si="26"/>
        <v>Europe</v>
      </c>
      <c r="AG372" s="4" t="str">
        <f t="shared" si="27"/>
        <v>Q2</v>
      </c>
      <c r="AH372" s="19">
        <f t="shared" si="28"/>
        <v>210.76</v>
      </c>
      <c r="AI372" s="11" t="str">
        <f t="shared" si="29"/>
        <v>0-0.1</v>
      </c>
    </row>
    <row r="373" spans="24:35" x14ac:dyDescent="0.25">
      <c r="X373" t="s">
        <v>357</v>
      </c>
      <c r="Y373" t="s">
        <v>647</v>
      </c>
      <c r="Z373" t="s">
        <v>1505</v>
      </c>
      <c r="AA373" s="19">
        <v>1231.8</v>
      </c>
      <c r="AB373" s="30" t="s">
        <v>1500</v>
      </c>
      <c r="AC373" s="56"/>
      <c r="AE373" s="4" t="str">
        <f t="shared" si="25"/>
        <v>ORD-2024-647473</v>
      </c>
      <c r="AF373" s="4" t="str">
        <f t="shared" si="26"/>
        <v>Asia</v>
      </c>
      <c r="AG373" s="4" t="str">
        <f t="shared" si="27"/>
        <v>Q1</v>
      </c>
      <c r="AH373" s="19">
        <f t="shared" si="28"/>
        <v>1231.8</v>
      </c>
      <c r="AI373" s="11" t="str">
        <f t="shared" si="29"/>
        <v>0.2-0.3</v>
      </c>
    </row>
    <row r="374" spans="24:35" x14ac:dyDescent="0.25">
      <c r="X374" t="s">
        <v>487</v>
      </c>
      <c r="Y374" t="s">
        <v>646</v>
      </c>
      <c r="Z374" t="s">
        <v>1505</v>
      </c>
      <c r="AA374" s="19">
        <v>834.93</v>
      </c>
      <c r="AB374" s="30" t="s">
        <v>1499</v>
      </c>
      <c r="AC374" s="56"/>
      <c r="AE374" s="4" t="str">
        <f t="shared" si="25"/>
        <v>ORD-2024-647571</v>
      </c>
      <c r="AF374" s="4" t="str">
        <f t="shared" si="26"/>
        <v>Africa</v>
      </c>
      <c r="AG374" s="4" t="str">
        <f t="shared" si="27"/>
        <v>Q1</v>
      </c>
      <c r="AH374" s="19">
        <f t="shared" si="28"/>
        <v>834.93</v>
      </c>
      <c r="AI374" s="11" t="str">
        <f t="shared" si="29"/>
        <v>0.1-0.2</v>
      </c>
    </row>
    <row r="375" spans="24:35" x14ac:dyDescent="0.25">
      <c r="X375" t="s">
        <v>445</v>
      </c>
      <c r="Y375" t="s">
        <v>647</v>
      </c>
      <c r="Z375" t="s">
        <v>1508</v>
      </c>
      <c r="AA375" s="19">
        <v>1201.31</v>
      </c>
      <c r="AB375" s="30" t="s">
        <v>1498</v>
      </c>
      <c r="AC375" s="56"/>
      <c r="AE375" s="4" t="str">
        <f t="shared" si="25"/>
        <v>ORD-2024-651852</v>
      </c>
      <c r="AF375" s="4" t="str">
        <f t="shared" si="26"/>
        <v>Asia</v>
      </c>
      <c r="AG375" s="4" t="str">
        <f t="shared" si="27"/>
        <v>Q4</v>
      </c>
      <c r="AH375" s="19">
        <f t="shared" si="28"/>
        <v>1201.31</v>
      </c>
      <c r="AI375" s="11" t="str">
        <f t="shared" si="29"/>
        <v>0-0.1</v>
      </c>
    </row>
    <row r="376" spans="24:35" x14ac:dyDescent="0.25">
      <c r="X376" t="s">
        <v>430</v>
      </c>
      <c r="Y376" t="s">
        <v>647</v>
      </c>
      <c r="Z376" t="s">
        <v>1508</v>
      </c>
      <c r="AA376" s="19">
        <v>851.49</v>
      </c>
      <c r="AB376" s="30" t="s">
        <v>1500</v>
      </c>
      <c r="AC376" s="56"/>
      <c r="AE376" s="4" t="str">
        <f t="shared" si="25"/>
        <v>ORD-2024-655710</v>
      </c>
      <c r="AF376" s="4" t="str">
        <f t="shared" si="26"/>
        <v>Asia</v>
      </c>
      <c r="AG376" s="4" t="str">
        <f t="shared" si="27"/>
        <v>Q4</v>
      </c>
      <c r="AH376" s="19">
        <f t="shared" si="28"/>
        <v>851.49</v>
      </c>
      <c r="AI376" s="11" t="str">
        <f t="shared" si="29"/>
        <v>0.2-0.3</v>
      </c>
    </row>
    <row r="377" spans="24:35" x14ac:dyDescent="0.25">
      <c r="X377" t="s">
        <v>264</v>
      </c>
      <c r="Y377" t="s">
        <v>648</v>
      </c>
      <c r="Z377" t="s">
        <v>1507</v>
      </c>
      <c r="AA377" s="19">
        <v>462.94</v>
      </c>
      <c r="AB377" s="30" t="s">
        <v>1499</v>
      </c>
      <c r="AC377" s="56"/>
      <c r="AE377" s="4" t="str">
        <f t="shared" si="25"/>
        <v>ORD-2024-664046</v>
      </c>
      <c r="AF377" s="4" t="str">
        <f t="shared" si="26"/>
        <v>Americas</v>
      </c>
      <c r="AG377" s="4" t="str">
        <f t="shared" si="27"/>
        <v>Q3</v>
      </c>
      <c r="AH377" s="19">
        <f t="shared" si="28"/>
        <v>462.94</v>
      </c>
      <c r="AI377" s="11" t="str">
        <f t="shared" si="29"/>
        <v>0.1-0.2</v>
      </c>
    </row>
    <row r="378" spans="24:35" x14ac:dyDescent="0.25">
      <c r="X378" t="s">
        <v>210</v>
      </c>
      <c r="Y378" t="s">
        <v>647</v>
      </c>
      <c r="Z378" t="s">
        <v>1508</v>
      </c>
      <c r="AA378" s="19">
        <v>1406.4</v>
      </c>
      <c r="AB378" s="30" t="s">
        <v>1499</v>
      </c>
      <c r="AC378" s="56"/>
      <c r="AE378" s="4" t="str">
        <f t="shared" si="25"/>
        <v>ORD-2024-668926</v>
      </c>
      <c r="AF378" s="4" t="str">
        <f t="shared" si="26"/>
        <v>Asia</v>
      </c>
      <c r="AG378" s="4" t="str">
        <f t="shared" si="27"/>
        <v>Q4</v>
      </c>
      <c r="AH378" s="19">
        <f t="shared" si="28"/>
        <v>1406.4</v>
      </c>
      <c r="AI378" s="11" t="str">
        <f t="shared" si="29"/>
        <v>0.1-0.2</v>
      </c>
    </row>
    <row r="379" spans="24:35" x14ac:dyDescent="0.25">
      <c r="X379" t="s">
        <v>417</v>
      </c>
      <c r="Y379" t="s">
        <v>649</v>
      </c>
      <c r="Z379" t="s">
        <v>1507</v>
      </c>
      <c r="AA379" s="19">
        <v>501.5</v>
      </c>
      <c r="AB379" s="30" t="s">
        <v>1499</v>
      </c>
      <c r="AC379" s="56"/>
      <c r="AE379" s="4" t="str">
        <f t="shared" si="25"/>
        <v>ORD-2024-678110</v>
      </c>
      <c r="AF379" s="4" t="str">
        <f t="shared" si="26"/>
        <v>Europe</v>
      </c>
      <c r="AG379" s="4" t="str">
        <f t="shared" si="27"/>
        <v>Q3</v>
      </c>
      <c r="AH379" s="19">
        <f t="shared" si="28"/>
        <v>501.5</v>
      </c>
      <c r="AI379" s="11" t="str">
        <f t="shared" si="29"/>
        <v>0.1-0.2</v>
      </c>
    </row>
    <row r="380" spans="24:35" x14ac:dyDescent="0.25">
      <c r="X380" t="s">
        <v>224</v>
      </c>
      <c r="Y380" t="s">
        <v>646</v>
      </c>
      <c r="Z380" t="s">
        <v>1508</v>
      </c>
      <c r="AA380" s="19">
        <v>1095.6099999999999</v>
      </c>
      <c r="AB380" s="30" t="s">
        <v>1499</v>
      </c>
      <c r="AC380" s="56"/>
      <c r="AE380" s="4" t="str">
        <f t="shared" si="25"/>
        <v>ORD-2024-686712</v>
      </c>
      <c r="AF380" s="4" t="str">
        <f t="shared" si="26"/>
        <v>Africa</v>
      </c>
      <c r="AG380" s="4" t="str">
        <f t="shared" si="27"/>
        <v>Q4</v>
      </c>
      <c r="AH380" s="19">
        <f t="shared" si="28"/>
        <v>1095.6099999999999</v>
      </c>
      <c r="AI380" s="11" t="str">
        <f t="shared" si="29"/>
        <v>0.1-0.2</v>
      </c>
    </row>
    <row r="381" spans="24:35" x14ac:dyDescent="0.25">
      <c r="X381" t="s">
        <v>572</v>
      </c>
      <c r="Y381" t="s">
        <v>648</v>
      </c>
      <c r="Z381" t="s">
        <v>1505</v>
      </c>
      <c r="AA381" s="19">
        <v>710.98</v>
      </c>
      <c r="AB381" s="30" t="s">
        <v>1500</v>
      </c>
      <c r="AC381" s="56"/>
      <c r="AE381" s="4" t="str">
        <f t="shared" si="25"/>
        <v>ORD-2024-687073</v>
      </c>
      <c r="AF381" s="4" t="str">
        <f t="shared" si="26"/>
        <v>Americas</v>
      </c>
      <c r="AG381" s="4" t="str">
        <f t="shared" si="27"/>
        <v>Q1</v>
      </c>
      <c r="AH381" s="19">
        <f t="shared" si="28"/>
        <v>710.98</v>
      </c>
      <c r="AI381" s="11" t="str">
        <f t="shared" si="29"/>
        <v>0.2-0.3</v>
      </c>
    </row>
    <row r="382" spans="24:35" x14ac:dyDescent="0.25">
      <c r="X382" t="s">
        <v>222</v>
      </c>
      <c r="Y382" t="s">
        <v>646</v>
      </c>
      <c r="Z382" t="s">
        <v>1507</v>
      </c>
      <c r="AA382" s="19">
        <v>1248.3900000000001</v>
      </c>
      <c r="AB382" s="30" t="s">
        <v>1500</v>
      </c>
      <c r="AC382" s="56"/>
      <c r="AE382" s="4" t="str">
        <f t="shared" si="25"/>
        <v>ORD-2024-687100</v>
      </c>
      <c r="AF382" s="4" t="str">
        <f t="shared" si="26"/>
        <v>Africa</v>
      </c>
      <c r="AG382" s="4" t="str">
        <f t="shared" si="27"/>
        <v>Q3</v>
      </c>
      <c r="AH382" s="19">
        <f t="shared" si="28"/>
        <v>1248.3900000000001</v>
      </c>
      <c r="AI382" s="11" t="str">
        <f t="shared" si="29"/>
        <v>0.2-0.3</v>
      </c>
    </row>
    <row r="383" spans="24:35" x14ac:dyDescent="0.25">
      <c r="X383" t="s">
        <v>598</v>
      </c>
      <c r="Y383" t="s">
        <v>646</v>
      </c>
      <c r="Z383" t="s">
        <v>1507</v>
      </c>
      <c r="AA383" s="19">
        <v>643.21</v>
      </c>
      <c r="AB383" s="30" t="s">
        <v>1499</v>
      </c>
      <c r="AC383" s="56"/>
      <c r="AE383" s="4" t="str">
        <f t="shared" si="25"/>
        <v>ORD-2024-689872</v>
      </c>
      <c r="AF383" s="4" t="str">
        <f t="shared" si="26"/>
        <v>Africa</v>
      </c>
      <c r="AG383" s="4" t="str">
        <f t="shared" si="27"/>
        <v>Q3</v>
      </c>
      <c r="AH383" s="19">
        <f t="shared" si="28"/>
        <v>643.21</v>
      </c>
      <c r="AI383" s="11" t="str">
        <f t="shared" si="29"/>
        <v>0.1-0.2</v>
      </c>
    </row>
    <row r="384" spans="24:35" x14ac:dyDescent="0.25">
      <c r="X384" t="s">
        <v>388</v>
      </c>
      <c r="Y384" t="s">
        <v>648</v>
      </c>
      <c r="Z384" t="s">
        <v>1506</v>
      </c>
      <c r="AA384" s="19">
        <v>1484.23</v>
      </c>
      <c r="AB384" s="30" t="s">
        <v>1500</v>
      </c>
      <c r="AC384" s="56"/>
      <c r="AE384" s="4" t="str">
        <f t="shared" si="25"/>
        <v>ORD-2024-690270</v>
      </c>
      <c r="AF384" s="4" t="str">
        <f t="shared" si="26"/>
        <v>Americas</v>
      </c>
      <c r="AG384" s="4" t="str">
        <f t="shared" si="27"/>
        <v>Q2</v>
      </c>
      <c r="AH384" s="19">
        <f t="shared" si="28"/>
        <v>1484.23</v>
      </c>
      <c r="AI384" s="11" t="str">
        <f t="shared" si="29"/>
        <v>0.2-0.3</v>
      </c>
    </row>
    <row r="385" spans="24:35" x14ac:dyDescent="0.25">
      <c r="X385" t="s">
        <v>51</v>
      </c>
      <c r="Y385" t="s">
        <v>649</v>
      </c>
      <c r="Z385" t="s">
        <v>1505</v>
      </c>
      <c r="AA385" s="19">
        <v>712.84</v>
      </c>
      <c r="AB385" s="30" t="s">
        <v>1500</v>
      </c>
      <c r="AC385" s="56"/>
      <c r="AE385" s="4" t="str">
        <f t="shared" si="25"/>
        <v>ORD-2024-692673</v>
      </c>
      <c r="AF385" s="4" t="str">
        <f t="shared" si="26"/>
        <v>Europe</v>
      </c>
      <c r="AG385" s="4" t="str">
        <f t="shared" si="27"/>
        <v>Q1</v>
      </c>
      <c r="AH385" s="19">
        <f t="shared" si="28"/>
        <v>712.84</v>
      </c>
      <c r="AI385" s="11" t="str">
        <f t="shared" si="29"/>
        <v>0.2-0.3</v>
      </c>
    </row>
    <row r="386" spans="24:35" x14ac:dyDescent="0.25">
      <c r="X386" t="s">
        <v>374</v>
      </c>
      <c r="Y386" t="s">
        <v>649</v>
      </c>
      <c r="Z386" t="s">
        <v>1506</v>
      </c>
      <c r="AA386" s="19">
        <v>951.44</v>
      </c>
      <c r="AB386" s="30" t="s">
        <v>1499</v>
      </c>
      <c r="AC386" s="56"/>
      <c r="AE386" s="4" t="str">
        <f t="shared" si="25"/>
        <v>ORD-2024-704056</v>
      </c>
      <c r="AF386" s="4" t="str">
        <f t="shared" si="26"/>
        <v>Europe</v>
      </c>
      <c r="AG386" s="4" t="str">
        <f t="shared" si="27"/>
        <v>Q2</v>
      </c>
      <c r="AH386" s="19">
        <f t="shared" si="28"/>
        <v>951.44</v>
      </c>
      <c r="AI386" s="11" t="str">
        <f t="shared" si="29"/>
        <v>0.1-0.2</v>
      </c>
    </row>
    <row r="387" spans="24:35" x14ac:dyDescent="0.25">
      <c r="X387" t="s">
        <v>542</v>
      </c>
      <c r="Y387" t="s">
        <v>646</v>
      </c>
      <c r="Z387" t="s">
        <v>1506</v>
      </c>
      <c r="AA387" s="19">
        <v>1208.74</v>
      </c>
      <c r="AB387" s="30" t="s">
        <v>1498</v>
      </c>
      <c r="AC387" s="56"/>
      <c r="AE387" s="4" t="str">
        <f t="shared" si="25"/>
        <v>ORD-2024-713332</v>
      </c>
      <c r="AF387" s="4" t="str">
        <f t="shared" si="26"/>
        <v>Africa</v>
      </c>
      <c r="AG387" s="4" t="str">
        <f t="shared" si="27"/>
        <v>Q2</v>
      </c>
      <c r="AH387" s="19">
        <f t="shared" si="28"/>
        <v>1208.74</v>
      </c>
      <c r="AI387" s="11" t="str">
        <f t="shared" si="29"/>
        <v>0-0.1</v>
      </c>
    </row>
    <row r="388" spans="24:35" x14ac:dyDescent="0.25">
      <c r="X388" t="s">
        <v>335</v>
      </c>
      <c r="Y388" t="s">
        <v>648</v>
      </c>
      <c r="Z388" t="s">
        <v>1505</v>
      </c>
      <c r="AA388" s="19">
        <v>404.77</v>
      </c>
      <c r="AB388" s="30" t="s">
        <v>1500</v>
      </c>
      <c r="AC388" s="56"/>
      <c r="AE388" s="4" t="str">
        <f t="shared" ref="AE388:AE451" si="30">X388</f>
        <v>ORD-2024-719055</v>
      </c>
      <c r="AF388" s="4" t="str">
        <f t="shared" ref="AF388:AF451" si="31">Y388</f>
        <v>Americas</v>
      </c>
      <c r="AG388" s="4" t="str">
        <f t="shared" ref="AG388:AG451" si="32">Z388</f>
        <v>Q1</v>
      </c>
      <c r="AH388" s="19">
        <f t="shared" ref="AH388:AH451" si="33">AA388</f>
        <v>404.77</v>
      </c>
      <c r="AI388" s="11" t="str">
        <f t="shared" ref="AI388:AI451" si="34">AB388</f>
        <v>0.2-0.3</v>
      </c>
    </row>
    <row r="389" spans="24:35" x14ac:dyDescent="0.25">
      <c r="X389" t="s">
        <v>232</v>
      </c>
      <c r="Y389" t="s">
        <v>647</v>
      </c>
      <c r="Z389" t="s">
        <v>1508</v>
      </c>
      <c r="AA389" s="19">
        <v>391.64</v>
      </c>
      <c r="AB389" s="30" t="s">
        <v>1498</v>
      </c>
      <c r="AC389" s="56"/>
      <c r="AE389" s="4" t="str">
        <f t="shared" si="30"/>
        <v>ORD-2024-720756</v>
      </c>
      <c r="AF389" s="4" t="str">
        <f t="shared" si="31"/>
        <v>Asia</v>
      </c>
      <c r="AG389" s="4" t="str">
        <f t="shared" si="32"/>
        <v>Q4</v>
      </c>
      <c r="AH389" s="19">
        <f t="shared" si="33"/>
        <v>391.64</v>
      </c>
      <c r="AI389" s="11" t="str">
        <f t="shared" si="34"/>
        <v>0-0.1</v>
      </c>
    </row>
    <row r="390" spans="24:35" x14ac:dyDescent="0.25">
      <c r="X390" t="s">
        <v>511</v>
      </c>
      <c r="Y390" t="s">
        <v>649</v>
      </c>
      <c r="Z390" t="s">
        <v>1507</v>
      </c>
      <c r="AA390" s="19">
        <v>1133.08</v>
      </c>
      <c r="AB390" s="30" t="s">
        <v>1498</v>
      </c>
      <c r="AC390" s="56"/>
      <c r="AE390" s="4" t="str">
        <f t="shared" si="30"/>
        <v>ORD-2024-728474</v>
      </c>
      <c r="AF390" s="4" t="str">
        <f t="shared" si="31"/>
        <v>Europe</v>
      </c>
      <c r="AG390" s="4" t="str">
        <f t="shared" si="32"/>
        <v>Q3</v>
      </c>
      <c r="AH390" s="19">
        <f t="shared" si="33"/>
        <v>1133.08</v>
      </c>
      <c r="AI390" s="11" t="str">
        <f t="shared" si="34"/>
        <v>0-0.1</v>
      </c>
    </row>
    <row r="391" spans="24:35" x14ac:dyDescent="0.25">
      <c r="X391" t="s">
        <v>521</v>
      </c>
      <c r="Y391" t="s">
        <v>647</v>
      </c>
      <c r="Z391" t="s">
        <v>1508</v>
      </c>
      <c r="AA391" s="19">
        <v>1331.77</v>
      </c>
      <c r="AB391" s="30" t="s">
        <v>1498</v>
      </c>
      <c r="AC391" s="56"/>
      <c r="AE391" s="4" t="str">
        <f t="shared" si="30"/>
        <v>ORD-2024-732543</v>
      </c>
      <c r="AF391" s="4" t="str">
        <f t="shared" si="31"/>
        <v>Asia</v>
      </c>
      <c r="AG391" s="4" t="str">
        <f t="shared" si="32"/>
        <v>Q4</v>
      </c>
      <c r="AH391" s="19">
        <f t="shared" si="33"/>
        <v>1331.77</v>
      </c>
      <c r="AI391" s="11" t="str">
        <f t="shared" si="34"/>
        <v>0-0.1</v>
      </c>
    </row>
    <row r="392" spans="24:35" x14ac:dyDescent="0.25">
      <c r="X392" t="s">
        <v>626</v>
      </c>
      <c r="Y392" t="s">
        <v>648</v>
      </c>
      <c r="Z392" t="s">
        <v>1508</v>
      </c>
      <c r="AA392" s="19">
        <v>942.02</v>
      </c>
      <c r="AB392" s="30" t="s">
        <v>1498</v>
      </c>
      <c r="AC392" s="56"/>
      <c r="AE392" s="4" t="str">
        <f t="shared" si="30"/>
        <v>ORD-2024-741404</v>
      </c>
      <c r="AF392" s="4" t="str">
        <f t="shared" si="31"/>
        <v>Americas</v>
      </c>
      <c r="AG392" s="4" t="str">
        <f t="shared" si="32"/>
        <v>Q4</v>
      </c>
      <c r="AH392" s="19">
        <f t="shared" si="33"/>
        <v>942.02</v>
      </c>
      <c r="AI392" s="11" t="str">
        <f t="shared" si="34"/>
        <v>0-0.1</v>
      </c>
    </row>
    <row r="393" spans="24:35" x14ac:dyDescent="0.25">
      <c r="X393" t="s">
        <v>457</v>
      </c>
      <c r="Y393" t="s">
        <v>649</v>
      </c>
      <c r="Z393" t="s">
        <v>1507</v>
      </c>
      <c r="AA393" s="19">
        <v>90.04</v>
      </c>
      <c r="AB393" s="30" t="s">
        <v>1498</v>
      </c>
      <c r="AC393" s="56"/>
      <c r="AE393" s="4" t="str">
        <f t="shared" si="30"/>
        <v>ORD-2024-745424</v>
      </c>
      <c r="AF393" s="4" t="str">
        <f t="shared" si="31"/>
        <v>Europe</v>
      </c>
      <c r="AG393" s="4" t="str">
        <f t="shared" si="32"/>
        <v>Q3</v>
      </c>
      <c r="AH393" s="19">
        <f t="shared" si="33"/>
        <v>90.04</v>
      </c>
      <c r="AI393" s="11" t="str">
        <f t="shared" si="34"/>
        <v>0-0.1</v>
      </c>
    </row>
    <row r="394" spans="24:35" x14ac:dyDescent="0.25">
      <c r="X394" t="s">
        <v>286</v>
      </c>
      <c r="Y394" t="s">
        <v>649</v>
      </c>
      <c r="Z394" t="s">
        <v>1505</v>
      </c>
      <c r="AA394" s="19">
        <v>1025.51</v>
      </c>
      <c r="AB394" s="30" t="s">
        <v>1499</v>
      </c>
      <c r="AC394" s="56"/>
      <c r="AE394" s="4" t="str">
        <f t="shared" si="30"/>
        <v>ORD-2024-745822</v>
      </c>
      <c r="AF394" s="4" t="str">
        <f t="shared" si="31"/>
        <v>Europe</v>
      </c>
      <c r="AG394" s="4" t="str">
        <f t="shared" si="32"/>
        <v>Q1</v>
      </c>
      <c r="AH394" s="19">
        <f t="shared" si="33"/>
        <v>1025.51</v>
      </c>
      <c r="AI394" s="11" t="str">
        <f t="shared" si="34"/>
        <v>0.1-0.2</v>
      </c>
    </row>
    <row r="395" spans="24:35" x14ac:dyDescent="0.25">
      <c r="X395" t="s">
        <v>433</v>
      </c>
      <c r="Y395" t="s">
        <v>649</v>
      </c>
      <c r="Z395" t="s">
        <v>1505</v>
      </c>
      <c r="AA395" s="19">
        <v>504.93</v>
      </c>
      <c r="AB395" s="30" t="s">
        <v>1500</v>
      </c>
      <c r="AC395" s="56"/>
      <c r="AE395" s="4" t="str">
        <f t="shared" si="30"/>
        <v>ORD-2024-749242</v>
      </c>
      <c r="AF395" s="4" t="str">
        <f t="shared" si="31"/>
        <v>Europe</v>
      </c>
      <c r="AG395" s="4" t="str">
        <f t="shared" si="32"/>
        <v>Q1</v>
      </c>
      <c r="AH395" s="19">
        <f t="shared" si="33"/>
        <v>504.93</v>
      </c>
      <c r="AI395" s="11" t="str">
        <f t="shared" si="34"/>
        <v>0.2-0.3</v>
      </c>
    </row>
    <row r="396" spans="24:35" x14ac:dyDescent="0.25">
      <c r="X396" t="s">
        <v>633</v>
      </c>
      <c r="Y396" t="s">
        <v>649</v>
      </c>
      <c r="Z396" t="s">
        <v>1508</v>
      </c>
      <c r="AA396" s="19">
        <v>816.7</v>
      </c>
      <c r="AB396" s="30" t="s">
        <v>1498</v>
      </c>
      <c r="AC396" s="56"/>
      <c r="AE396" s="4" t="str">
        <f t="shared" si="30"/>
        <v>ORD-2024-756884</v>
      </c>
      <c r="AF396" s="4" t="str">
        <f t="shared" si="31"/>
        <v>Europe</v>
      </c>
      <c r="AG396" s="4" t="str">
        <f t="shared" si="32"/>
        <v>Q4</v>
      </c>
      <c r="AH396" s="19">
        <f t="shared" si="33"/>
        <v>816.7</v>
      </c>
      <c r="AI396" s="11" t="str">
        <f t="shared" si="34"/>
        <v>0-0.1</v>
      </c>
    </row>
    <row r="397" spans="24:35" x14ac:dyDescent="0.25">
      <c r="X397" t="s">
        <v>204</v>
      </c>
      <c r="Y397" t="s">
        <v>647</v>
      </c>
      <c r="Z397" t="s">
        <v>1505</v>
      </c>
      <c r="AA397" s="19">
        <v>993.75</v>
      </c>
      <c r="AB397" s="30" t="s">
        <v>1500</v>
      </c>
      <c r="AC397" s="56"/>
      <c r="AE397" s="4" t="str">
        <f t="shared" si="30"/>
        <v>ORD-2024-760799</v>
      </c>
      <c r="AF397" s="4" t="str">
        <f t="shared" si="31"/>
        <v>Asia</v>
      </c>
      <c r="AG397" s="4" t="str">
        <f t="shared" si="32"/>
        <v>Q1</v>
      </c>
      <c r="AH397" s="19">
        <f t="shared" si="33"/>
        <v>993.75</v>
      </c>
      <c r="AI397" s="11" t="str">
        <f t="shared" si="34"/>
        <v>0.2-0.3</v>
      </c>
    </row>
    <row r="398" spans="24:35" x14ac:dyDescent="0.25">
      <c r="X398" t="s">
        <v>171</v>
      </c>
      <c r="Y398" t="s">
        <v>649</v>
      </c>
      <c r="Z398" t="s">
        <v>1505</v>
      </c>
      <c r="AA398" s="19">
        <v>656.2</v>
      </c>
      <c r="AB398" s="30" t="s">
        <v>1498</v>
      </c>
      <c r="AC398" s="56"/>
      <c r="AE398" s="4" t="str">
        <f t="shared" si="30"/>
        <v>ORD-2024-764468</v>
      </c>
      <c r="AF398" s="4" t="str">
        <f t="shared" si="31"/>
        <v>Europe</v>
      </c>
      <c r="AG398" s="4" t="str">
        <f t="shared" si="32"/>
        <v>Q1</v>
      </c>
      <c r="AH398" s="19">
        <f t="shared" si="33"/>
        <v>656.2</v>
      </c>
      <c r="AI398" s="11" t="str">
        <f t="shared" si="34"/>
        <v>0-0.1</v>
      </c>
    </row>
    <row r="399" spans="24:35" x14ac:dyDescent="0.25">
      <c r="X399" t="s">
        <v>582</v>
      </c>
      <c r="Y399" t="s">
        <v>649</v>
      </c>
      <c r="Z399" t="s">
        <v>1508</v>
      </c>
      <c r="AA399" s="19">
        <v>740.68</v>
      </c>
      <c r="AB399" s="30" t="s">
        <v>1499</v>
      </c>
      <c r="AC399" s="56"/>
      <c r="AE399" s="4" t="str">
        <f t="shared" si="30"/>
        <v>ORD-2024-766980</v>
      </c>
      <c r="AF399" s="4" t="str">
        <f t="shared" si="31"/>
        <v>Europe</v>
      </c>
      <c r="AG399" s="4" t="str">
        <f t="shared" si="32"/>
        <v>Q4</v>
      </c>
      <c r="AH399" s="19">
        <f t="shared" si="33"/>
        <v>740.68</v>
      </c>
      <c r="AI399" s="11" t="str">
        <f t="shared" si="34"/>
        <v>0.1-0.2</v>
      </c>
    </row>
    <row r="400" spans="24:35" x14ac:dyDescent="0.25">
      <c r="X400" t="s">
        <v>119</v>
      </c>
      <c r="Y400" t="s">
        <v>647</v>
      </c>
      <c r="Z400" t="s">
        <v>1507</v>
      </c>
      <c r="AA400" s="19">
        <v>1405.56</v>
      </c>
      <c r="AB400" s="30" t="s">
        <v>1499</v>
      </c>
      <c r="AC400" s="56"/>
      <c r="AE400" s="4" t="str">
        <f t="shared" si="30"/>
        <v>ORD-2024-771210</v>
      </c>
      <c r="AF400" s="4" t="str">
        <f t="shared" si="31"/>
        <v>Asia</v>
      </c>
      <c r="AG400" s="4" t="str">
        <f t="shared" si="32"/>
        <v>Q3</v>
      </c>
      <c r="AH400" s="19">
        <f t="shared" si="33"/>
        <v>1405.56</v>
      </c>
      <c r="AI400" s="11" t="str">
        <f t="shared" si="34"/>
        <v>0.1-0.2</v>
      </c>
    </row>
    <row r="401" spans="24:35" x14ac:dyDescent="0.25">
      <c r="X401" t="s">
        <v>523</v>
      </c>
      <c r="Y401" t="s">
        <v>647</v>
      </c>
      <c r="Z401" t="s">
        <v>1508</v>
      </c>
      <c r="AA401" s="19">
        <v>903.41</v>
      </c>
      <c r="AB401" s="30" t="s">
        <v>1499</v>
      </c>
      <c r="AC401" s="56"/>
      <c r="AE401" s="4" t="str">
        <f t="shared" si="30"/>
        <v>ORD-2024-776337</v>
      </c>
      <c r="AF401" s="4" t="str">
        <f t="shared" si="31"/>
        <v>Asia</v>
      </c>
      <c r="AG401" s="4" t="str">
        <f t="shared" si="32"/>
        <v>Q4</v>
      </c>
      <c r="AH401" s="19">
        <f t="shared" si="33"/>
        <v>903.41</v>
      </c>
      <c r="AI401" s="11" t="str">
        <f t="shared" si="34"/>
        <v>0.1-0.2</v>
      </c>
    </row>
    <row r="402" spans="24:35" x14ac:dyDescent="0.25">
      <c r="X402" t="s">
        <v>233</v>
      </c>
      <c r="Y402" t="s">
        <v>648</v>
      </c>
      <c r="Z402" t="s">
        <v>1507</v>
      </c>
      <c r="AA402" s="19">
        <v>386.96</v>
      </c>
      <c r="AB402" s="30" t="s">
        <v>1500</v>
      </c>
      <c r="AC402" s="56"/>
      <c r="AE402" s="4" t="str">
        <f t="shared" si="30"/>
        <v>ORD-2024-777623</v>
      </c>
      <c r="AF402" s="4" t="str">
        <f t="shared" si="31"/>
        <v>Americas</v>
      </c>
      <c r="AG402" s="4" t="str">
        <f t="shared" si="32"/>
        <v>Q3</v>
      </c>
      <c r="AH402" s="19">
        <f t="shared" si="33"/>
        <v>386.96</v>
      </c>
      <c r="AI402" s="11" t="str">
        <f t="shared" si="34"/>
        <v>0.2-0.3</v>
      </c>
    </row>
    <row r="403" spans="24:35" x14ac:dyDescent="0.25">
      <c r="X403" t="s">
        <v>153</v>
      </c>
      <c r="Y403" t="s">
        <v>649</v>
      </c>
      <c r="Z403" t="s">
        <v>1508</v>
      </c>
      <c r="AA403" s="19">
        <v>1203.58</v>
      </c>
      <c r="AB403" s="30" t="s">
        <v>1499</v>
      </c>
      <c r="AC403" s="56"/>
      <c r="AE403" s="4" t="str">
        <f t="shared" si="30"/>
        <v>ORD-2024-783321</v>
      </c>
      <c r="AF403" s="4" t="str">
        <f t="shared" si="31"/>
        <v>Europe</v>
      </c>
      <c r="AG403" s="4" t="str">
        <f t="shared" si="32"/>
        <v>Q4</v>
      </c>
      <c r="AH403" s="19">
        <f t="shared" si="33"/>
        <v>1203.58</v>
      </c>
      <c r="AI403" s="11" t="str">
        <f t="shared" si="34"/>
        <v>0.1-0.2</v>
      </c>
    </row>
    <row r="404" spans="24:35" x14ac:dyDescent="0.25">
      <c r="X404" t="s">
        <v>480</v>
      </c>
      <c r="Y404" t="s">
        <v>646</v>
      </c>
      <c r="Z404" t="s">
        <v>1506</v>
      </c>
      <c r="AA404" s="19">
        <v>242.31</v>
      </c>
      <c r="AB404" s="30" t="s">
        <v>1500</v>
      </c>
      <c r="AC404" s="56"/>
      <c r="AE404" s="4" t="str">
        <f t="shared" si="30"/>
        <v>ORD-2024-787018</v>
      </c>
      <c r="AF404" s="4" t="str">
        <f t="shared" si="31"/>
        <v>Africa</v>
      </c>
      <c r="AG404" s="4" t="str">
        <f t="shared" si="32"/>
        <v>Q2</v>
      </c>
      <c r="AH404" s="19">
        <f t="shared" si="33"/>
        <v>242.31</v>
      </c>
      <c r="AI404" s="11" t="str">
        <f t="shared" si="34"/>
        <v>0.2-0.3</v>
      </c>
    </row>
    <row r="405" spans="24:35" x14ac:dyDescent="0.25">
      <c r="X405" t="s">
        <v>41</v>
      </c>
      <c r="Y405" t="s">
        <v>649</v>
      </c>
      <c r="Z405" t="s">
        <v>1508</v>
      </c>
      <c r="AA405" s="19">
        <v>117.64</v>
      </c>
      <c r="AB405" s="30" t="s">
        <v>1498</v>
      </c>
      <c r="AC405" s="56"/>
      <c r="AE405" s="4" t="str">
        <f t="shared" si="30"/>
        <v>ORD-2024-788105</v>
      </c>
      <c r="AF405" s="4" t="str">
        <f t="shared" si="31"/>
        <v>Europe</v>
      </c>
      <c r="AG405" s="4" t="str">
        <f t="shared" si="32"/>
        <v>Q4</v>
      </c>
      <c r="AH405" s="19">
        <f t="shared" si="33"/>
        <v>117.64</v>
      </c>
      <c r="AI405" s="11" t="str">
        <f t="shared" si="34"/>
        <v>0-0.1</v>
      </c>
    </row>
    <row r="406" spans="24:35" x14ac:dyDescent="0.25">
      <c r="X406" t="s">
        <v>310</v>
      </c>
      <c r="Y406" t="s">
        <v>648</v>
      </c>
      <c r="Z406" t="s">
        <v>1505</v>
      </c>
      <c r="AA406" s="19">
        <v>248.24</v>
      </c>
      <c r="AB406" s="30" t="s">
        <v>1499</v>
      </c>
      <c r="AC406" s="56"/>
      <c r="AE406" s="4" t="str">
        <f t="shared" si="30"/>
        <v>ORD-2024-792137</v>
      </c>
      <c r="AF406" s="4" t="str">
        <f t="shared" si="31"/>
        <v>Americas</v>
      </c>
      <c r="AG406" s="4" t="str">
        <f t="shared" si="32"/>
        <v>Q1</v>
      </c>
      <c r="AH406" s="19">
        <f t="shared" si="33"/>
        <v>248.24</v>
      </c>
      <c r="AI406" s="11" t="str">
        <f t="shared" si="34"/>
        <v>0.1-0.2</v>
      </c>
    </row>
    <row r="407" spans="24:35" x14ac:dyDescent="0.25">
      <c r="X407" t="s">
        <v>505</v>
      </c>
      <c r="Y407" t="s">
        <v>649</v>
      </c>
      <c r="Z407" t="s">
        <v>1507</v>
      </c>
      <c r="AA407" s="19">
        <v>297.58999999999997</v>
      </c>
      <c r="AB407" s="30" t="s">
        <v>1498</v>
      </c>
      <c r="AC407" s="56"/>
      <c r="AE407" s="4" t="str">
        <f t="shared" si="30"/>
        <v>ORD-2024-792353</v>
      </c>
      <c r="AF407" s="4" t="str">
        <f t="shared" si="31"/>
        <v>Europe</v>
      </c>
      <c r="AG407" s="4" t="str">
        <f t="shared" si="32"/>
        <v>Q3</v>
      </c>
      <c r="AH407" s="19">
        <f t="shared" si="33"/>
        <v>297.58999999999997</v>
      </c>
      <c r="AI407" s="11" t="str">
        <f t="shared" si="34"/>
        <v>0-0.1</v>
      </c>
    </row>
    <row r="408" spans="24:35" x14ac:dyDescent="0.25">
      <c r="X408" t="s">
        <v>123</v>
      </c>
      <c r="Y408" t="s">
        <v>647</v>
      </c>
      <c r="Z408" t="s">
        <v>1508</v>
      </c>
      <c r="AA408" s="19">
        <v>82.14</v>
      </c>
      <c r="AB408" s="30" t="s">
        <v>1498</v>
      </c>
      <c r="AC408" s="56"/>
      <c r="AE408" s="4" t="str">
        <f t="shared" si="30"/>
        <v>ORD-2024-792558</v>
      </c>
      <c r="AF408" s="4" t="str">
        <f t="shared" si="31"/>
        <v>Asia</v>
      </c>
      <c r="AG408" s="4" t="str">
        <f t="shared" si="32"/>
        <v>Q4</v>
      </c>
      <c r="AH408" s="19">
        <f t="shared" si="33"/>
        <v>82.14</v>
      </c>
      <c r="AI408" s="11" t="str">
        <f t="shared" si="34"/>
        <v>0-0.1</v>
      </c>
    </row>
    <row r="409" spans="24:35" x14ac:dyDescent="0.25">
      <c r="X409" t="s">
        <v>35</v>
      </c>
      <c r="Y409" t="s">
        <v>646</v>
      </c>
      <c r="Z409" t="s">
        <v>1507</v>
      </c>
      <c r="AA409" s="19">
        <v>1494.4</v>
      </c>
      <c r="AB409" s="30" t="s">
        <v>1498</v>
      </c>
      <c r="AC409" s="56"/>
      <c r="AE409" s="4" t="str">
        <f t="shared" si="30"/>
        <v>ORD-2024-798002</v>
      </c>
      <c r="AF409" s="4" t="str">
        <f t="shared" si="31"/>
        <v>Africa</v>
      </c>
      <c r="AG409" s="4" t="str">
        <f t="shared" si="32"/>
        <v>Q3</v>
      </c>
      <c r="AH409" s="19">
        <f t="shared" si="33"/>
        <v>1494.4</v>
      </c>
      <c r="AI409" s="11" t="str">
        <f t="shared" si="34"/>
        <v>0-0.1</v>
      </c>
    </row>
    <row r="410" spans="24:35" x14ac:dyDescent="0.25">
      <c r="X410" t="s">
        <v>88</v>
      </c>
      <c r="Y410" t="s">
        <v>647</v>
      </c>
      <c r="Z410" t="s">
        <v>1508</v>
      </c>
      <c r="AA410" s="19">
        <v>717.55</v>
      </c>
      <c r="AB410" s="30" t="s">
        <v>1498</v>
      </c>
      <c r="AC410" s="56"/>
      <c r="AE410" s="4" t="str">
        <f t="shared" si="30"/>
        <v>ORD-2024-800947</v>
      </c>
      <c r="AF410" s="4" t="str">
        <f t="shared" si="31"/>
        <v>Asia</v>
      </c>
      <c r="AG410" s="4" t="str">
        <f t="shared" si="32"/>
        <v>Q4</v>
      </c>
      <c r="AH410" s="19">
        <f t="shared" si="33"/>
        <v>717.55</v>
      </c>
      <c r="AI410" s="11" t="str">
        <f t="shared" si="34"/>
        <v>0-0.1</v>
      </c>
    </row>
    <row r="411" spans="24:35" x14ac:dyDescent="0.25">
      <c r="X411" t="s">
        <v>250</v>
      </c>
      <c r="Y411" t="s">
        <v>646</v>
      </c>
      <c r="Z411" t="s">
        <v>1507</v>
      </c>
      <c r="AA411" s="19">
        <v>1338.99</v>
      </c>
      <c r="AB411" s="30" t="s">
        <v>1499</v>
      </c>
      <c r="AC411" s="56"/>
      <c r="AE411" s="4" t="str">
        <f t="shared" si="30"/>
        <v>ORD-2024-805860</v>
      </c>
      <c r="AF411" s="4" t="str">
        <f t="shared" si="31"/>
        <v>Africa</v>
      </c>
      <c r="AG411" s="4" t="str">
        <f t="shared" si="32"/>
        <v>Q3</v>
      </c>
      <c r="AH411" s="19">
        <f t="shared" si="33"/>
        <v>1338.99</v>
      </c>
      <c r="AI411" s="11" t="str">
        <f t="shared" si="34"/>
        <v>0.1-0.2</v>
      </c>
    </row>
    <row r="412" spans="24:35" x14ac:dyDescent="0.25">
      <c r="X412" t="s">
        <v>442</v>
      </c>
      <c r="Y412" t="s">
        <v>649</v>
      </c>
      <c r="Z412" t="s">
        <v>1505</v>
      </c>
      <c r="AA412" s="19">
        <v>322.44</v>
      </c>
      <c r="AB412" s="30" t="s">
        <v>1498</v>
      </c>
      <c r="AC412" s="56"/>
      <c r="AE412" s="4" t="str">
        <f t="shared" si="30"/>
        <v>ORD-2024-811752</v>
      </c>
      <c r="AF412" s="4" t="str">
        <f t="shared" si="31"/>
        <v>Europe</v>
      </c>
      <c r="AG412" s="4" t="str">
        <f t="shared" si="32"/>
        <v>Q1</v>
      </c>
      <c r="AH412" s="19">
        <f t="shared" si="33"/>
        <v>322.44</v>
      </c>
      <c r="AI412" s="11" t="str">
        <f t="shared" si="34"/>
        <v>0-0.1</v>
      </c>
    </row>
    <row r="413" spans="24:35" x14ac:dyDescent="0.25">
      <c r="X413" t="s">
        <v>636</v>
      </c>
      <c r="Y413" t="s">
        <v>647</v>
      </c>
      <c r="Z413" t="s">
        <v>1507</v>
      </c>
      <c r="AA413" s="19">
        <v>1339.24</v>
      </c>
      <c r="AB413" s="30" t="s">
        <v>1499</v>
      </c>
      <c r="AC413" s="56"/>
      <c r="AE413" s="4" t="str">
        <f t="shared" si="30"/>
        <v>ORD-2024-817997</v>
      </c>
      <c r="AF413" s="4" t="str">
        <f t="shared" si="31"/>
        <v>Asia</v>
      </c>
      <c r="AG413" s="4" t="str">
        <f t="shared" si="32"/>
        <v>Q3</v>
      </c>
      <c r="AH413" s="19">
        <f t="shared" si="33"/>
        <v>1339.24</v>
      </c>
      <c r="AI413" s="11" t="str">
        <f t="shared" si="34"/>
        <v>0.1-0.2</v>
      </c>
    </row>
    <row r="414" spans="24:35" x14ac:dyDescent="0.25">
      <c r="X414" t="s">
        <v>380</v>
      </c>
      <c r="Y414" t="s">
        <v>646</v>
      </c>
      <c r="Z414" t="s">
        <v>1506</v>
      </c>
      <c r="AA414" s="19">
        <v>1295.18</v>
      </c>
      <c r="AB414" s="30" t="s">
        <v>1499</v>
      </c>
      <c r="AC414" s="56"/>
      <c r="AE414" s="4" t="str">
        <f t="shared" si="30"/>
        <v>ORD-2024-819778</v>
      </c>
      <c r="AF414" s="4" t="str">
        <f t="shared" si="31"/>
        <v>Africa</v>
      </c>
      <c r="AG414" s="4" t="str">
        <f t="shared" si="32"/>
        <v>Q2</v>
      </c>
      <c r="AH414" s="19">
        <f t="shared" si="33"/>
        <v>1295.18</v>
      </c>
      <c r="AI414" s="11" t="str">
        <f t="shared" si="34"/>
        <v>0.1-0.2</v>
      </c>
    </row>
    <row r="415" spans="24:35" x14ac:dyDescent="0.25">
      <c r="X415" t="s">
        <v>334</v>
      </c>
      <c r="Y415" t="s">
        <v>649</v>
      </c>
      <c r="Z415" t="s">
        <v>1506</v>
      </c>
      <c r="AA415" s="19">
        <v>986.85</v>
      </c>
      <c r="AB415" s="30" t="s">
        <v>1498</v>
      </c>
      <c r="AC415" s="56"/>
      <c r="AE415" s="4" t="str">
        <f t="shared" si="30"/>
        <v>ORD-2024-819979</v>
      </c>
      <c r="AF415" s="4" t="str">
        <f t="shared" si="31"/>
        <v>Europe</v>
      </c>
      <c r="AG415" s="4" t="str">
        <f t="shared" si="32"/>
        <v>Q2</v>
      </c>
      <c r="AH415" s="19">
        <f t="shared" si="33"/>
        <v>986.85</v>
      </c>
      <c r="AI415" s="11" t="str">
        <f t="shared" si="34"/>
        <v>0-0.1</v>
      </c>
    </row>
    <row r="416" spans="24:35" x14ac:dyDescent="0.25">
      <c r="X416" t="s">
        <v>537</v>
      </c>
      <c r="Y416" t="s">
        <v>646</v>
      </c>
      <c r="Z416" t="s">
        <v>1506</v>
      </c>
      <c r="AA416" s="19">
        <v>513.30999999999995</v>
      </c>
      <c r="AB416" s="30" t="s">
        <v>1498</v>
      </c>
      <c r="AC416" s="56"/>
      <c r="AE416" s="4" t="str">
        <f t="shared" si="30"/>
        <v>ORD-2024-833375</v>
      </c>
      <c r="AF416" s="4" t="str">
        <f t="shared" si="31"/>
        <v>Africa</v>
      </c>
      <c r="AG416" s="4" t="str">
        <f t="shared" si="32"/>
        <v>Q2</v>
      </c>
      <c r="AH416" s="19">
        <f t="shared" si="33"/>
        <v>513.30999999999995</v>
      </c>
      <c r="AI416" s="11" t="str">
        <f t="shared" si="34"/>
        <v>0-0.1</v>
      </c>
    </row>
    <row r="417" spans="24:35" x14ac:dyDescent="0.25">
      <c r="X417" t="s">
        <v>288</v>
      </c>
      <c r="Y417" t="s">
        <v>649</v>
      </c>
      <c r="Z417" t="s">
        <v>1505</v>
      </c>
      <c r="AA417" s="19">
        <v>287.61</v>
      </c>
      <c r="AB417" s="30" t="s">
        <v>1499</v>
      </c>
      <c r="AC417" s="56"/>
      <c r="AE417" s="4" t="str">
        <f t="shared" si="30"/>
        <v>ORD-2024-834983</v>
      </c>
      <c r="AF417" s="4" t="str">
        <f t="shared" si="31"/>
        <v>Europe</v>
      </c>
      <c r="AG417" s="4" t="str">
        <f t="shared" si="32"/>
        <v>Q1</v>
      </c>
      <c r="AH417" s="19">
        <f t="shared" si="33"/>
        <v>287.61</v>
      </c>
      <c r="AI417" s="11" t="str">
        <f t="shared" si="34"/>
        <v>0.1-0.2</v>
      </c>
    </row>
    <row r="418" spans="24:35" x14ac:dyDescent="0.25">
      <c r="X418" t="s">
        <v>151</v>
      </c>
      <c r="Y418" t="s">
        <v>647</v>
      </c>
      <c r="Z418" t="s">
        <v>1508</v>
      </c>
      <c r="AA418" s="19">
        <v>1412.15</v>
      </c>
      <c r="AB418" s="30" t="s">
        <v>1498</v>
      </c>
      <c r="AC418" s="56"/>
      <c r="AE418" s="4" t="str">
        <f t="shared" si="30"/>
        <v>ORD-2024-836421</v>
      </c>
      <c r="AF418" s="4" t="str">
        <f t="shared" si="31"/>
        <v>Asia</v>
      </c>
      <c r="AG418" s="4" t="str">
        <f t="shared" si="32"/>
        <v>Q4</v>
      </c>
      <c r="AH418" s="19">
        <f t="shared" si="33"/>
        <v>1412.15</v>
      </c>
      <c r="AI418" s="11" t="str">
        <f t="shared" si="34"/>
        <v>0-0.1</v>
      </c>
    </row>
    <row r="419" spans="24:35" x14ac:dyDescent="0.25">
      <c r="X419" t="s">
        <v>447</v>
      </c>
      <c r="Y419" t="s">
        <v>646</v>
      </c>
      <c r="Z419" t="s">
        <v>1508</v>
      </c>
      <c r="AA419" s="19">
        <v>488.68</v>
      </c>
      <c r="AB419" s="30" t="s">
        <v>1498</v>
      </c>
      <c r="AC419" s="56"/>
      <c r="AE419" s="4" t="str">
        <f t="shared" si="30"/>
        <v>ORD-2024-837651</v>
      </c>
      <c r="AF419" s="4" t="str">
        <f t="shared" si="31"/>
        <v>Africa</v>
      </c>
      <c r="AG419" s="4" t="str">
        <f t="shared" si="32"/>
        <v>Q4</v>
      </c>
      <c r="AH419" s="19">
        <f t="shared" si="33"/>
        <v>488.68</v>
      </c>
      <c r="AI419" s="11" t="str">
        <f t="shared" si="34"/>
        <v>0-0.1</v>
      </c>
    </row>
    <row r="420" spans="24:35" x14ac:dyDescent="0.25">
      <c r="X420" t="s">
        <v>623</v>
      </c>
      <c r="Y420" t="s">
        <v>646</v>
      </c>
      <c r="Z420" t="s">
        <v>1505</v>
      </c>
      <c r="AA420" s="19">
        <v>109.75</v>
      </c>
      <c r="AB420" s="30" t="s">
        <v>1499</v>
      </c>
      <c r="AC420" s="56"/>
      <c r="AE420" s="4" t="str">
        <f t="shared" si="30"/>
        <v>ORD-2024-838925</v>
      </c>
      <c r="AF420" s="4" t="str">
        <f t="shared" si="31"/>
        <v>Africa</v>
      </c>
      <c r="AG420" s="4" t="str">
        <f t="shared" si="32"/>
        <v>Q1</v>
      </c>
      <c r="AH420" s="19">
        <f t="shared" si="33"/>
        <v>109.75</v>
      </c>
      <c r="AI420" s="11" t="str">
        <f t="shared" si="34"/>
        <v>0.1-0.2</v>
      </c>
    </row>
    <row r="421" spans="24:35" x14ac:dyDescent="0.25">
      <c r="X421" t="s">
        <v>116</v>
      </c>
      <c r="Y421" t="s">
        <v>647</v>
      </c>
      <c r="Z421" t="s">
        <v>1505</v>
      </c>
      <c r="AA421" s="19">
        <v>313.60000000000002</v>
      </c>
      <c r="AB421" s="30" t="s">
        <v>1499</v>
      </c>
      <c r="AC421" s="56"/>
      <c r="AE421" s="4" t="str">
        <f t="shared" si="30"/>
        <v>ORD-2024-851883</v>
      </c>
      <c r="AF421" s="4" t="str">
        <f t="shared" si="31"/>
        <v>Asia</v>
      </c>
      <c r="AG421" s="4" t="str">
        <f t="shared" si="32"/>
        <v>Q1</v>
      </c>
      <c r="AH421" s="19">
        <f t="shared" si="33"/>
        <v>313.60000000000002</v>
      </c>
      <c r="AI421" s="11" t="str">
        <f t="shared" si="34"/>
        <v>0.1-0.2</v>
      </c>
    </row>
    <row r="422" spans="24:35" x14ac:dyDescent="0.25">
      <c r="X422" t="s">
        <v>466</v>
      </c>
      <c r="Y422" t="s">
        <v>647</v>
      </c>
      <c r="Z422" t="s">
        <v>1506</v>
      </c>
      <c r="AA422" s="19">
        <v>901.19</v>
      </c>
      <c r="AB422" s="30" t="s">
        <v>1498</v>
      </c>
      <c r="AC422" s="56"/>
      <c r="AE422" s="4" t="str">
        <f t="shared" si="30"/>
        <v>ORD-2024-851993</v>
      </c>
      <c r="AF422" s="4" t="str">
        <f t="shared" si="31"/>
        <v>Asia</v>
      </c>
      <c r="AG422" s="4" t="str">
        <f t="shared" si="32"/>
        <v>Q2</v>
      </c>
      <c r="AH422" s="19">
        <f t="shared" si="33"/>
        <v>901.19</v>
      </c>
      <c r="AI422" s="11" t="str">
        <f t="shared" si="34"/>
        <v>0-0.1</v>
      </c>
    </row>
    <row r="423" spans="24:35" x14ac:dyDescent="0.25">
      <c r="X423" t="s">
        <v>259</v>
      </c>
      <c r="Y423" t="s">
        <v>646</v>
      </c>
      <c r="Z423" t="s">
        <v>1505</v>
      </c>
      <c r="AA423" s="19">
        <v>65.64</v>
      </c>
      <c r="AB423" s="30" t="s">
        <v>1499</v>
      </c>
      <c r="AC423" s="56"/>
      <c r="AE423" s="4" t="str">
        <f t="shared" si="30"/>
        <v>ORD-2024-853298</v>
      </c>
      <c r="AF423" s="4" t="str">
        <f t="shared" si="31"/>
        <v>Africa</v>
      </c>
      <c r="AG423" s="4" t="str">
        <f t="shared" si="32"/>
        <v>Q1</v>
      </c>
      <c r="AH423" s="19">
        <f t="shared" si="33"/>
        <v>65.64</v>
      </c>
      <c r="AI423" s="11" t="str">
        <f t="shared" si="34"/>
        <v>0.1-0.2</v>
      </c>
    </row>
    <row r="424" spans="24:35" x14ac:dyDescent="0.25">
      <c r="X424" t="s">
        <v>42</v>
      </c>
      <c r="Y424" t="s">
        <v>646</v>
      </c>
      <c r="Z424" t="s">
        <v>1507</v>
      </c>
      <c r="AA424" s="19">
        <v>857.24</v>
      </c>
      <c r="AB424" s="30" t="s">
        <v>1499</v>
      </c>
      <c r="AC424" s="56"/>
      <c r="AE424" s="4" t="str">
        <f t="shared" si="30"/>
        <v>ORD-2024-855073</v>
      </c>
      <c r="AF424" s="4" t="str">
        <f t="shared" si="31"/>
        <v>Africa</v>
      </c>
      <c r="AG424" s="4" t="str">
        <f t="shared" si="32"/>
        <v>Q3</v>
      </c>
      <c r="AH424" s="19">
        <f t="shared" si="33"/>
        <v>857.24</v>
      </c>
      <c r="AI424" s="11" t="str">
        <f t="shared" si="34"/>
        <v>0.1-0.2</v>
      </c>
    </row>
    <row r="425" spans="24:35" x14ac:dyDescent="0.25">
      <c r="X425" t="s">
        <v>269</v>
      </c>
      <c r="Y425" t="s">
        <v>649</v>
      </c>
      <c r="Z425" t="s">
        <v>1506</v>
      </c>
      <c r="AA425" s="19">
        <v>668.97</v>
      </c>
      <c r="AB425" s="30" t="s">
        <v>1498</v>
      </c>
      <c r="AC425" s="56"/>
      <c r="AE425" s="4" t="str">
        <f t="shared" si="30"/>
        <v>ORD-2024-855600</v>
      </c>
      <c r="AF425" s="4" t="str">
        <f t="shared" si="31"/>
        <v>Europe</v>
      </c>
      <c r="AG425" s="4" t="str">
        <f t="shared" si="32"/>
        <v>Q2</v>
      </c>
      <c r="AH425" s="19">
        <f t="shared" si="33"/>
        <v>668.97</v>
      </c>
      <c r="AI425" s="11" t="str">
        <f t="shared" si="34"/>
        <v>0-0.1</v>
      </c>
    </row>
    <row r="426" spans="24:35" x14ac:dyDescent="0.25">
      <c r="X426" t="s">
        <v>301</v>
      </c>
      <c r="Y426" t="s">
        <v>647</v>
      </c>
      <c r="Z426" t="s">
        <v>1507</v>
      </c>
      <c r="AA426" s="19">
        <v>1066.6500000000001</v>
      </c>
      <c r="AB426" s="30" t="s">
        <v>1499</v>
      </c>
      <c r="AC426" s="56"/>
      <c r="AE426" s="4" t="str">
        <f t="shared" si="30"/>
        <v>ORD-2024-862371</v>
      </c>
      <c r="AF426" s="4" t="str">
        <f t="shared" si="31"/>
        <v>Asia</v>
      </c>
      <c r="AG426" s="4" t="str">
        <f t="shared" si="32"/>
        <v>Q3</v>
      </c>
      <c r="AH426" s="19">
        <f t="shared" si="33"/>
        <v>1066.6500000000001</v>
      </c>
      <c r="AI426" s="11" t="str">
        <f t="shared" si="34"/>
        <v>0.1-0.2</v>
      </c>
    </row>
    <row r="427" spans="24:35" x14ac:dyDescent="0.25">
      <c r="X427" t="s">
        <v>257</v>
      </c>
      <c r="Y427" t="s">
        <v>649</v>
      </c>
      <c r="Z427" t="s">
        <v>1508</v>
      </c>
      <c r="AA427" s="19">
        <v>72.06</v>
      </c>
      <c r="AB427" s="30" t="s">
        <v>1500</v>
      </c>
      <c r="AC427" s="56"/>
      <c r="AE427" s="4" t="str">
        <f t="shared" si="30"/>
        <v>ORD-2024-866535</v>
      </c>
      <c r="AF427" s="4" t="str">
        <f t="shared" si="31"/>
        <v>Europe</v>
      </c>
      <c r="AG427" s="4" t="str">
        <f t="shared" si="32"/>
        <v>Q4</v>
      </c>
      <c r="AH427" s="19">
        <f t="shared" si="33"/>
        <v>72.06</v>
      </c>
      <c r="AI427" s="11" t="str">
        <f t="shared" si="34"/>
        <v>0.2-0.3</v>
      </c>
    </row>
    <row r="428" spans="24:35" x14ac:dyDescent="0.25">
      <c r="X428" t="s">
        <v>389</v>
      </c>
      <c r="Y428" t="s">
        <v>647</v>
      </c>
      <c r="Z428" t="s">
        <v>1505</v>
      </c>
      <c r="AA428" s="19">
        <v>988.83</v>
      </c>
      <c r="AB428" s="30" t="s">
        <v>1498</v>
      </c>
      <c r="AC428" s="56"/>
      <c r="AE428" s="4" t="str">
        <f t="shared" si="30"/>
        <v>ORD-2024-868223</v>
      </c>
      <c r="AF428" s="4" t="str">
        <f t="shared" si="31"/>
        <v>Asia</v>
      </c>
      <c r="AG428" s="4" t="str">
        <f t="shared" si="32"/>
        <v>Q1</v>
      </c>
      <c r="AH428" s="19">
        <f t="shared" si="33"/>
        <v>988.83</v>
      </c>
      <c r="AI428" s="11" t="str">
        <f t="shared" si="34"/>
        <v>0-0.1</v>
      </c>
    </row>
    <row r="429" spans="24:35" x14ac:dyDescent="0.25">
      <c r="X429" t="s">
        <v>574</v>
      </c>
      <c r="Y429" t="s">
        <v>647</v>
      </c>
      <c r="Z429" t="s">
        <v>1505</v>
      </c>
      <c r="AA429" s="19">
        <v>802.32</v>
      </c>
      <c r="AB429" s="30" t="s">
        <v>1499</v>
      </c>
      <c r="AC429" s="56"/>
      <c r="AE429" s="4" t="str">
        <f t="shared" si="30"/>
        <v>ORD-2024-872291</v>
      </c>
      <c r="AF429" s="4" t="str">
        <f t="shared" si="31"/>
        <v>Asia</v>
      </c>
      <c r="AG429" s="4" t="str">
        <f t="shared" si="32"/>
        <v>Q1</v>
      </c>
      <c r="AH429" s="19">
        <f t="shared" si="33"/>
        <v>802.32</v>
      </c>
      <c r="AI429" s="11" t="str">
        <f t="shared" si="34"/>
        <v>0.1-0.2</v>
      </c>
    </row>
    <row r="430" spans="24:35" x14ac:dyDescent="0.25">
      <c r="X430" t="s">
        <v>318</v>
      </c>
      <c r="Y430" t="s">
        <v>646</v>
      </c>
      <c r="Z430" t="s">
        <v>1506</v>
      </c>
      <c r="AA430" s="19">
        <v>231.63</v>
      </c>
      <c r="AB430" s="30" t="s">
        <v>1498</v>
      </c>
      <c r="AC430" s="56"/>
      <c r="AE430" s="4" t="str">
        <f t="shared" si="30"/>
        <v>ORD-2024-878493</v>
      </c>
      <c r="AF430" s="4" t="str">
        <f t="shared" si="31"/>
        <v>Africa</v>
      </c>
      <c r="AG430" s="4" t="str">
        <f t="shared" si="32"/>
        <v>Q2</v>
      </c>
      <c r="AH430" s="19">
        <f t="shared" si="33"/>
        <v>231.63</v>
      </c>
      <c r="AI430" s="11" t="str">
        <f t="shared" si="34"/>
        <v>0-0.1</v>
      </c>
    </row>
    <row r="431" spans="24:35" x14ac:dyDescent="0.25">
      <c r="X431" t="s">
        <v>283</v>
      </c>
      <c r="Y431" t="s">
        <v>649</v>
      </c>
      <c r="Z431" t="s">
        <v>1505</v>
      </c>
      <c r="AA431" s="19">
        <v>720</v>
      </c>
      <c r="AB431" s="30" t="s">
        <v>1499</v>
      </c>
      <c r="AC431" s="56"/>
      <c r="AE431" s="4" t="str">
        <f t="shared" si="30"/>
        <v>ORD-2024-885858</v>
      </c>
      <c r="AF431" s="4" t="str">
        <f t="shared" si="31"/>
        <v>Europe</v>
      </c>
      <c r="AG431" s="4" t="str">
        <f t="shared" si="32"/>
        <v>Q1</v>
      </c>
      <c r="AH431" s="19">
        <f t="shared" si="33"/>
        <v>720</v>
      </c>
      <c r="AI431" s="11" t="str">
        <f t="shared" si="34"/>
        <v>0.1-0.2</v>
      </c>
    </row>
    <row r="432" spans="24:35" x14ac:dyDescent="0.25">
      <c r="X432" t="s">
        <v>462</v>
      </c>
      <c r="Y432" t="s">
        <v>648</v>
      </c>
      <c r="Z432" t="s">
        <v>1506</v>
      </c>
      <c r="AA432" s="19">
        <v>1205.5</v>
      </c>
      <c r="AB432" s="30" t="s">
        <v>1499</v>
      </c>
      <c r="AC432" s="56"/>
      <c r="AE432" s="4" t="str">
        <f t="shared" si="30"/>
        <v>ORD-2024-886939</v>
      </c>
      <c r="AF432" s="4" t="str">
        <f t="shared" si="31"/>
        <v>Americas</v>
      </c>
      <c r="AG432" s="4" t="str">
        <f t="shared" si="32"/>
        <v>Q2</v>
      </c>
      <c r="AH432" s="19">
        <f t="shared" si="33"/>
        <v>1205.5</v>
      </c>
      <c r="AI432" s="11" t="str">
        <f t="shared" si="34"/>
        <v>0.1-0.2</v>
      </c>
    </row>
    <row r="433" spans="24:35" x14ac:dyDescent="0.25">
      <c r="X433" t="s">
        <v>28</v>
      </c>
      <c r="Y433" t="s">
        <v>649</v>
      </c>
      <c r="Z433" t="s">
        <v>1505</v>
      </c>
      <c r="AA433" s="19">
        <v>643.53</v>
      </c>
      <c r="AB433" s="30" t="s">
        <v>1498</v>
      </c>
      <c r="AC433" s="56"/>
      <c r="AE433" s="4" t="str">
        <f t="shared" si="30"/>
        <v>ORD-2024-890180</v>
      </c>
      <c r="AF433" s="4" t="str">
        <f t="shared" si="31"/>
        <v>Europe</v>
      </c>
      <c r="AG433" s="4" t="str">
        <f t="shared" si="32"/>
        <v>Q1</v>
      </c>
      <c r="AH433" s="19">
        <f t="shared" si="33"/>
        <v>643.53</v>
      </c>
      <c r="AI433" s="11" t="str">
        <f t="shared" si="34"/>
        <v>0-0.1</v>
      </c>
    </row>
    <row r="434" spans="24:35" x14ac:dyDescent="0.25">
      <c r="X434" t="s">
        <v>373</v>
      </c>
      <c r="Y434" t="s">
        <v>646</v>
      </c>
      <c r="Z434" t="s">
        <v>1505</v>
      </c>
      <c r="AA434" s="19">
        <v>666.23</v>
      </c>
      <c r="AB434" s="30" t="s">
        <v>1499</v>
      </c>
      <c r="AC434" s="56"/>
      <c r="AE434" s="4" t="str">
        <f t="shared" si="30"/>
        <v>ORD-2024-892173</v>
      </c>
      <c r="AF434" s="4" t="str">
        <f t="shared" si="31"/>
        <v>Africa</v>
      </c>
      <c r="AG434" s="4" t="str">
        <f t="shared" si="32"/>
        <v>Q1</v>
      </c>
      <c r="AH434" s="19">
        <f t="shared" si="33"/>
        <v>666.23</v>
      </c>
      <c r="AI434" s="11" t="str">
        <f t="shared" si="34"/>
        <v>0.1-0.2</v>
      </c>
    </row>
    <row r="435" spans="24:35" x14ac:dyDescent="0.25">
      <c r="X435" t="s">
        <v>534</v>
      </c>
      <c r="Y435" t="s">
        <v>649</v>
      </c>
      <c r="Z435" t="s">
        <v>1507</v>
      </c>
      <c r="AA435" s="19">
        <v>1062.3800000000001</v>
      </c>
      <c r="AB435" s="30" t="s">
        <v>1499</v>
      </c>
      <c r="AC435" s="56"/>
      <c r="AE435" s="4" t="str">
        <f t="shared" si="30"/>
        <v>ORD-2024-892879</v>
      </c>
      <c r="AF435" s="4" t="str">
        <f t="shared" si="31"/>
        <v>Europe</v>
      </c>
      <c r="AG435" s="4" t="str">
        <f t="shared" si="32"/>
        <v>Q3</v>
      </c>
      <c r="AH435" s="19">
        <f t="shared" si="33"/>
        <v>1062.3800000000001</v>
      </c>
      <c r="AI435" s="11" t="str">
        <f t="shared" si="34"/>
        <v>0.1-0.2</v>
      </c>
    </row>
    <row r="436" spans="24:35" x14ac:dyDescent="0.25">
      <c r="X436" t="s">
        <v>358</v>
      </c>
      <c r="Y436" t="s">
        <v>647</v>
      </c>
      <c r="Z436" t="s">
        <v>1507</v>
      </c>
      <c r="AA436" s="19">
        <v>105.13</v>
      </c>
      <c r="AB436" s="30" t="s">
        <v>1498</v>
      </c>
      <c r="AC436" s="56"/>
      <c r="AE436" s="4" t="str">
        <f t="shared" si="30"/>
        <v>ORD-2024-892908</v>
      </c>
      <c r="AF436" s="4" t="str">
        <f t="shared" si="31"/>
        <v>Asia</v>
      </c>
      <c r="AG436" s="4" t="str">
        <f t="shared" si="32"/>
        <v>Q3</v>
      </c>
      <c r="AH436" s="19">
        <f t="shared" si="33"/>
        <v>105.13</v>
      </c>
      <c r="AI436" s="11" t="str">
        <f t="shared" si="34"/>
        <v>0-0.1</v>
      </c>
    </row>
    <row r="437" spans="24:35" x14ac:dyDescent="0.25">
      <c r="X437" t="s">
        <v>253</v>
      </c>
      <c r="Y437" t="s">
        <v>648</v>
      </c>
      <c r="Z437" t="s">
        <v>1505</v>
      </c>
      <c r="AA437" s="19">
        <v>160.82</v>
      </c>
      <c r="AB437" s="30" t="s">
        <v>1499</v>
      </c>
      <c r="AC437" s="56"/>
      <c r="AE437" s="4" t="str">
        <f t="shared" si="30"/>
        <v>ORD-2024-897622</v>
      </c>
      <c r="AF437" s="4" t="str">
        <f t="shared" si="31"/>
        <v>Americas</v>
      </c>
      <c r="AG437" s="4" t="str">
        <f t="shared" si="32"/>
        <v>Q1</v>
      </c>
      <c r="AH437" s="19">
        <f t="shared" si="33"/>
        <v>160.82</v>
      </c>
      <c r="AI437" s="11" t="str">
        <f t="shared" si="34"/>
        <v>0.1-0.2</v>
      </c>
    </row>
    <row r="438" spans="24:35" x14ac:dyDescent="0.25">
      <c r="X438" t="s">
        <v>360</v>
      </c>
      <c r="Y438" t="s">
        <v>648</v>
      </c>
      <c r="Z438" t="s">
        <v>1507</v>
      </c>
      <c r="AA438" s="19">
        <v>986.81</v>
      </c>
      <c r="AB438" s="30" t="s">
        <v>1499</v>
      </c>
      <c r="AC438" s="56"/>
      <c r="AE438" s="4" t="str">
        <f t="shared" si="30"/>
        <v>ORD-2024-901115</v>
      </c>
      <c r="AF438" s="4" t="str">
        <f t="shared" si="31"/>
        <v>Americas</v>
      </c>
      <c r="AG438" s="4" t="str">
        <f t="shared" si="32"/>
        <v>Q3</v>
      </c>
      <c r="AH438" s="19">
        <f t="shared" si="33"/>
        <v>986.81</v>
      </c>
      <c r="AI438" s="11" t="str">
        <f t="shared" si="34"/>
        <v>0.1-0.2</v>
      </c>
    </row>
    <row r="439" spans="24:35" x14ac:dyDescent="0.25">
      <c r="X439" t="s">
        <v>156</v>
      </c>
      <c r="Y439" t="s">
        <v>649</v>
      </c>
      <c r="Z439" t="s">
        <v>1508</v>
      </c>
      <c r="AA439" s="19">
        <v>501.81</v>
      </c>
      <c r="AB439" s="30" t="s">
        <v>1498</v>
      </c>
      <c r="AC439" s="56"/>
      <c r="AE439" s="4" t="str">
        <f t="shared" si="30"/>
        <v>ORD-2024-902741</v>
      </c>
      <c r="AF439" s="4" t="str">
        <f t="shared" si="31"/>
        <v>Europe</v>
      </c>
      <c r="AG439" s="4" t="str">
        <f t="shared" si="32"/>
        <v>Q4</v>
      </c>
      <c r="AH439" s="19">
        <f t="shared" si="33"/>
        <v>501.81</v>
      </c>
      <c r="AI439" s="11" t="str">
        <f t="shared" si="34"/>
        <v>0-0.1</v>
      </c>
    </row>
    <row r="440" spans="24:35" x14ac:dyDescent="0.25">
      <c r="X440" t="s">
        <v>75</v>
      </c>
      <c r="Y440" t="s">
        <v>649</v>
      </c>
      <c r="Z440" t="s">
        <v>1505</v>
      </c>
      <c r="AA440" s="19">
        <v>1176.56</v>
      </c>
      <c r="AB440" s="30" t="s">
        <v>1499</v>
      </c>
      <c r="AC440" s="56"/>
      <c r="AE440" s="4" t="str">
        <f t="shared" si="30"/>
        <v>ORD-2024-906395</v>
      </c>
      <c r="AF440" s="4" t="str">
        <f t="shared" si="31"/>
        <v>Europe</v>
      </c>
      <c r="AG440" s="4" t="str">
        <f t="shared" si="32"/>
        <v>Q1</v>
      </c>
      <c r="AH440" s="19">
        <f t="shared" si="33"/>
        <v>1176.56</v>
      </c>
      <c r="AI440" s="11" t="str">
        <f t="shared" si="34"/>
        <v>0.1-0.2</v>
      </c>
    </row>
    <row r="441" spans="24:35" x14ac:dyDescent="0.25">
      <c r="X441" t="s">
        <v>614</v>
      </c>
      <c r="Y441" t="s">
        <v>649</v>
      </c>
      <c r="Z441" t="s">
        <v>1505</v>
      </c>
      <c r="AA441" s="19">
        <v>985.45</v>
      </c>
      <c r="AB441" s="30" t="s">
        <v>1498</v>
      </c>
      <c r="AC441" s="56"/>
      <c r="AE441" s="4" t="str">
        <f t="shared" si="30"/>
        <v>ORD-2024-907733</v>
      </c>
      <c r="AF441" s="4" t="str">
        <f t="shared" si="31"/>
        <v>Europe</v>
      </c>
      <c r="AG441" s="4" t="str">
        <f t="shared" si="32"/>
        <v>Q1</v>
      </c>
      <c r="AH441" s="19">
        <f t="shared" si="33"/>
        <v>985.45</v>
      </c>
      <c r="AI441" s="11" t="str">
        <f t="shared" si="34"/>
        <v>0-0.1</v>
      </c>
    </row>
    <row r="442" spans="24:35" x14ac:dyDescent="0.25">
      <c r="X442" t="s">
        <v>125</v>
      </c>
      <c r="Y442" t="s">
        <v>647</v>
      </c>
      <c r="Z442" t="s">
        <v>1506</v>
      </c>
      <c r="AA442" s="19">
        <v>550.22</v>
      </c>
      <c r="AB442" s="30" t="s">
        <v>1498</v>
      </c>
      <c r="AC442" s="56"/>
      <c r="AE442" s="4" t="str">
        <f t="shared" si="30"/>
        <v>ORD-2024-909942</v>
      </c>
      <c r="AF442" s="4" t="str">
        <f t="shared" si="31"/>
        <v>Asia</v>
      </c>
      <c r="AG442" s="4" t="str">
        <f t="shared" si="32"/>
        <v>Q2</v>
      </c>
      <c r="AH442" s="19">
        <f t="shared" si="33"/>
        <v>550.22</v>
      </c>
      <c r="AI442" s="11" t="str">
        <f t="shared" si="34"/>
        <v>0-0.1</v>
      </c>
    </row>
    <row r="443" spans="24:35" x14ac:dyDescent="0.25">
      <c r="X443" t="s">
        <v>367</v>
      </c>
      <c r="Y443" t="s">
        <v>647</v>
      </c>
      <c r="Z443" t="s">
        <v>1507</v>
      </c>
      <c r="AA443" s="19">
        <v>1233.3599999999999</v>
      </c>
      <c r="AB443" s="30" t="s">
        <v>1499</v>
      </c>
      <c r="AC443" s="56"/>
      <c r="AE443" s="4" t="str">
        <f t="shared" si="30"/>
        <v>ORD-2024-915495</v>
      </c>
      <c r="AF443" s="4" t="str">
        <f t="shared" si="31"/>
        <v>Asia</v>
      </c>
      <c r="AG443" s="4" t="str">
        <f t="shared" si="32"/>
        <v>Q3</v>
      </c>
      <c r="AH443" s="19">
        <f t="shared" si="33"/>
        <v>1233.3599999999999</v>
      </c>
      <c r="AI443" s="11" t="str">
        <f t="shared" si="34"/>
        <v>0.1-0.2</v>
      </c>
    </row>
    <row r="444" spans="24:35" x14ac:dyDescent="0.25">
      <c r="X444" t="s">
        <v>127</v>
      </c>
      <c r="Y444" t="s">
        <v>646</v>
      </c>
      <c r="Z444" t="s">
        <v>1506</v>
      </c>
      <c r="AA444" s="19">
        <v>5.36</v>
      </c>
      <c r="AB444" s="30" t="s">
        <v>1499</v>
      </c>
      <c r="AC444" s="56"/>
      <c r="AE444" s="4" t="str">
        <f t="shared" si="30"/>
        <v>ORD-2024-919471</v>
      </c>
      <c r="AF444" s="4" t="str">
        <f t="shared" si="31"/>
        <v>Africa</v>
      </c>
      <c r="AG444" s="4" t="str">
        <f t="shared" si="32"/>
        <v>Q2</v>
      </c>
      <c r="AH444" s="19">
        <f t="shared" si="33"/>
        <v>5.36</v>
      </c>
      <c r="AI444" s="11" t="str">
        <f t="shared" si="34"/>
        <v>0.1-0.2</v>
      </c>
    </row>
    <row r="445" spans="24:35" x14ac:dyDescent="0.25">
      <c r="X445" t="s">
        <v>369</v>
      </c>
      <c r="Y445" t="s">
        <v>649</v>
      </c>
      <c r="Z445" t="s">
        <v>1505</v>
      </c>
      <c r="AA445" s="19">
        <v>657.45</v>
      </c>
      <c r="AB445" s="30" t="s">
        <v>1499</v>
      </c>
      <c r="AC445" s="56"/>
      <c r="AE445" s="4" t="str">
        <f t="shared" si="30"/>
        <v>ORD-2024-921935</v>
      </c>
      <c r="AF445" s="4" t="str">
        <f t="shared" si="31"/>
        <v>Europe</v>
      </c>
      <c r="AG445" s="4" t="str">
        <f t="shared" si="32"/>
        <v>Q1</v>
      </c>
      <c r="AH445" s="19">
        <f t="shared" si="33"/>
        <v>657.45</v>
      </c>
      <c r="AI445" s="11" t="str">
        <f t="shared" si="34"/>
        <v>0.1-0.2</v>
      </c>
    </row>
    <row r="446" spans="24:35" x14ac:dyDescent="0.25">
      <c r="X446" t="s">
        <v>327</v>
      </c>
      <c r="Y446" t="s">
        <v>649</v>
      </c>
      <c r="Z446" t="s">
        <v>1508</v>
      </c>
      <c r="AA446" s="19">
        <v>840.68</v>
      </c>
      <c r="AB446" s="30" t="s">
        <v>1498</v>
      </c>
      <c r="AC446" s="56"/>
      <c r="AE446" s="4" t="str">
        <f t="shared" si="30"/>
        <v>ORD-2024-925626</v>
      </c>
      <c r="AF446" s="4" t="str">
        <f t="shared" si="31"/>
        <v>Europe</v>
      </c>
      <c r="AG446" s="4" t="str">
        <f t="shared" si="32"/>
        <v>Q4</v>
      </c>
      <c r="AH446" s="19">
        <f t="shared" si="33"/>
        <v>840.68</v>
      </c>
      <c r="AI446" s="11" t="str">
        <f t="shared" si="34"/>
        <v>0-0.1</v>
      </c>
    </row>
    <row r="447" spans="24:35" x14ac:dyDescent="0.25">
      <c r="X447" t="s">
        <v>631</v>
      </c>
      <c r="Y447" t="s">
        <v>649</v>
      </c>
      <c r="Z447" t="s">
        <v>1508</v>
      </c>
      <c r="AA447" s="19">
        <v>722.87</v>
      </c>
      <c r="AB447" s="30" t="s">
        <v>1499</v>
      </c>
      <c r="AC447" s="56"/>
      <c r="AE447" s="4" t="str">
        <f t="shared" si="30"/>
        <v>ORD-2024-930679</v>
      </c>
      <c r="AF447" s="4" t="str">
        <f t="shared" si="31"/>
        <v>Europe</v>
      </c>
      <c r="AG447" s="4" t="str">
        <f t="shared" si="32"/>
        <v>Q4</v>
      </c>
      <c r="AH447" s="19">
        <f t="shared" si="33"/>
        <v>722.87</v>
      </c>
      <c r="AI447" s="11" t="str">
        <f t="shared" si="34"/>
        <v>0.1-0.2</v>
      </c>
    </row>
    <row r="448" spans="24:35" x14ac:dyDescent="0.25">
      <c r="X448" t="s">
        <v>87</v>
      </c>
      <c r="Y448" t="s">
        <v>646</v>
      </c>
      <c r="Z448" t="s">
        <v>1506</v>
      </c>
      <c r="AA448" s="19">
        <v>1376.51</v>
      </c>
      <c r="AB448" s="30" t="s">
        <v>1499</v>
      </c>
      <c r="AC448" s="56"/>
      <c r="AE448" s="4" t="str">
        <f t="shared" si="30"/>
        <v>ORD-2024-939873</v>
      </c>
      <c r="AF448" s="4" t="str">
        <f t="shared" si="31"/>
        <v>Africa</v>
      </c>
      <c r="AG448" s="4" t="str">
        <f t="shared" si="32"/>
        <v>Q2</v>
      </c>
      <c r="AH448" s="19">
        <f t="shared" si="33"/>
        <v>1376.51</v>
      </c>
      <c r="AI448" s="11" t="str">
        <f t="shared" si="34"/>
        <v>0.1-0.2</v>
      </c>
    </row>
    <row r="449" spans="24:35" x14ac:dyDescent="0.25">
      <c r="X449" t="s">
        <v>184</v>
      </c>
      <c r="Y449" t="s">
        <v>649</v>
      </c>
      <c r="Z449" t="s">
        <v>1508</v>
      </c>
      <c r="AA449" s="19">
        <v>343.85</v>
      </c>
      <c r="AB449" s="30" t="s">
        <v>1499</v>
      </c>
      <c r="AC449" s="56"/>
      <c r="AE449" s="4" t="str">
        <f t="shared" si="30"/>
        <v>ORD-2024-942981</v>
      </c>
      <c r="AF449" s="4" t="str">
        <f t="shared" si="31"/>
        <v>Europe</v>
      </c>
      <c r="AG449" s="4" t="str">
        <f t="shared" si="32"/>
        <v>Q4</v>
      </c>
      <c r="AH449" s="19">
        <f t="shared" si="33"/>
        <v>343.85</v>
      </c>
      <c r="AI449" s="11" t="str">
        <f t="shared" si="34"/>
        <v>0.1-0.2</v>
      </c>
    </row>
    <row r="450" spans="24:35" x14ac:dyDescent="0.25">
      <c r="X450" t="s">
        <v>607</v>
      </c>
      <c r="Y450" t="s">
        <v>647</v>
      </c>
      <c r="Z450" t="s">
        <v>1507</v>
      </c>
      <c r="AA450" s="19">
        <v>1252.52</v>
      </c>
      <c r="AB450" s="30" t="s">
        <v>1499</v>
      </c>
      <c r="AC450" s="56"/>
      <c r="AE450" s="4" t="str">
        <f t="shared" si="30"/>
        <v>ORD-2024-947056</v>
      </c>
      <c r="AF450" s="4" t="str">
        <f t="shared" si="31"/>
        <v>Asia</v>
      </c>
      <c r="AG450" s="4" t="str">
        <f t="shared" si="32"/>
        <v>Q3</v>
      </c>
      <c r="AH450" s="19">
        <f t="shared" si="33"/>
        <v>1252.52</v>
      </c>
      <c r="AI450" s="11" t="str">
        <f t="shared" si="34"/>
        <v>0.1-0.2</v>
      </c>
    </row>
    <row r="451" spans="24:35" x14ac:dyDescent="0.25">
      <c r="X451" t="s">
        <v>290</v>
      </c>
      <c r="Y451" t="s">
        <v>648</v>
      </c>
      <c r="Z451" t="s">
        <v>1505</v>
      </c>
      <c r="AA451" s="19">
        <v>1338.35</v>
      </c>
      <c r="AB451" s="30" t="s">
        <v>1499</v>
      </c>
      <c r="AC451" s="56"/>
      <c r="AE451" s="4" t="str">
        <f t="shared" si="30"/>
        <v>ORD-2024-948800</v>
      </c>
      <c r="AF451" s="4" t="str">
        <f t="shared" si="31"/>
        <v>Americas</v>
      </c>
      <c r="AG451" s="4" t="str">
        <f t="shared" si="32"/>
        <v>Q1</v>
      </c>
      <c r="AH451" s="19">
        <f t="shared" si="33"/>
        <v>1338.35</v>
      </c>
      <c r="AI451" s="11" t="str">
        <f t="shared" si="34"/>
        <v>0.1-0.2</v>
      </c>
    </row>
    <row r="452" spans="24:35" x14ac:dyDescent="0.25">
      <c r="X452" t="s">
        <v>192</v>
      </c>
      <c r="Y452" t="s">
        <v>649</v>
      </c>
      <c r="Z452" t="s">
        <v>1505</v>
      </c>
      <c r="AA452" s="19">
        <v>39.229999999999997</v>
      </c>
      <c r="AB452" s="30" t="s">
        <v>1499</v>
      </c>
      <c r="AC452" s="56"/>
      <c r="AE452" s="4" t="str">
        <f t="shared" ref="AE452:AE515" si="35">X452</f>
        <v>ORD-2024-960952</v>
      </c>
      <c r="AF452" s="4" t="str">
        <f t="shared" ref="AF452:AF515" si="36">Y452</f>
        <v>Europe</v>
      </c>
      <c r="AG452" s="4" t="str">
        <f t="shared" ref="AG452:AG515" si="37">Z452</f>
        <v>Q1</v>
      </c>
      <c r="AH452" s="19">
        <f t="shared" ref="AH452:AH515" si="38">AA452</f>
        <v>39.229999999999997</v>
      </c>
      <c r="AI452" s="11" t="str">
        <f t="shared" ref="AI452:AI515" si="39">AB452</f>
        <v>0.1-0.2</v>
      </c>
    </row>
    <row r="453" spans="24:35" x14ac:dyDescent="0.25">
      <c r="X453" t="s">
        <v>525</v>
      </c>
      <c r="Y453" t="s">
        <v>648</v>
      </c>
      <c r="Z453" t="s">
        <v>1505</v>
      </c>
      <c r="AA453" s="19">
        <v>225.01</v>
      </c>
      <c r="AB453" s="30" t="s">
        <v>1499</v>
      </c>
      <c r="AC453" s="56"/>
      <c r="AE453" s="4" t="str">
        <f t="shared" si="35"/>
        <v>ORD-2024-961501</v>
      </c>
      <c r="AF453" s="4" t="str">
        <f t="shared" si="36"/>
        <v>Americas</v>
      </c>
      <c r="AG453" s="4" t="str">
        <f t="shared" si="37"/>
        <v>Q1</v>
      </c>
      <c r="AH453" s="19">
        <f t="shared" si="38"/>
        <v>225.01</v>
      </c>
      <c r="AI453" s="11" t="str">
        <f t="shared" si="39"/>
        <v>0.1-0.2</v>
      </c>
    </row>
    <row r="454" spans="24:35" x14ac:dyDescent="0.25">
      <c r="X454" t="s">
        <v>372</v>
      </c>
      <c r="Y454" t="s">
        <v>647</v>
      </c>
      <c r="Z454" t="s">
        <v>1508</v>
      </c>
      <c r="AA454" s="19">
        <v>769.9</v>
      </c>
      <c r="AB454" s="30" t="s">
        <v>1498</v>
      </c>
      <c r="AC454" s="56"/>
      <c r="AE454" s="4" t="str">
        <f t="shared" si="35"/>
        <v>ORD-2024-961756</v>
      </c>
      <c r="AF454" s="4" t="str">
        <f t="shared" si="36"/>
        <v>Asia</v>
      </c>
      <c r="AG454" s="4" t="str">
        <f t="shared" si="37"/>
        <v>Q4</v>
      </c>
      <c r="AH454" s="19">
        <f t="shared" si="38"/>
        <v>769.9</v>
      </c>
      <c r="AI454" s="11" t="str">
        <f t="shared" si="39"/>
        <v>0-0.1</v>
      </c>
    </row>
    <row r="455" spans="24:35" x14ac:dyDescent="0.25">
      <c r="X455" t="s">
        <v>526</v>
      </c>
      <c r="Y455" t="s">
        <v>649</v>
      </c>
      <c r="Z455" t="s">
        <v>1508</v>
      </c>
      <c r="AA455" s="19">
        <v>1389.46</v>
      </c>
      <c r="AB455" s="30" t="s">
        <v>1499</v>
      </c>
      <c r="AC455" s="56"/>
      <c r="AE455" s="4" t="str">
        <f t="shared" si="35"/>
        <v>ORD-2024-964950</v>
      </c>
      <c r="AF455" s="4" t="str">
        <f t="shared" si="36"/>
        <v>Europe</v>
      </c>
      <c r="AG455" s="4" t="str">
        <f t="shared" si="37"/>
        <v>Q4</v>
      </c>
      <c r="AH455" s="19">
        <f t="shared" si="38"/>
        <v>1389.46</v>
      </c>
      <c r="AI455" s="11" t="str">
        <f t="shared" si="39"/>
        <v>0.1-0.2</v>
      </c>
    </row>
    <row r="456" spans="24:35" x14ac:dyDescent="0.25">
      <c r="X456" t="s">
        <v>63</v>
      </c>
      <c r="Y456" t="s">
        <v>646</v>
      </c>
      <c r="Z456" t="s">
        <v>1508</v>
      </c>
      <c r="AA456" s="19">
        <v>859.35</v>
      </c>
      <c r="AB456" s="30" t="s">
        <v>1499</v>
      </c>
      <c r="AC456" s="56"/>
      <c r="AE456" s="4" t="str">
        <f t="shared" si="35"/>
        <v>ORD-2024-966651</v>
      </c>
      <c r="AF456" s="4" t="str">
        <f t="shared" si="36"/>
        <v>Africa</v>
      </c>
      <c r="AG456" s="4" t="str">
        <f t="shared" si="37"/>
        <v>Q4</v>
      </c>
      <c r="AH456" s="19">
        <f t="shared" si="38"/>
        <v>859.35</v>
      </c>
      <c r="AI456" s="11" t="str">
        <f t="shared" si="39"/>
        <v>0.1-0.2</v>
      </c>
    </row>
    <row r="457" spans="24:35" x14ac:dyDescent="0.25">
      <c r="X457" t="s">
        <v>211</v>
      </c>
      <c r="Y457" t="s">
        <v>646</v>
      </c>
      <c r="Z457" t="s">
        <v>1505</v>
      </c>
      <c r="AA457" s="19">
        <v>516.86</v>
      </c>
      <c r="AB457" s="30" t="s">
        <v>1498</v>
      </c>
      <c r="AC457" s="56"/>
      <c r="AE457" s="4" t="str">
        <f t="shared" si="35"/>
        <v>ORD-2024-968374</v>
      </c>
      <c r="AF457" s="4" t="str">
        <f t="shared" si="36"/>
        <v>Africa</v>
      </c>
      <c r="AG457" s="4" t="str">
        <f t="shared" si="37"/>
        <v>Q1</v>
      </c>
      <c r="AH457" s="19">
        <f t="shared" si="38"/>
        <v>516.86</v>
      </c>
      <c r="AI457" s="11" t="str">
        <f t="shared" si="39"/>
        <v>0-0.1</v>
      </c>
    </row>
    <row r="458" spans="24:35" x14ac:dyDescent="0.25">
      <c r="X458" t="s">
        <v>189</v>
      </c>
      <c r="Y458" t="s">
        <v>646</v>
      </c>
      <c r="Z458" t="s">
        <v>1506</v>
      </c>
      <c r="AA458" s="19">
        <v>180.89</v>
      </c>
      <c r="AB458" s="30" t="s">
        <v>1498</v>
      </c>
      <c r="AC458" s="56"/>
      <c r="AE458" s="4" t="str">
        <f t="shared" si="35"/>
        <v>ORD-2024-970848</v>
      </c>
      <c r="AF458" s="4" t="str">
        <f t="shared" si="36"/>
        <v>Africa</v>
      </c>
      <c r="AG458" s="4" t="str">
        <f t="shared" si="37"/>
        <v>Q2</v>
      </c>
      <c r="AH458" s="19">
        <f t="shared" si="38"/>
        <v>180.89</v>
      </c>
      <c r="AI458" s="11" t="str">
        <f t="shared" si="39"/>
        <v>0-0.1</v>
      </c>
    </row>
    <row r="459" spans="24:35" x14ac:dyDescent="0.25">
      <c r="X459" t="s">
        <v>450</v>
      </c>
      <c r="Y459" t="s">
        <v>647</v>
      </c>
      <c r="Z459" t="s">
        <v>1508</v>
      </c>
      <c r="AA459" s="19">
        <v>126.15</v>
      </c>
      <c r="AB459" s="30" t="s">
        <v>1499</v>
      </c>
      <c r="AC459" s="56"/>
      <c r="AE459" s="4" t="str">
        <f t="shared" si="35"/>
        <v>ORD-2024-972318</v>
      </c>
      <c r="AF459" s="4" t="str">
        <f t="shared" si="36"/>
        <v>Asia</v>
      </c>
      <c r="AG459" s="4" t="str">
        <f t="shared" si="37"/>
        <v>Q4</v>
      </c>
      <c r="AH459" s="19">
        <f t="shared" si="38"/>
        <v>126.15</v>
      </c>
      <c r="AI459" s="11" t="str">
        <f t="shared" si="39"/>
        <v>0.1-0.2</v>
      </c>
    </row>
    <row r="460" spans="24:35" x14ac:dyDescent="0.25">
      <c r="X460" t="s">
        <v>413</v>
      </c>
      <c r="Y460" t="s">
        <v>646</v>
      </c>
      <c r="Z460" t="s">
        <v>1507</v>
      </c>
      <c r="AA460" s="19">
        <v>1174.17</v>
      </c>
      <c r="AB460" s="30" t="s">
        <v>1499</v>
      </c>
      <c r="AC460" s="56"/>
      <c r="AE460" s="4" t="str">
        <f t="shared" si="35"/>
        <v>ORD-2024-972999</v>
      </c>
      <c r="AF460" s="4" t="str">
        <f t="shared" si="36"/>
        <v>Africa</v>
      </c>
      <c r="AG460" s="4" t="str">
        <f t="shared" si="37"/>
        <v>Q3</v>
      </c>
      <c r="AH460" s="19">
        <f t="shared" si="38"/>
        <v>1174.17</v>
      </c>
      <c r="AI460" s="11" t="str">
        <f t="shared" si="39"/>
        <v>0.1-0.2</v>
      </c>
    </row>
    <row r="461" spans="24:35" x14ac:dyDescent="0.25">
      <c r="X461" t="s">
        <v>502</v>
      </c>
      <c r="Y461" t="s">
        <v>649</v>
      </c>
      <c r="Z461" t="s">
        <v>1506</v>
      </c>
      <c r="AA461" s="19">
        <v>111.02</v>
      </c>
      <c r="AB461" s="30" t="s">
        <v>1499</v>
      </c>
      <c r="AC461" s="56"/>
      <c r="AE461" s="4" t="str">
        <f t="shared" si="35"/>
        <v>ORD-2024-973420</v>
      </c>
      <c r="AF461" s="4" t="str">
        <f t="shared" si="36"/>
        <v>Europe</v>
      </c>
      <c r="AG461" s="4" t="str">
        <f t="shared" si="37"/>
        <v>Q2</v>
      </c>
      <c r="AH461" s="19">
        <f t="shared" si="38"/>
        <v>111.02</v>
      </c>
      <c r="AI461" s="11" t="str">
        <f t="shared" si="39"/>
        <v>0.1-0.2</v>
      </c>
    </row>
    <row r="462" spans="24:35" x14ac:dyDescent="0.25">
      <c r="X462" t="s">
        <v>580</v>
      </c>
      <c r="Y462" t="s">
        <v>646</v>
      </c>
      <c r="Z462" t="s">
        <v>1505</v>
      </c>
      <c r="AA462" s="19">
        <v>1233.52</v>
      </c>
      <c r="AB462" s="30" t="s">
        <v>1499</v>
      </c>
      <c r="AC462" s="56"/>
      <c r="AE462" s="4" t="str">
        <f t="shared" si="35"/>
        <v>ORD-2024-979401</v>
      </c>
      <c r="AF462" s="4" t="str">
        <f t="shared" si="36"/>
        <v>Africa</v>
      </c>
      <c r="AG462" s="4" t="str">
        <f t="shared" si="37"/>
        <v>Q1</v>
      </c>
      <c r="AH462" s="19">
        <f t="shared" si="38"/>
        <v>1233.52</v>
      </c>
      <c r="AI462" s="11" t="str">
        <f t="shared" si="39"/>
        <v>0.1-0.2</v>
      </c>
    </row>
    <row r="463" spans="24:35" x14ac:dyDescent="0.25">
      <c r="X463" t="s">
        <v>226</v>
      </c>
      <c r="Y463" t="s">
        <v>647</v>
      </c>
      <c r="Z463" t="s">
        <v>1507</v>
      </c>
      <c r="AA463" s="19">
        <v>1166.18</v>
      </c>
      <c r="AB463" s="30" t="s">
        <v>1499</v>
      </c>
      <c r="AC463" s="56"/>
      <c r="AE463" s="4" t="str">
        <f t="shared" si="35"/>
        <v>ORD-2024-988736</v>
      </c>
      <c r="AF463" s="4" t="str">
        <f t="shared" si="36"/>
        <v>Asia</v>
      </c>
      <c r="AG463" s="4" t="str">
        <f t="shared" si="37"/>
        <v>Q3</v>
      </c>
      <c r="AH463" s="19">
        <f t="shared" si="38"/>
        <v>1166.18</v>
      </c>
      <c r="AI463" s="11" t="str">
        <f t="shared" si="39"/>
        <v>0.1-0.2</v>
      </c>
    </row>
    <row r="464" spans="24:35" x14ac:dyDescent="0.25">
      <c r="X464" t="s">
        <v>441</v>
      </c>
      <c r="Y464" t="s">
        <v>647</v>
      </c>
      <c r="Z464" t="s">
        <v>1507</v>
      </c>
      <c r="AA464" s="19">
        <v>1154.03</v>
      </c>
      <c r="AB464" s="30" t="s">
        <v>1501</v>
      </c>
      <c r="AC464" s="56"/>
      <c r="AE464" s="4" t="str">
        <f t="shared" si="35"/>
        <v>ORD-2024-993481</v>
      </c>
      <c r="AF464" s="4" t="str">
        <f t="shared" si="36"/>
        <v>Asia</v>
      </c>
      <c r="AG464" s="4" t="str">
        <f t="shared" si="37"/>
        <v>Q3</v>
      </c>
      <c r="AH464" s="19">
        <f t="shared" si="38"/>
        <v>1154.03</v>
      </c>
      <c r="AI464" s="11" t="str">
        <f t="shared" si="39"/>
        <v>0.3-0.4</v>
      </c>
    </row>
    <row r="465" spans="24:35" x14ac:dyDescent="0.25">
      <c r="X465" t="s">
        <v>108</v>
      </c>
      <c r="Y465" t="s">
        <v>646</v>
      </c>
      <c r="Z465" t="s">
        <v>1508</v>
      </c>
      <c r="AA465" s="19">
        <v>412.09</v>
      </c>
      <c r="AB465" s="30" t="s">
        <v>1498</v>
      </c>
      <c r="AC465" s="56"/>
      <c r="AE465" s="4" t="str">
        <f t="shared" si="35"/>
        <v>ORD-2024-997336</v>
      </c>
      <c r="AF465" s="4" t="str">
        <f t="shared" si="36"/>
        <v>Africa</v>
      </c>
      <c r="AG465" s="4" t="str">
        <f t="shared" si="37"/>
        <v>Q4</v>
      </c>
      <c r="AH465" s="19">
        <f t="shared" si="38"/>
        <v>412.09</v>
      </c>
      <c r="AI465" s="11" t="str">
        <f t="shared" si="39"/>
        <v>0-0.1</v>
      </c>
    </row>
    <row r="466" spans="24:35" x14ac:dyDescent="0.25">
      <c r="X466" t="s">
        <v>57</v>
      </c>
      <c r="Y466" t="s">
        <v>646</v>
      </c>
      <c r="Z466" t="s">
        <v>1508</v>
      </c>
      <c r="AA466" s="19">
        <v>1396.48</v>
      </c>
      <c r="AB466" s="30" t="s">
        <v>1501</v>
      </c>
      <c r="AC466" s="56"/>
      <c r="AE466" s="4" t="str">
        <f t="shared" si="35"/>
        <v>ORD-2024-998320</v>
      </c>
      <c r="AF466" s="4" t="str">
        <f t="shared" si="36"/>
        <v>Africa</v>
      </c>
      <c r="AG466" s="4" t="str">
        <f t="shared" si="37"/>
        <v>Q4</v>
      </c>
      <c r="AH466" s="19">
        <f t="shared" si="38"/>
        <v>1396.48</v>
      </c>
      <c r="AI466" s="11" t="str">
        <f t="shared" si="39"/>
        <v>0.3-0.4</v>
      </c>
    </row>
    <row r="467" spans="24:35" x14ac:dyDescent="0.25">
      <c r="X467" t="s">
        <v>215</v>
      </c>
      <c r="Y467" t="s">
        <v>648</v>
      </c>
      <c r="Z467" t="s">
        <v>1505</v>
      </c>
      <c r="AA467" s="19">
        <v>493.76</v>
      </c>
      <c r="AB467" s="30" t="s">
        <v>1500</v>
      </c>
      <c r="AC467" s="56"/>
      <c r="AE467" s="4" t="str">
        <f t="shared" si="35"/>
        <v>ORD-2024-999607</v>
      </c>
      <c r="AF467" s="4" t="str">
        <f t="shared" si="36"/>
        <v>Americas</v>
      </c>
      <c r="AG467" s="4" t="str">
        <f t="shared" si="37"/>
        <v>Q1</v>
      </c>
      <c r="AH467" s="19">
        <f t="shared" si="38"/>
        <v>493.76</v>
      </c>
      <c r="AI467" s="11" t="str">
        <f t="shared" si="39"/>
        <v>0.2-0.3</v>
      </c>
    </row>
    <row r="468" spans="24:35" x14ac:dyDescent="0.25">
      <c r="X468" t="s">
        <v>97</v>
      </c>
      <c r="Y468" t="s">
        <v>649</v>
      </c>
      <c r="Z468" t="s">
        <v>1506</v>
      </c>
      <c r="AA468" s="19">
        <v>170.39</v>
      </c>
      <c r="AB468" s="30" t="s">
        <v>1498</v>
      </c>
      <c r="AC468" s="56"/>
      <c r="AE468" s="4" t="str">
        <f t="shared" si="35"/>
        <v>ORD-2025-114382</v>
      </c>
      <c r="AF468" s="4" t="str">
        <f t="shared" si="36"/>
        <v>Europe</v>
      </c>
      <c r="AG468" s="4" t="str">
        <f t="shared" si="37"/>
        <v>Q2</v>
      </c>
      <c r="AH468" s="19">
        <f t="shared" si="38"/>
        <v>170.39</v>
      </c>
      <c r="AI468" s="11" t="str">
        <f t="shared" si="39"/>
        <v>0-0.1</v>
      </c>
    </row>
    <row r="469" spans="24:35" x14ac:dyDescent="0.25">
      <c r="X469" t="s">
        <v>379</v>
      </c>
      <c r="Y469" t="s">
        <v>647</v>
      </c>
      <c r="Z469" t="s">
        <v>1505</v>
      </c>
      <c r="AA469" s="19">
        <v>1055.45</v>
      </c>
      <c r="AB469" s="30" t="s">
        <v>1498</v>
      </c>
      <c r="AC469" s="56"/>
      <c r="AE469" s="4" t="str">
        <f t="shared" si="35"/>
        <v>ORD-2025-125517</v>
      </c>
      <c r="AF469" s="4" t="str">
        <f t="shared" si="36"/>
        <v>Asia</v>
      </c>
      <c r="AG469" s="4" t="str">
        <f t="shared" si="37"/>
        <v>Q1</v>
      </c>
      <c r="AH469" s="19">
        <f t="shared" si="38"/>
        <v>1055.45</v>
      </c>
      <c r="AI469" s="11" t="str">
        <f t="shared" si="39"/>
        <v>0-0.1</v>
      </c>
    </row>
    <row r="470" spans="24:35" x14ac:dyDescent="0.25">
      <c r="X470" t="s">
        <v>251</v>
      </c>
      <c r="Y470" t="s">
        <v>648</v>
      </c>
      <c r="Z470" t="s">
        <v>1507</v>
      </c>
      <c r="AA470" s="19">
        <v>1364.89</v>
      </c>
      <c r="AB470" s="30" t="s">
        <v>1499</v>
      </c>
      <c r="AC470" s="56"/>
      <c r="AE470" s="4" t="str">
        <f t="shared" si="35"/>
        <v>ORD-2025-132174</v>
      </c>
      <c r="AF470" s="4" t="str">
        <f t="shared" si="36"/>
        <v>Americas</v>
      </c>
      <c r="AG470" s="4" t="str">
        <f t="shared" si="37"/>
        <v>Q3</v>
      </c>
      <c r="AH470" s="19">
        <f t="shared" si="38"/>
        <v>1364.89</v>
      </c>
      <c r="AI470" s="11" t="str">
        <f t="shared" si="39"/>
        <v>0.1-0.2</v>
      </c>
    </row>
    <row r="471" spans="24:35" x14ac:dyDescent="0.25">
      <c r="X471" t="s">
        <v>528</v>
      </c>
      <c r="Y471" t="s">
        <v>647</v>
      </c>
      <c r="Z471" t="s">
        <v>1505</v>
      </c>
      <c r="AA471" s="19">
        <v>1428.33</v>
      </c>
      <c r="AB471" s="30" t="s">
        <v>1498</v>
      </c>
      <c r="AC471" s="56"/>
      <c r="AE471" s="4" t="str">
        <f t="shared" si="35"/>
        <v>ORD-2025-137394</v>
      </c>
      <c r="AF471" s="4" t="str">
        <f t="shared" si="36"/>
        <v>Asia</v>
      </c>
      <c r="AG471" s="4" t="str">
        <f t="shared" si="37"/>
        <v>Q1</v>
      </c>
      <c r="AH471" s="19">
        <f t="shared" si="38"/>
        <v>1428.33</v>
      </c>
      <c r="AI471" s="11" t="str">
        <f t="shared" si="39"/>
        <v>0-0.1</v>
      </c>
    </row>
    <row r="472" spans="24:35" x14ac:dyDescent="0.25">
      <c r="X472" t="s">
        <v>319</v>
      </c>
      <c r="Y472" t="s">
        <v>649</v>
      </c>
      <c r="Z472" t="s">
        <v>1506</v>
      </c>
      <c r="AA472" s="19">
        <v>86.68</v>
      </c>
      <c r="AB472" s="30" t="s">
        <v>1498</v>
      </c>
      <c r="AC472" s="56"/>
      <c r="AE472" s="4" t="str">
        <f t="shared" si="35"/>
        <v>ORD-2025-138578</v>
      </c>
      <c r="AF472" s="4" t="str">
        <f t="shared" si="36"/>
        <v>Europe</v>
      </c>
      <c r="AG472" s="4" t="str">
        <f t="shared" si="37"/>
        <v>Q2</v>
      </c>
      <c r="AH472" s="19">
        <f t="shared" si="38"/>
        <v>86.68</v>
      </c>
      <c r="AI472" s="11" t="str">
        <f t="shared" si="39"/>
        <v>0-0.1</v>
      </c>
    </row>
    <row r="473" spans="24:35" x14ac:dyDescent="0.25">
      <c r="X473" t="s">
        <v>221</v>
      </c>
      <c r="Y473" t="s">
        <v>646</v>
      </c>
      <c r="Z473" t="s">
        <v>1505</v>
      </c>
      <c r="AA473" s="19">
        <v>1030.44</v>
      </c>
      <c r="AB473" s="30" t="s">
        <v>1499</v>
      </c>
      <c r="AC473" s="56"/>
      <c r="AE473" s="4" t="str">
        <f t="shared" si="35"/>
        <v>ORD-2025-146850</v>
      </c>
      <c r="AF473" s="4" t="str">
        <f t="shared" si="36"/>
        <v>Africa</v>
      </c>
      <c r="AG473" s="4" t="str">
        <f t="shared" si="37"/>
        <v>Q1</v>
      </c>
      <c r="AH473" s="19">
        <f t="shared" si="38"/>
        <v>1030.44</v>
      </c>
      <c r="AI473" s="11" t="str">
        <f t="shared" si="39"/>
        <v>0.1-0.2</v>
      </c>
    </row>
    <row r="474" spans="24:35" x14ac:dyDescent="0.25">
      <c r="X474" t="s">
        <v>549</v>
      </c>
      <c r="Y474" t="s">
        <v>648</v>
      </c>
      <c r="Z474" t="s">
        <v>1505</v>
      </c>
      <c r="AA474" s="19">
        <v>725.62</v>
      </c>
      <c r="AB474" s="30" t="s">
        <v>1499</v>
      </c>
      <c r="AC474" s="56"/>
      <c r="AE474" s="4" t="str">
        <f t="shared" si="35"/>
        <v>ORD-2025-149156</v>
      </c>
      <c r="AF474" s="4" t="str">
        <f t="shared" si="36"/>
        <v>Americas</v>
      </c>
      <c r="AG474" s="4" t="str">
        <f t="shared" si="37"/>
        <v>Q1</v>
      </c>
      <c r="AH474" s="19">
        <f t="shared" si="38"/>
        <v>725.62</v>
      </c>
      <c r="AI474" s="11" t="str">
        <f t="shared" si="39"/>
        <v>0.1-0.2</v>
      </c>
    </row>
    <row r="475" spans="24:35" x14ac:dyDescent="0.25">
      <c r="X475" t="s">
        <v>632</v>
      </c>
      <c r="Y475" t="s">
        <v>649</v>
      </c>
      <c r="Z475" t="s">
        <v>1507</v>
      </c>
      <c r="AA475" s="19">
        <v>930.03</v>
      </c>
      <c r="AB475" s="30" t="s">
        <v>1499</v>
      </c>
      <c r="AC475" s="56"/>
      <c r="AE475" s="4" t="str">
        <f t="shared" si="35"/>
        <v>ORD-2025-150713</v>
      </c>
      <c r="AF475" s="4" t="str">
        <f t="shared" si="36"/>
        <v>Europe</v>
      </c>
      <c r="AG475" s="4" t="str">
        <f t="shared" si="37"/>
        <v>Q3</v>
      </c>
      <c r="AH475" s="19">
        <f t="shared" si="38"/>
        <v>930.03</v>
      </c>
      <c r="AI475" s="11" t="str">
        <f t="shared" si="39"/>
        <v>0.1-0.2</v>
      </c>
    </row>
    <row r="476" spans="24:35" x14ac:dyDescent="0.25">
      <c r="X476" t="s">
        <v>594</v>
      </c>
      <c r="Y476" t="s">
        <v>646</v>
      </c>
      <c r="Z476" t="s">
        <v>1507</v>
      </c>
      <c r="AA476" s="19">
        <v>389.93</v>
      </c>
      <c r="AB476" s="30" t="s">
        <v>1499</v>
      </c>
      <c r="AC476" s="56"/>
      <c r="AE476" s="4" t="str">
        <f t="shared" si="35"/>
        <v>ORD-2025-155182</v>
      </c>
      <c r="AF476" s="4" t="str">
        <f t="shared" si="36"/>
        <v>Africa</v>
      </c>
      <c r="AG476" s="4" t="str">
        <f t="shared" si="37"/>
        <v>Q3</v>
      </c>
      <c r="AH476" s="19">
        <f t="shared" si="38"/>
        <v>389.93</v>
      </c>
      <c r="AI476" s="11" t="str">
        <f t="shared" si="39"/>
        <v>0.1-0.2</v>
      </c>
    </row>
    <row r="477" spans="24:35" x14ac:dyDescent="0.25">
      <c r="X477" t="s">
        <v>18</v>
      </c>
      <c r="Y477" t="s">
        <v>646</v>
      </c>
      <c r="Z477" t="s">
        <v>1505</v>
      </c>
      <c r="AA477" s="19">
        <v>259.93</v>
      </c>
      <c r="AB477" s="30" t="s">
        <v>1498</v>
      </c>
      <c r="AC477" s="56"/>
      <c r="AE477" s="4" t="str">
        <f t="shared" si="35"/>
        <v>ORD-2025-168148</v>
      </c>
      <c r="AF477" s="4" t="str">
        <f t="shared" si="36"/>
        <v>Africa</v>
      </c>
      <c r="AG477" s="4" t="str">
        <f t="shared" si="37"/>
        <v>Q1</v>
      </c>
      <c r="AH477" s="19">
        <f t="shared" si="38"/>
        <v>259.93</v>
      </c>
      <c r="AI477" s="11" t="str">
        <f t="shared" si="39"/>
        <v>0-0.1</v>
      </c>
    </row>
    <row r="478" spans="24:35" x14ac:dyDescent="0.25">
      <c r="X478" t="s">
        <v>584</v>
      </c>
      <c r="Y478" t="s">
        <v>647</v>
      </c>
      <c r="Z478" t="s">
        <v>1506</v>
      </c>
      <c r="AA478" s="19">
        <v>138.9</v>
      </c>
      <c r="AB478" s="30" t="s">
        <v>1498</v>
      </c>
      <c r="AC478" s="56"/>
      <c r="AE478" s="4" t="str">
        <f t="shared" si="35"/>
        <v>ORD-2025-169093</v>
      </c>
      <c r="AF478" s="4" t="str">
        <f t="shared" si="36"/>
        <v>Asia</v>
      </c>
      <c r="AG478" s="4" t="str">
        <f t="shared" si="37"/>
        <v>Q2</v>
      </c>
      <c r="AH478" s="19">
        <f t="shared" si="38"/>
        <v>138.9</v>
      </c>
      <c r="AI478" s="11" t="str">
        <f t="shared" si="39"/>
        <v>0-0.1</v>
      </c>
    </row>
    <row r="479" spans="24:35" x14ac:dyDescent="0.25">
      <c r="X479" t="s">
        <v>586</v>
      </c>
      <c r="Y479" t="s">
        <v>647</v>
      </c>
      <c r="Z479" t="s">
        <v>1505</v>
      </c>
      <c r="AA479" s="19">
        <v>23.83</v>
      </c>
      <c r="AB479" s="30" t="s">
        <v>1498</v>
      </c>
      <c r="AC479" s="56"/>
      <c r="AE479" s="4" t="str">
        <f t="shared" si="35"/>
        <v>ORD-2025-177994</v>
      </c>
      <c r="AF479" s="4" t="str">
        <f t="shared" si="36"/>
        <v>Asia</v>
      </c>
      <c r="AG479" s="4" t="str">
        <f t="shared" si="37"/>
        <v>Q1</v>
      </c>
      <c r="AH479" s="19">
        <f t="shared" si="38"/>
        <v>23.83</v>
      </c>
      <c r="AI479" s="11" t="str">
        <f t="shared" si="39"/>
        <v>0-0.1</v>
      </c>
    </row>
    <row r="480" spans="24:35" x14ac:dyDescent="0.25">
      <c r="X480" t="s">
        <v>135</v>
      </c>
      <c r="Y480" t="s">
        <v>649</v>
      </c>
      <c r="Z480" t="s">
        <v>1506</v>
      </c>
      <c r="AA480" s="19">
        <v>801.24</v>
      </c>
      <c r="AB480" s="30" t="s">
        <v>1499</v>
      </c>
      <c r="AC480" s="56"/>
      <c r="AE480" s="4" t="str">
        <f t="shared" si="35"/>
        <v>ORD-2025-184082</v>
      </c>
      <c r="AF480" s="4" t="str">
        <f t="shared" si="36"/>
        <v>Europe</v>
      </c>
      <c r="AG480" s="4" t="str">
        <f t="shared" si="37"/>
        <v>Q2</v>
      </c>
      <c r="AH480" s="19">
        <f t="shared" si="38"/>
        <v>801.24</v>
      </c>
      <c r="AI480" s="11" t="str">
        <f t="shared" si="39"/>
        <v>0.1-0.2</v>
      </c>
    </row>
    <row r="481" spans="24:35" x14ac:dyDescent="0.25">
      <c r="X481" t="s">
        <v>272</v>
      </c>
      <c r="Y481" t="s">
        <v>649</v>
      </c>
      <c r="Z481" t="s">
        <v>1506</v>
      </c>
      <c r="AA481" s="19">
        <v>314.93</v>
      </c>
      <c r="AB481" s="30" t="s">
        <v>1500</v>
      </c>
      <c r="AC481" s="56"/>
      <c r="AE481" s="4" t="str">
        <f t="shared" si="35"/>
        <v>ORD-2025-184754</v>
      </c>
      <c r="AF481" s="4" t="str">
        <f t="shared" si="36"/>
        <v>Europe</v>
      </c>
      <c r="AG481" s="4" t="str">
        <f t="shared" si="37"/>
        <v>Q2</v>
      </c>
      <c r="AH481" s="19">
        <f t="shared" si="38"/>
        <v>314.93</v>
      </c>
      <c r="AI481" s="11" t="str">
        <f t="shared" si="39"/>
        <v>0.2-0.3</v>
      </c>
    </row>
    <row r="482" spans="24:35" x14ac:dyDescent="0.25">
      <c r="X482" t="s">
        <v>390</v>
      </c>
      <c r="Y482" t="s">
        <v>647</v>
      </c>
      <c r="Z482" t="s">
        <v>1506</v>
      </c>
      <c r="AA482" s="19">
        <v>1227.7</v>
      </c>
      <c r="AB482" s="30" t="s">
        <v>1498</v>
      </c>
      <c r="AC482" s="56"/>
      <c r="AE482" s="4" t="str">
        <f t="shared" si="35"/>
        <v>ORD-2025-188059</v>
      </c>
      <c r="AF482" s="4" t="str">
        <f t="shared" si="36"/>
        <v>Asia</v>
      </c>
      <c r="AG482" s="4" t="str">
        <f t="shared" si="37"/>
        <v>Q2</v>
      </c>
      <c r="AH482" s="19">
        <f t="shared" si="38"/>
        <v>1227.7</v>
      </c>
      <c r="AI482" s="11" t="str">
        <f t="shared" si="39"/>
        <v>0-0.1</v>
      </c>
    </row>
    <row r="483" spans="24:35" x14ac:dyDescent="0.25">
      <c r="X483" t="s">
        <v>616</v>
      </c>
      <c r="Y483" t="s">
        <v>649</v>
      </c>
      <c r="Z483" t="s">
        <v>1507</v>
      </c>
      <c r="AA483" s="19">
        <v>416.16</v>
      </c>
      <c r="AB483" s="30" t="s">
        <v>1498</v>
      </c>
      <c r="AC483" s="56"/>
      <c r="AE483" s="4" t="str">
        <f t="shared" si="35"/>
        <v>ORD-2025-189846</v>
      </c>
      <c r="AF483" s="4" t="str">
        <f t="shared" si="36"/>
        <v>Europe</v>
      </c>
      <c r="AG483" s="4" t="str">
        <f t="shared" si="37"/>
        <v>Q3</v>
      </c>
      <c r="AH483" s="19">
        <f t="shared" si="38"/>
        <v>416.16</v>
      </c>
      <c r="AI483" s="11" t="str">
        <f t="shared" si="39"/>
        <v>0-0.1</v>
      </c>
    </row>
    <row r="484" spans="24:35" x14ac:dyDescent="0.25">
      <c r="X484" t="s">
        <v>314</v>
      </c>
      <c r="Y484" t="s">
        <v>648</v>
      </c>
      <c r="Z484" t="s">
        <v>1506</v>
      </c>
      <c r="AA484" s="19">
        <v>862.89</v>
      </c>
      <c r="AB484" s="30" t="s">
        <v>1498</v>
      </c>
      <c r="AC484" s="56"/>
      <c r="AE484" s="4" t="str">
        <f t="shared" si="35"/>
        <v>ORD-2025-191328</v>
      </c>
      <c r="AF484" s="4" t="str">
        <f t="shared" si="36"/>
        <v>Americas</v>
      </c>
      <c r="AG484" s="4" t="str">
        <f t="shared" si="37"/>
        <v>Q2</v>
      </c>
      <c r="AH484" s="19">
        <f t="shared" si="38"/>
        <v>862.89</v>
      </c>
      <c r="AI484" s="11" t="str">
        <f t="shared" si="39"/>
        <v>0-0.1</v>
      </c>
    </row>
    <row r="485" spans="24:35" x14ac:dyDescent="0.25">
      <c r="X485" t="s">
        <v>394</v>
      </c>
      <c r="Y485" t="s">
        <v>649</v>
      </c>
      <c r="Z485" t="s">
        <v>1505</v>
      </c>
      <c r="AA485" s="19">
        <v>378.26</v>
      </c>
      <c r="AB485" s="30" t="s">
        <v>1499</v>
      </c>
      <c r="AC485" s="56"/>
      <c r="AE485" s="4" t="str">
        <f t="shared" si="35"/>
        <v>ORD-2025-192876</v>
      </c>
      <c r="AF485" s="4" t="str">
        <f t="shared" si="36"/>
        <v>Europe</v>
      </c>
      <c r="AG485" s="4" t="str">
        <f t="shared" si="37"/>
        <v>Q1</v>
      </c>
      <c r="AH485" s="19">
        <f t="shared" si="38"/>
        <v>378.26</v>
      </c>
      <c r="AI485" s="11" t="str">
        <f t="shared" si="39"/>
        <v>0.1-0.2</v>
      </c>
    </row>
    <row r="486" spans="24:35" x14ac:dyDescent="0.25">
      <c r="X486" t="s">
        <v>432</v>
      </c>
      <c r="Y486" t="s">
        <v>647</v>
      </c>
      <c r="Z486" t="s">
        <v>1505</v>
      </c>
      <c r="AA486" s="19">
        <v>80.59</v>
      </c>
      <c r="AB486" s="30" t="s">
        <v>1500</v>
      </c>
      <c r="AC486" s="56"/>
      <c r="AE486" s="4" t="str">
        <f t="shared" si="35"/>
        <v>ORD-2025-222035</v>
      </c>
      <c r="AF486" s="4" t="str">
        <f t="shared" si="36"/>
        <v>Asia</v>
      </c>
      <c r="AG486" s="4" t="str">
        <f t="shared" si="37"/>
        <v>Q1</v>
      </c>
      <c r="AH486" s="19">
        <f t="shared" si="38"/>
        <v>80.59</v>
      </c>
      <c r="AI486" s="11" t="str">
        <f t="shared" si="39"/>
        <v>0.2-0.3</v>
      </c>
    </row>
    <row r="487" spans="24:35" x14ac:dyDescent="0.25">
      <c r="X487" t="s">
        <v>329</v>
      </c>
      <c r="Y487" t="s">
        <v>649</v>
      </c>
      <c r="Z487" t="s">
        <v>1506</v>
      </c>
      <c r="AA487" s="19">
        <v>379.45</v>
      </c>
      <c r="AB487" s="30" t="s">
        <v>1498</v>
      </c>
      <c r="AC487" s="56"/>
      <c r="AE487" s="4" t="str">
        <f t="shared" si="35"/>
        <v>ORD-2025-231184</v>
      </c>
      <c r="AF487" s="4" t="str">
        <f t="shared" si="36"/>
        <v>Europe</v>
      </c>
      <c r="AG487" s="4" t="str">
        <f t="shared" si="37"/>
        <v>Q2</v>
      </c>
      <c r="AH487" s="19">
        <f t="shared" si="38"/>
        <v>379.45</v>
      </c>
      <c r="AI487" s="11" t="str">
        <f t="shared" si="39"/>
        <v>0-0.1</v>
      </c>
    </row>
    <row r="488" spans="24:35" x14ac:dyDescent="0.25">
      <c r="X488" t="s">
        <v>32</v>
      </c>
      <c r="Y488" t="s">
        <v>647</v>
      </c>
      <c r="Z488" t="s">
        <v>1507</v>
      </c>
      <c r="AA488" s="19">
        <v>1225.57</v>
      </c>
      <c r="AB488" s="30" t="s">
        <v>1499</v>
      </c>
      <c r="AC488" s="56"/>
      <c r="AE488" s="4" t="str">
        <f t="shared" si="35"/>
        <v>ORD-2025-233883</v>
      </c>
      <c r="AF488" s="4" t="str">
        <f t="shared" si="36"/>
        <v>Asia</v>
      </c>
      <c r="AG488" s="4" t="str">
        <f t="shared" si="37"/>
        <v>Q3</v>
      </c>
      <c r="AH488" s="19">
        <f t="shared" si="38"/>
        <v>1225.57</v>
      </c>
      <c r="AI488" s="11" t="str">
        <f t="shared" si="39"/>
        <v>0.1-0.2</v>
      </c>
    </row>
    <row r="489" spans="24:35" x14ac:dyDescent="0.25">
      <c r="X489" t="s">
        <v>161</v>
      </c>
      <c r="Y489" t="s">
        <v>646</v>
      </c>
      <c r="Z489" t="s">
        <v>1507</v>
      </c>
      <c r="AA489" s="19">
        <v>891.46</v>
      </c>
      <c r="AB489" s="30" t="s">
        <v>1499</v>
      </c>
      <c r="AC489" s="56"/>
      <c r="AE489" s="4" t="str">
        <f t="shared" si="35"/>
        <v>ORD-2025-244832</v>
      </c>
      <c r="AF489" s="4" t="str">
        <f t="shared" si="36"/>
        <v>Africa</v>
      </c>
      <c r="AG489" s="4" t="str">
        <f t="shared" si="37"/>
        <v>Q3</v>
      </c>
      <c r="AH489" s="19">
        <f t="shared" si="38"/>
        <v>891.46</v>
      </c>
      <c r="AI489" s="11" t="str">
        <f t="shared" si="39"/>
        <v>0.1-0.2</v>
      </c>
    </row>
    <row r="490" spans="24:35" x14ac:dyDescent="0.25">
      <c r="X490" t="s">
        <v>165</v>
      </c>
      <c r="Y490" t="s">
        <v>648</v>
      </c>
      <c r="Z490" t="s">
        <v>1506</v>
      </c>
      <c r="AA490" s="19">
        <v>763.32</v>
      </c>
      <c r="AB490" s="30" t="s">
        <v>1499</v>
      </c>
      <c r="AC490" s="56"/>
      <c r="AE490" s="4" t="str">
        <f t="shared" si="35"/>
        <v>ORD-2025-246470</v>
      </c>
      <c r="AF490" s="4" t="str">
        <f t="shared" si="36"/>
        <v>Americas</v>
      </c>
      <c r="AG490" s="4" t="str">
        <f t="shared" si="37"/>
        <v>Q2</v>
      </c>
      <c r="AH490" s="19">
        <f t="shared" si="38"/>
        <v>763.32</v>
      </c>
      <c r="AI490" s="11" t="str">
        <f t="shared" si="39"/>
        <v>0.1-0.2</v>
      </c>
    </row>
    <row r="491" spans="24:35" x14ac:dyDescent="0.25">
      <c r="X491" t="s">
        <v>599</v>
      </c>
      <c r="Y491" t="s">
        <v>648</v>
      </c>
      <c r="Z491" t="s">
        <v>1506</v>
      </c>
      <c r="AA491" s="19">
        <v>719.41</v>
      </c>
      <c r="AB491" s="30" t="s">
        <v>1498</v>
      </c>
      <c r="AC491" s="56"/>
      <c r="AE491" s="4" t="str">
        <f t="shared" si="35"/>
        <v>ORD-2025-246692</v>
      </c>
      <c r="AF491" s="4" t="str">
        <f t="shared" si="36"/>
        <v>Americas</v>
      </c>
      <c r="AG491" s="4" t="str">
        <f t="shared" si="37"/>
        <v>Q2</v>
      </c>
      <c r="AH491" s="19">
        <f t="shared" si="38"/>
        <v>719.41</v>
      </c>
      <c r="AI491" s="11" t="str">
        <f t="shared" si="39"/>
        <v>0-0.1</v>
      </c>
    </row>
    <row r="492" spans="24:35" x14ac:dyDescent="0.25">
      <c r="X492" t="s">
        <v>263</v>
      </c>
      <c r="Y492" t="s">
        <v>647</v>
      </c>
      <c r="Z492" t="s">
        <v>1507</v>
      </c>
      <c r="AA492" s="19">
        <v>1212.99</v>
      </c>
      <c r="AB492" s="30" t="s">
        <v>1499</v>
      </c>
      <c r="AC492" s="56"/>
      <c r="AE492" s="4" t="str">
        <f t="shared" si="35"/>
        <v>ORD-2025-248586</v>
      </c>
      <c r="AF492" s="4" t="str">
        <f t="shared" si="36"/>
        <v>Asia</v>
      </c>
      <c r="AG492" s="4" t="str">
        <f t="shared" si="37"/>
        <v>Q3</v>
      </c>
      <c r="AH492" s="19">
        <f t="shared" si="38"/>
        <v>1212.99</v>
      </c>
      <c r="AI492" s="11" t="str">
        <f t="shared" si="39"/>
        <v>0.1-0.2</v>
      </c>
    </row>
    <row r="493" spans="24:35" x14ac:dyDescent="0.25">
      <c r="X493" t="s">
        <v>497</v>
      </c>
      <c r="Y493" t="s">
        <v>649</v>
      </c>
      <c r="Z493" t="s">
        <v>1506</v>
      </c>
      <c r="AA493" s="19">
        <v>350.76</v>
      </c>
      <c r="AB493" s="30" t="s">
        <v>1498</v>
      </c>
      <c r="AC493" s="56"/>
      <c r="AE493" s="4" t="str">
        <f t="shared" si="35"/>
        <v>ORD-2025-252117</v>
      </c>
      <c r="AF493" s="4" t="str">
        <f t="shared" si="36"/>
        <v>Europe</v>
      </c>
      <c r="AG493" s="4" t="str">
        <f t="shared" si="37"/>
        <v>Q2</v>
      </c>
      <c r="AH493" s="19">
        <f t="shared" si="38"/>
        <v>350.76</v>
      </c>
      <c r="AI493" s="11" t="str">
        <f t="shared" si="39"/>
        <v>0-0.1</v>
      </c>
    </row>
    <row r="494" spans="24:35" x14ac:dyDescent="0.25">
      <c r="X494" t="s">
        <v>503</v>
      </c>
      <c r="Y494" t="s">
        <v>647</v>
      </c>
      <c r="Z494" t="s">
        <v>1506</v>
      </c>
      <c r="AA494" s="19">
        <v>1466.5</v>
      </c>
      <c r="AB494" s="30" t="s">
        <v>1499</v>
      </c>
      <c r="AC494" s="56"/>
      <c r="AE494" s="4" t="str">
        <f t="shared" si="35"/>
        <v>ORD-2025-254721</v>
      </c>
      <c r="AF494" s="4" t="str">
        <f t="shared" si="36"/>
        <v>Asia</v>
      </c>
      <c r="AG494" s="4" t="str">
        <f t="shared" si="37"/>
        <v>Q2</v>
      </c>
      <c r="AH494" s="19">
        <f t="shared" si="38"/>
        <v>1466.5</v>
      </c>
      <c r="AI494" s="11" t="str">
        <f t="shared" si="39"/>
        <v>0.1-0.2</v>
      </c>
    </row>
    <row r="495" spans="24:35" x14ac:dyDescent="0.25">
      <c r="X495" t="s">
        <v>621</v>
      </c>
      <c r="Y495" t="s">
        <v>646</v>
      </c>
      <c r="Z495" t="s">
        <v>1506</v>
      </c>
      <c r="AA495" s="19">
        <v>1466.27</v>
      </c>
      <c r="AB495" s="30" t="s">
        <v>1498</v>
      </c>
      <c r="AC495" s="56"/>
      <c r="AE495" s="4" t="str">
        <f t="shared" si="35"/>
        <v>ORD-2025-262434</v>
      </c>
      <c r="AF495" s="4" t="str">
        <f t="shared" si="36"/>
        <v>Africa</v>
      </c>
      <c r="AG495" s="4" t="str">
        <f t="shared" si="37"/>
        <v>Q2</v>
      </c>
      <c r="AH495" s="19">
        <f t="shared" si="38"/>
        <v>1466.27</v>
      </c>
      <c r="AI495" s="11" t="str">
        <f t="shared" si="39"/>
        <v>0-0.1</v>
      </c>
    </row>
    <row r="496" spans="24:35" x14ac:dyDescent="0.25">
      <c r="X496" t="s">
        <v>111</v>
      </c>
      <c r="Y496" t="s">
        <v>647</v>
      </c>
      <c r="Z496" t="s">
        <v>1507</v>
      </c>
      <c r="AA496" s="19">
        <v>24.44</v>
      </c>
      <c r="AB496" s="30" t="s">
        <v>1499</v>
      </c>
      <c r="AC496" s="56"/>
      <c r="AE496" s="4" t="str">
        <f t="shared" si="35"/>
        <v>ORD-2025-262491</v>
      </c>
      <c r="AF496" s="4" t="str">
        <f t="shared" si="36"/>
        <v>Asia</v>
      </c>
      <c r="AG496" s="4" t="str">
        <f t="shared" si="37"/>
        <v>Q3</v>
      </c>
      <c r="AH496" s="19">
        <f t="shared" si="38"/>
        <v>24.44</v>
      </c>
      <c r="AI496" s="11" t="str">
        <f t="shared" si="39"/>
        <v>0.1-0.2</v>
      </c>
    </row>
    <row r="497" spans="24:35" x14ac:dyDescent="0.25">
      <c r="X497" t="s">
        <v>387</v>
      </c>
      <c r="Y497" t="s">
        <v>649</v>
      </c>
      <c r="Z497" t="s">
        <v>1506</v>
      </c>
      <c r="AA497" s="19">
        <v>290.14</v>
      </c>
      <c r="AB497" s="30" t="s">
        <v>1498</v>
      </c>
      <c r="AC497" s="56"/>
      <c r="AE497" s="4" t="str">
        <f t="shared" si="35"/>
        <v>ORD-2025-269934</v>
      </c>
      <c r="AF497" s="4" t="str">
        <f t="shared" si="36"/>
        <v>Europe</v>
      </c>
      <c r="AG497" s="4" t="str">
        <f t="shared" si="37"/>
        <v>Q2</v>
      </c>
      <c r="AH497" s="19">
        <f t="shared" si="38"/>
        <v>290.14</v>
      </c>
      <c r="AI497" s="11" t="str">
        <f t="shared" si="39"/>
        <v>0-0.1</v>
      </c>
    </row>
    <row r="498" spans="24:35" x14ac:dyDescent="0.25">
      <c r="X498" t="s">
        <v>435</v>
      </c>
      <c r="Y498" t="s">
        <v>648</v>
      </c>
      <c r="Z498" t="s">
        <v>1505</v>
      </c>
      <c r="AA498" s="19">
        <v>1205.26</v>
      </c>
      <c r="AB498" s="30" t="s">
        <v>1498</v>
      </c>
      <c r="AC498" s="56"/>
      <c r="AE498" s="4" t="str">
        <f t="shared" si="35"/>
        <v>ORD-2025-276968</v>
      </c>
      <c r="AF498" s="4" t="str">
        <f t="shared" si="36"/>
        <v>Americas</v>
      </c>
      <c r="AG498" s="4" t="str">
        <f t="shared" si="37"/>
        <v>Q1</v>
      </c>
      <c r="AH498" s="19">
        <f t="shared" si="38"/>
        <v>1205.26</v>
      </c>
      <c r="AI498" s="11" t="str">
        <f t="shared" si="39"/>
        <v>0-0.1</v>
      </c>
    </row>
    <row r="499" spans="24:35" x14ac:dyDescent="0.25">
      <c r="X499" t="s">
        <v>317</v>
      </c>
      <c r="Y499" t="s">
        <v>649</v>
      </c>
      <c r="Z499" t="s">
        <v>1506</v>
      </c>
      <c r="AA499" s="19">
        <v>892.73</v>
      </c>
      <c r="AB499" s="30" t="s">
        <v>1499</v>
      </c>
      <c r="AC499" s="56"/>
      <c r="AE499" s="4" t="str">
        <f t="shared" si="35"/>
        <v>ORD-2025-278048</v>
      </c>
      <c r="AF499" s="4" t="str">
        <f t="shared" si="36"/>
        <v>Europe</v>
      </c>
      <c r="AG499" s="4" t="str">
        <f t="shared" si="37"/>
        <v>Q2</v>
      </c>
      <c r="AH499" s="19">
        <f t="shared" si="38"/>
        <v>892.73</v>
      </c>
      <c r="AI499" s="11" t="str">
        <f t="shared" si="39"/>
        <v>0.1-0.2</v>
      </c>
    </row>
    <row r="500" spans="24:35" x14ac:dyDescent="0.25">
      <c r="X500" t="s">
        <v>603</v>
      </c>
      <c r="Y500" t="s">
        <v>649</v>
      </c>
      <c r="Z500" t="s">
        <v>1505</v>
      </c>
      <c r="AA500" s="19">
        <v>1027.26</v>
      </c>
      <c r="AB500" s="30" t="s">
        <v>1498</v>
      </c>
      <c r="AC500" s="56"/>
      <c r="AE500" s="4" t="str">
        <f t="shared" si="35"/>
        <v>ORD-2025-281062</v>
      </c>
      <c r="AF500" s="4" t="str">
        <f t="shared" si="36"/>
        <v>Europe</v>
      </c>
      <c r="AG500" s="4" t="str">
        <f t="shared" si="37"/>
        <v>Q1</v>
      </c>
      <c r="AH500" s="19">
        <f t="shared" si="38"/>
        <v>1027.26</v>
      </c>
      <c r="AI500" s="11" t="str">
        <f t="shared" si="39"/>
        <v>0-0.1</v>
      </c>
    </row>
    <row r="501" spans="24:35" x14ac:dyDescent="0.25">
      <c r="X501" t="s">
        <v>590</v>
      </c>
      <c r="Y501" t="s">
        <v>648</v>
      </c>
      <c r="Z501" t="s">
        <v>1507</v>
      </c>
      <c r="AA501" s="19">
        <v>698.66</v>
      </c>
      <c r="AB501" s="30" t="s">
        <v>1498</v>
      </c>
      <c r="AC501" s="56"/>
      <c r="AE501" s="4" t="str">
        <f t="shared" si="35"/>
        <v>ORD-2025-281413</v>
      </c>
      <c r="AF501" s="4" t="str">
        <f t="shared" si="36"/>
        <v>Americas</v>
      </c>
      <c r="AG501" s="4" t="str">
        <f t="shared" si="37"/>
        <v>Q3</v>
      </c>
      <c r="AH501" s="19">
        <f t="shared" si="38"/>
        <v>698.66</v>
      </c>
      <c r="AI501" s="11" t="str">
        <f t="shared" si="39"/>
        <v>0-0.1</v>
      </c>
    </row>
    <row r="502" spans="24:35" x14ac:dyDescent="0.25">
      <c r="X502" t="s">
        <v>242</v>
      </c>
      <c r="Y502" t="s">
        <v>648</v>
      </c>
      <c r="Z502" t="s">
        <v>1507</v>
      </c>
      <c r="AA502" s="19">
        <v>933.29</v>
      </c>
      <c r="AB502" s="30" t="s">
        <v>1499</v>
      </c>
      <c r="AC502" s="56"/>
      <c r="AE502" s="4" t="str">
        <f t="shared" si="35"/>
        <v>ORD-2025-289139</v>
      </c>
      <c r="AF502" s="4" t="str">
        <f t="shared" si="36"/>
        <v>Americas</v>
      </c>
      <c r="AG502" s="4" t="str">
        <f t="shared" si="37"/>
        <v>Q3</v>
      </c>
      <c r="AH502" s="19">
        <f t="shared" si="38"/>
        <v>933.29</v>
      </c>
      <c r="AI502" s="11" t="str">
        <f t="shared" si="39"/>
        <v>0.1-0.2</v>
      </c>
    </row>
    <row r="503" spans="24:35" x14ac:dyDescent="0.25">
      <c r="X503" t="s">
        <v>477</v>
      </c>
      <c r="Y503" t="s">
        <v>646</v>
      </c>
      <c r="Z503" t="s">
        <v>1506</v>
      </c>
      <c r="AA503" s="19">
        <v>113.74</v>
      </c>
      <c r="AB503" s="30" t="s">
        <v>1499</v>
      </c>
      <c r="AC503" s="56"/>
      <c r="AE503" s="4" t="str">
        <f t="shared" si="35"/>
        <v>ORD-2025-306251</v>
      </c>
      <c r="AF503" s="4" t="str">
        <f t="shared" si="36"/>
        <v>Africa</v>
      </c>
      <c r="AG503" s="4" t="str">
        <f t="shared" si="37"/>
        <v>Q2</v>
      </c>
      <c r="AH503" s="19">
        <f t="shared" si="38"/>
        <v>113.74</v>
      </c>
      <c r="AI503" s="11" t="str">
        <f t="shared" si="39"/>
        <v>0.1-0.2</v>
      </c>
    </row>
    <row r="504" spans="24:35" x14ac:dyDescent="0.25">
      <c r="X504" t="s">
        <v>383</v>
      </c>
      <c r="Y504" t="s">
        <v>648</v>
      </c>
      <c r="Z504" t="s">
        <v>1506</v>
      </c>
      <c r="AA504" s="19">
        <v>255.4</v>
      </c>
      <c r="AB504" s="30" t="s">
        <v>1499</v>
      </c>
      <c r="AC504" s="56"/>
      <c r="AE504" s="4" t="str">
        <f t="shared" si="35"/>
        <v>ORD-2025-306903</v>
      </c>
      <c r="AF504" s="4" t="str">
        <f t="shared" si="36"/>
        <v>Americas</v>
      </c>
      <c r="AG504" s="4" t="str">
        <f t="shared" si="37"/>
        <v>Q2</v>
      </c>
      <c r="AH504" s="19">
        <f t="shared" si="38"/>
        <v>255.4</v>
      </c>
      <c r="AI504" s="11" t="str">
        <f t="shared" si="39"/>
        <v>0.1-0.2</v>
      </c>
    </row>
    <row r="505" spans="24:35" x14ac:dyDescent="0.25">
      <c r="X505" t="s">
        <v>548</v>
      </c>
      <c r="Y505" t="s">
        <v>646</v>
      </c>
      <c r="Z505" t="s">
        <v>1506</v>
      </c>
      <c r="AA505" s="19">
        <v>1151.06</v>
      </c>
      <c r="AB505" s="30" t="s">
        <v>1500</v>
      </c>
      <c r="AC505" s="56"/>
      <c r="AE505" s="4" t="str">
        <f t="shared" si="35"/>
        <v>ORD-2025-312803</v>
      </c>
      <c r="AF505" s="4" t="str">
        <f t="shared" si="36"/>
        <v>Africa</v>
      </c>
      <c r="AG505" s="4" t="str">
        <f t="shared" si="37"/>
        <v>Q2</v>
      </c>
      <c r="AH505" s="19">
        <f t="shared" si="38"/>
        <v>1151.06</v>
      </c>
      <c r="AI505" s="11" t="str">
        <f t="shared" si="39"/>
        <v>0.2-0.3</v>
      </c>
    </row>
    <row r="506" spans="24:35" x14ac:dyDescent="0.25">
      <c r="X506" t="s">
        <v>348</v>
      </c>
      <c r="Y506" t="s">
        <v>647</v>
      </c>
      <c r="Z506" t="s">
        <v>1506</v>
      </c>
      <c r="AA506" s="19">
        <v>481.32</v>
      </c>
      <c r="AB506" s="30" t="s">
        <v>1499</v>
      </c>
      <c r="AC506" s="56"/>
      <c r="AE506" s="4" t="str">
        <f t="shared" si="35"/>
        <v>ORD-2025-323492</v>
      </c>
      <c r="AF506" s="4" t="str">
        <f t="shared" si="36"/>
        <v>Asia</v>
      </c>
      <c r="AG506" s="4" t="str">
        <f t="shared" si="37"/>
        <v>Q2</v>
      </c>
      <c r="AH506" s="19">
        <f t="shared" si="38"/>
        <v>481.32</v>
      </c>
      <c r="AI506" s="11" t="str">
        <f t="shared" si="39"/>
        <v>0.1-0.2</v>
      </c>
    </row>
    <row r="507" spans="24:35" x14ac:dyDescent="0.25">
      <c r="X507" t="s">
        <v>115</v>
      </c>
      <c r="Y507" t="s">
        <v>647</v>
      </c>
      <c r="Z507" t="s">
        <v>1505</v>
      </c>
      <c r="AA507" s="19">
        <v>1253.22</v>
      </c>
      <c r="AB507" s="30" t="s">
        <v>1498</v>
      </c>
      <c r="AC507" s="56"/>
      <c r="AE507" s="4" t="str">
        <f t="shared" si="35"/>
        <v>ORD-2025-328504</v>
      </c>
      <c r="AF507" s="4" t="str">
        <f t="shared" si="36"/>
        <v>Asia</v>
      </c>
      <c r="AG507" s="4" t="str">
        <f t="shared" si="37"/>
        <v>Q1</v>
      </c>
      <c r="AH507" s="19">
        <f t="shared" si="38"/>
        <v>1253.22</v>
      </c>
      <c r="AI507" s="11" t="str">
        <f t="shared" si="39"/>
        <v>0-0.1</v>
      </c>
    </row>
    <row r="508" spans="24:35" x14ac:dyDescent="0.25">
      <c r="X508" t="s">
        <v>99</v>
      </c>
      <c r="Y508" t="s">
        <v>649</v>
      </c>
      <c r="Z508" t="s">
        <v>1505</v>
      </c>
      <c r="AA508" s="19">
        <v>1421.19</v>
      </c>
      <c r="AB508" s="30" t="s">
        <v>1499</v>
      </c>
      <c r="AC508" s="56"/>
      <c r="AE508" s="4" t="str">
        <f t="shared" si="35"/>
        <v>ORD-2025-330203</v>
      </c>
      <c r="AF508" s="4" t="str">
        <f t="shared" si="36"/>
        <v>Europe</v>
      </c>
      <c r="AG508" s="4" t="str">
        <f t="shared" si="37"/>
        <v>Q1</v>
      </c>
      <c r="AH508" s="19">
        <f t="shared" si="38"/>
        <v>1421.19</v>
      </c>
      <c r="AI508" s="11" t="str">
        <f t="shared" si="39"/>
        <v>0.1-0.2</v>
      </c>
    </row>
    <row r="509" spans="24:35" x14ac:dyDescent="0.25">
      <c r="X509" t="s">
        <v>517</v>
      </c>
      <c r="Y509" t="s">
        <v>647</v>
      </c>
      <c r="Z509" t="s">
        <v>1505</v>
      </c>
      <c r="AA509" s="19">
        <v>1133.03</v>
      </c>
      <c r="AB509" s="30" t="s">
        <v>1499</v>
      </c>
      <c r="AC509" s="56"/>
      <c r="AE509" s="4" t="str">
        <f t="shared" si="35"/>
        <v>ORD-2025-331237</v>
      </c>
      <c r="AF509" s="4" t="str">
        <f t="shared" si="36"/>
        <v>Asia</v>
      </c>
      <c r="AG509" s="4" t="str">
        <f t="shared" si="37"/>
        <v>Q1</v>
      </c>
      <c r="AH509" s="19">
        <f t="shared" si="38"/>
        <v>1133.03</v>
      </c>
      <c r="AI509" s="11" t="str">
        <f t="shared" si="39"/>
        <v>0.1-0.2</v>
      </c>
    </row>
    <row r="510" spans="24:35" x14ac:dyDescent="0.25">
      <c r="X510" t="s">
        <v>568</v>
      </c>
      <c r="Y510" t="s">
        <v>646</v>
      </c>
      <c r="Z510" t="s">
        <v>1505</v>
      </c>
      <c r="AA510" s="19">
        <v>1162.8599999999999</v>
      </c>
      <c r="AB510" s="30" t="s">
        <v>1498</v>
      </c>
      <c r="AC510" s="56"/>
      <c r="AE510" s="4" t="str">
        <f t="shared" si="35"/>
        <v>ORD-2025-332931</v>
      </c>
      <c r="AF510" s="4" t="str">
        <f t="shared" si="36"/>
        <v>Africa</v>
      </c>
      <c r="AG510" s="4" t="str">
        <f t="shared" si="37"/>
        <v>Q1</v>
      </c>
      <c r="AH510" s="19">
        <f t="shared" si="38"/>
        <v>1162.8599999999999</v>
      </c>
      <c r="AI510" s="11" t="str">
        <f t="shared" si="39"/>
        <v>0-0.1</v>
      </c>
    </row>
    <row r="511" spans="24:35" x14ac:dyDescent="0.25">
      <c r="X511" t="s">
        <v>567</v>
      </c>
      <c r="Y511" t="s">
        <v>649</v>
      </c>
      <c r="Z511" t="s">
        <v>1505</v>
      </c>
      <c r="AA511" s="19">
        <v>730.42</v>
      </c>
      <c r="AB511" s="30" t="s">
        <v>1498</v>
      </c>
      <c r="AC511" s="56"/>
      <c r="AE511" s="4" t="str">
        <f t="shared" si="35"/>
        <v>ORD-2025-337268</v>
      </c>
      <c r="AF511" s="4" t="str">
        <f t="shared" si="36"/>
        <v>Europe</v>
      </c>
      <c r="AG511" s="4" t="str">
        <f t="shared" si="37"/>
        <v>Q1</v>
      </c>
      <c r="AH511" s="19">
        <f t="shared" si="38"/>
        <v>730.42</v>
      </c>
      <c r="AI511" s="11" t="str">
        <f t="shared" si="39"/>
        <v>0-0.1</v>
      </c>
    </row>
    <row r="512" spans="24:35" x14ac:dyDescent="0.25">
      <c r="X512" t="s">
        <v>148</v>
      </c>
      <c r="Y512" t="s">
        <v>647</v>
      </c>
      <c r="Z512" t="s">
        <v>1505</v>
      </c>
      <c r="AA512" s="19">
        <v>304.77999999999997</v>
      </c>
      <c r="AB512" s="30" t="s">
        <v>1499</v>
      </c>
      <c r="AC512" s="56"/>
      <c r="AE512" s="4" t="str">
        <f t="shared" si="35"/>
        <v>ORD-2025-354346</v>
      </c>
      <c r="AF512" s="4" t="str">
        <f t="shared" si="36"/>
        <v>Asia</v>
      </c>
      <c r="AG512" s="4" t="str">
        <f t="shared" si="37"/>
        <v>Q1</v>
      </c>
      <c r="AH512" s="19">
        <f t="shared" si="38"/>
        <v>304.77999999999997</v>
      </c>
      <c r="AI512" s="11" t="str">
        <f t="shared" si="39"/>
        <v>0.1-0.2</v>
      </c>
    </row>
    <row r="513" spans="24:35" x14ac:dyDescent="0.25">
      <c r="X513" t="s">
        <v>321</v>
      </c>
      <c r="Y513" t="s">
        <v>648</v>
      </c>
      <c r="Z513" t="s">
        <v>1506</v>
      </c>
      <c r="AA513" s="19">
        <v>382.96</v>
      </c>
      <c r="AB513" s="30" t="s">
        <v>1499</v>
      </c>
      <c r="AC513" s="56"/>
      <c r="AE513" s="4" t="str">
        <f t="shared" si="35"/>
        <v>ORD-2025-364852</v>
      </c>
      <c r="AF513" s="4" t="str">
        <f t="shared" si="36"/>
        <v>Americas</v>
      </c>
      <c r="AG513" s="4" t="str">
        <f t="shared" si="37"/>
        <v>Q2</v>
      </c>
      <c r="AH513" s="19">
        <f t="shared" si="38"/>
        <v>382.96</v>
      </c>
      <c r="AI513" s="11" t="str">
        <f t="shared" si="39"/>
        <v>0.1-0.2</v>
      </c>
    </row>
    <row r="514" spans="24:35" x14ac:dyDescent="0.25">
      <c r="X514" t="s">
        <v>309</v>
      </c>
      <c r="Y514" t="s">
        <v>649</v>
      </c>
      <c r="Z514" t="s">
        <v>1506</v>
      </c>
      <c r="AA514" s="19">
        <v>1362.31</v>
      </c>
      <c r="AB514" s="30" t="s">
        <v>1499</v>
      </c>
      <c r="AC514" s="56"/>
      <c r="AE514" s="4" t="str">
        <f t="shared" si="35"/>
        <v>ORD-2025-398335</v>
      </c>
      <c r="AF514" s="4" t="str">
        <f t="shared" si="36"/>
        <v>Europe</v>
      </c>
      <c r="AG514" s="4" t="str">
        <f t="shared" si="37"/>
        <v>Q2</v>
      </c>
      <c r="AH514" s="19">
        <f t="shared" si="38"/>
        <v>1362.31</v>
      </c>
      <c r="AI514" s="11" t="str">
        <f t="shared" si="39"/>
        <v>0.1-0.2</v>
      </c>
    </row>
    <row r="515" spans="24:35" x14ac:dyDescent="0.25">
      <c r="X515" t="s">
        <v>431</v>
      </c>
      <c r="Y515" t="s">
        <v>647</v>
      </c>
      <c r="Z515" t="s">
        <v>1506</v>
      </c>
      <c r="AA515" s="19">
        <v>618.69000000000005</v>
      </c>
      <c r="AB515" s="30" t="s">
        <v>1498</v>
      </c>
      <c r="AC515" s="56"/>
      <c r="AE515" s="4" t="str">
        <f t="shared" si="35"/>
        <v>ORD-2025-411385</v>
      </c>
      <c r="AF515" s="4" t="str">
        <f t="shared" si="36"/>
        <v>Asia</v>
      </c>
      <c r="AG515" s="4" t="str">
        <f t="shared" si="37"/>
        <v>Q2</v>
      </c>
      <c r="AH515" s="19">
        <f t="shared" si="38"/>
        <v>618.69000000000005</v>
      </c>
      <c r="AI515" s="11" t="str">
        <f t="shared" si="39"/>
        <v>0-0.1</v>
      </c>
    </row>
    <row r="516" spans="24:35" x14ac:dyDescent="0.25">
      <c r="X516" t="s">
        <v>322</v>
      </c>
      <c r="Y516" t="s">
        <v>647</v>
      </c>
      <c r="Z516" t="s">
        <v>1505</v>
      </c>
      <c r="AA516" s="19">
        <v>122.29</v>
      </c>
      <c r="AB516" s="30" t="s">
        <v>1499</v>
      </c>
      <c r="AC516" s="56"/>
      <c r="AE516" s="4" t="str">
        <f t="shared" ref="AE516:AE579" si="40">X516</f>
        <v>ORD-2025-415018</v>
      </c>
      <c r="AF516" s="4" t="str">
        <f t="shared" ref="AF516:AF579" si="41">Y516</f>
        <v>Asia</v>
      </c>
      <c r="AG516" s="4" t="str">
        <f t="shared" ref="AG516:AG579" si="42">Z516</f>
        <v>Q1</v>
      </c>
      <c r="AH516" s="19">
        <f t="shared" ref="AH516:AH579" si="43">AA516</f>
        <v>122.29</v>
      </c>
      <c r="AI516" s="11" t="str">
        <f t="shared" ref="AI516:AI579" si="44">AB516</f>
        <v>0.1-0.2</v>
      </c>
    </row>
    <row r="517" spans="24:35" x14ac:dyDescent="0.25">
      <c r="X517" t="s">
        <v>496</v>
      </c>
      <c r="Y517" t="s">
        <v>649</v>
      </c>
      <c r="Z517" t="s">
        <v>1507</v>
      </c>
      <c r="AA517" s="19">
        <v>1286.56</v>
      </c>
      <c r="AB517" s="30" t="s">
        <v>1499</v>
      </c>
      <c r="AC517" s="56"/>
      <c r="AE517" s="4" t="str">
        <f t="shared" si="40"/>
        <v>ORD-2025-417336</v>
      </c>
      <c r="AF517" s="4" t="str">
        <f t="shared" si="41"/>
        <v>Europe</v>
      </c>
      <c r="AG517" s="4" t="str">
        <f t="shared" si="42"/>
        <v>Q3</v>
      </c>
      <c r="AH517" s="19">
        <f t="shared" si="43"/>
        <v>1286.56</v>
      </c>
      <c r="AI517" s="11" t="str">
        <f t="shared" si="44"/>
        <v>0.1-0.2</v>
      </c>
    </row>
    <row r="518" spans="24:35" x14ac:dyDescent="0.25">
      <c r="X518" t="s">
        <v>467</v>
      </c>
      <c r="Y518" t="s">
        <v>647</v>
      </c>
      <c r="Z518" t="s">
        <v>1506</v>
      </c>
      <c r="AA518" s="19">
        <v>400.39</v>
      </c>
      <c r="AB518" s="30" t="s">
        <v>1499</v>
      </c>
      <c r="AC518" s="56"/>
      <c r="AE518" s="4" t="str">
        <f t="shared" si="40"/>
        <v>ORD-2025-417942</v>
      </c>
      <c r="AF518" s="4" t="str">
        <f t="shared" si="41"/>
        <v>Asia</v>
      </c>
      <c r="AG518" s="4" t="str">
        <f t="shared" si="42"/>
        <v>Q2</v>
      </c>
      <c r="AH518" s="19">
        <f t="shared" si="43"/>
        <v>400.39</v>
      </c>
      <c r="AI518" s="11" t="str">
        <f t="shared" si="44"/>
        <v>0.1-0.2</v>
      </c>
    </row>
    <row r="519" spans="24:35" x14ac:dyDescent="0.25">
      <c r="X519" t="s">
        <v>174</v>
      </c>
      <c r="Y519" t="s">
        <v>647</v>
      </c>
      <c r="Z519" t="s">
        <v>1507</v>
      </c>
      <c r="AA519" s="19">
        <v>1220.4100000000001</v>
      </c>
      <c r="AB519" s="30" t="s">
        <v>1499</v>
      </c>
      <c r="AC519" s="56"/>
      <c r="AE519" s="4" t="str">
        <f t="shared" si="40"/>
        <v>ORD-2025-418232</v>
      </c>
      <c r="AF519" s="4" t="str">
        <f t="shared" si="41"/>
        <v>Asia</v>
      </c>
      <c r="AG519" s="4" t="str">
        <f t="shared" si="42"/>
        <v>Q3</v>
      </c>
      <c r="AH519" s="19">
        <f t="shared" si="43"/>
        <v>1220.4100000000001</v>
      </c>
      <c r="AI519" s="11" t="str">
        <f t="shared" si="44"/>
        <v>0.1-0.2</v>
      </c>
    </row>
    <row r="520" spans="24:35" x14ac:dyDescent="0.25">
      <c r="X520" t="s">
        <v>565</v>
      </c>
      <c r="Y520" t="s">
        <v>648</v>
      </c>
      <c r="Z520" t="s">
        <v>1507</v>
      </c>
      <c r="AA520" s="19">
        <v>86.64</v>
      </c>
      <c r="AB520" s="30" t="s">
        <v>1500</v>
      </c>
      <c r="AC520" s="56"/>
      <c r="AE520" s="4" t="str">
        <f t="shared" si="40"/>
        <v>ORD-2025-419532</v>
      </c>
      <c r="AF520" s="4" t="str">
        <f t="shared" si="41"/>
        <v>Americas</v>
      </c>
      <c r="AG520" s="4" t="str">
        <f t="shared" si="42"/>
        <v>Q3</v>
      </c>
      <c r="AH520" s="19">
        <f t="shared" si="43"/>
        <v>86.64</v>
      </c>
      <c r="AI520" s="11" t="str">
        <f t="shared" si="44"/>
        <v>0.2-0.3</v>
      </c>
    </row>
    <row r="521" spans="24:35" x14ac:dyDescent="0.25">
      <c r="X521" t="s">
        <v>278</v>
      </c>
      <c r="Y521" t="s">
        <v>646</v>
      </c>
      <c r="Z521" t="s">
        <v>1506</v>
      </c>
      <c r="AA521" s="19">
        <v>1457.44</v>
      </c>
      <c r="AB521" s="30" t="s">
        <v>1499</v>
      </c>
      <c r="AC521" s="56"/>
      <c r="AE521" s="4" t="str">
        <f t="shared" si="40"/>
        <v>ORD-2025-440093</v>
      </c>
      <c r="AF521" s="4" t="str">
        <f t="shared" si="41"/>
        <v>Africa</v>
      </c>
      <c r="AG521" s="4" t="str">
        <f t="shared" si="42"/>
        <v>Q2</v>
      </c>
      <c r="AH521" s="19">
        <f t="shared" si="43"/>
        <v>1457.44</v>
      </c>
      <c r="AI521" s="11" t="str">
        <f t="shared" si="44"/>
        <v>0.1-0.2</v>
      </c>
    </row>
    <row r="522" spans="24:35" x14ac:dyDescent="0.25">
      <c r="X522" t="s">
        <v>540</v>
      </c>
      <c r="Y522" t="s">
        <v>646</v>
      </c>
      <c r="Z522" t="s">
        <v>1505</v>
      </c>
      <c r="AA522" s="19">
        <v>90.68</v>
      </c>
      <c r="AB522" s="30" t="s">
        <v>1499</v>
      </c>
      <c r="AC522" s="56"/>
      <c r="AE522" s="4" t="str">
        <f t="shared" si="40"/>
        <v>ORD-2025-460466</v>
      </c>
      <c r="AF522" s="4" t="str">
        <f t="shared" si="41"/>
        <v>Africa</v>
      </c>
      <c r="AG522" s="4" t="str">
        <f t="shared" si="42"/>
        <v>Q1</v>
      </c>
      <c r="AH522" s="19">
        <f t="shared" si="43"/>
        <v>90.68</v>
      </c>
      <c r="AI522" s="11" t="str">
        <f t="shared" si="44"/>
        <v>0.1-0.2</v>
      </c>
    </row>
    <row r="523" spans="24:35" x14ac:dyDescent="0.25">
      <c r="X523" t="s">
        <v>461</v>
      </c>
      <c r="Y523" t="s">
        <v>646</v>
      </c>
      <c r="Z523" t="s">
        <v>1505</v>
      </c>
      <c r="AA523" s="19">
        <v>194.6</v>
      </c>
      <c r="AB523" s="30" t="s">
        <v>1500</v>
      </c>
      <c r="AC523" s="56"/>
      <c r="AE523" s="4" t="str">
        <f t="shared" si="40"/>
        <v>ORD-2025-473192</v>
      </c>
      <c r="AF523" s="4" t="str">
        <f t="shared" si="41"/>
        <v>Africa</v>
      </c>
      <c r="AG523" s="4" t="str">
        <f t="shared" si="42"/>
        <v>Q1</v>
      </c>
      <c r="AH523" s="19">
        <f t="shared" si="43"/>
        <v>194.6</v>
      </c>
      <c r="AI523" s="11" t="str">
        <f t="shared" si="44"/>
        <v>0.2-0.3</v>
      </c>
    </row>
    <row r="524" spans="24:35" x14ac:dyDescent="0.25">
      <c r="X524" t="s">
        <v>520</v>
      </c>
      <c r="Y524" t="s">
        <v>648</v>
      </c>
      <c r="Z524" t="s">
        <v>1506</v>
      </c>
      <c r="AA524" s="19">
        <v>932.26</v>
      </c>
      <c r="AB524" s="30" t="s">
        <v>1500</v>
      </c>
      <c r="AC524" s="56"/>
      <c r="AE524" s="4" t="str">
        <f t="shared" si="40"/>
        <v>ORD-2025-474368</v>
      </c>
      <c r="AF524" s="4" t="str">
        <f t="shared" si="41"/>
        <v>Americas</v>
      </c>
      <c r="AG524" s="4" t="str">
        <f t="shared" si="42"/>
        <v>Q2</v>
      </c>
      <c r="AH524" s="19">
        <f t="shared" si="43"/>
        <v>932.26</v>
      </c>
      <c r="AI524" s="11" t="str">
        <f t="shared" si="44"/>
        <v>0.2-0.3</v>
      </c>
    </row>
    <row r="525" spans="24:35" x14ac:dyDescent="0.25">
      <c r="X525" t="s">
        <v>47</v>
      </c>
      <c r="Y525" t="s">
        <v>646</v>
      </c>
      <c r="Z525" t="s">
        <v>1507</v>
      </c>
      <c r="AA525" s="19">
        <v>1463.9</v>
      </c>
      <c r="AB525" s="30" t="s">
        <v>1498</v>
      </c>
      <c r="AC525" s="56"/>
      <c r="AE525" s="4" t="str">
        <f t="shared" si="40"/>
        <v>ORD-2025-474710</v>
      </c>
      <c r="AF525" s="4" t="str">
        <f t="shared" si="41"/>
        <v>Africa</v>
      </c>
      <c r="AG525" s="4" t="str">
        <f t="shared" si="42"/>
        <v>Q3</v>
      </c>
      <c r="AH525" s="19">
        <f t="shared" si="43"/>
        <v>1463.9</v>
      </c>
      <c r="AI525" s="11" t="str">
        <f t="shared" si="44"/>
        <v>0-0.1</v>
      </c>
    </row>
    <row r="526" spans="24:35" x14ac:dyDescent="0.25">
      <c r="X526" t="s">
        <v>363</v>
      </c>
      <c r="Y526" t="s">
        <v>647</v>
      </c>
      <c r="Z526" t="s">
        <v>1506</v>
      </c>
      <c r="AA526" s="19">
        <v>982.93</v>
      </c>
      <c r="AB526" s="30" t="s">
        <v>1499</v>
      </c>
      <c r="AC526" s="56"/>
      <c r="AE526" s="4" t="str">
        <f t="shared" si="40"/>
        <v>ORD-2025-480172</v>
      </c>
      <c r="AF526" s="4" t="str">
        <f t="shared" si="41"/>
        <v>Asia</v>
      </c>
      <c r="AG526" s="4" t="str">
        <f t="shared" si="42"/>
        <v>Q2</v>
      </c>
      <c r="AH526" s="19">
        <f t="shared" si="43"/>
        <v>982.93</v>
      </c>
      <c r="AI526" s="11" t="str">
        <f t="shared" si="44"/>
        <v>0.1-0.2</v>
      </c>
    </row>
    <row r="527" spans="24:35" x14ac:dyDescent="0.25">
      <c r="X527" t="s">
        <v>285</v>
      </c>
      <c r="Y527" t="s">
        <v>647</v>
      </c>
      <c r="Z527" t="s">
        <v>1505</v>
      </c>
      <c r="AA527" s="19">
        <v>325.87</v>
      </c>
      <c r="AB527" s="30" t="s">
        <v>1499</v>
      </c>
      <c r="AC527" s="56"/>
      <c r="AE527" s="4" t="str">
        <f t="shared" si="40"/>
        <v>ORD-2025-484073</v>
      </c>
      <c r="AF527" s="4" t="str">
        <f t="shared" si="41"/>
        <v>Asia</v>
      </c>
      <c r="AG527" s="4" t="str">
        <f t="shared" si="42"/>
        <v>Q1</v>
      </c>
      <c r="AH527" s="19">
        <f t="shared" si="43"/>
        <v>325.87</v>
      </c>
      <c r="AI527" s="11" t="str">
        <f t="shared" si="44"/>
        <v>0.1-0.2</v>
      </c>
    </row>
    <row r="528" spans="24:35" x14ac:dyDescent="0.25">
      <c r="X528" t="s">
        <v>404</v>
      </c>
      <c r="Y528" t="s">
        <v>646</v>
      </c>
      <c r="Z528" t="s">
        <v>1506</v>
      </c>
      <c r="AA528" s="19">
        <v>1487.59</v>
      </c>
      <c r="AB528" s="30" t="s">
        <v>1498</v>
      </c>
      <c r="AC528" s="56"/>
      <c r="AE528" s="4" t="str">
        <f t="shared" si="40"/>
        <v>ORD-2025-485946</v>
      </c>
      <c r="AF528" s="4" t="str">
        <f t="shared" si="41"/>
        <v>Africa</v>
      </c>
      <c r="AG528" s="4" t="str">
        <f t="shared" si="42"/>
        <v>Q2</v>
      </c>
      <c r="AH528" s="19">
        <f t="shared" si="43"/>
        <v>1487.59</v>
      </c>
      <c r="AI528" s="11" t="str">
        <f t="shared" si="44"/>
        <v>0-0.1</v>
      </c>
    </row>
    <row r="529" spans="24:35" x14ac:dyDescent="0.25">
      <c r="X529" t="s">
        <v>409</v>
      </c>
      <c r="Y529" t="s">
        <v>647</v>
      </c>
      <c r="Z529" t="s">
        <v>1506</v>
      </c>
      <c r="AA529" s="19">
        <v>653.6</v>
      </c>
      <c r="AB529" s="30" t="s">
        <v>1498</v>
      </c>
      <c r="AC529" s="56"/>
      <c r="AE529" s="4" t="str">
        <f t="shared" si="40"/>
        <v>ORD-2025-486350</v>
      </c>
      <c r="AF529" s="4" t="str">
        <f t="shared" si="41"/>
        <v>Asia</v>
      </c>
      <c r="AG529" s="4" t="str">
        <f t="shared" si="42"/>
        <v>Q2</v>
      </c>
      <c r="AH529" s="19">
        <f t="shared" si="43"/>
        <v>653.6</v>
      </c>
      <c r="AI529" s="11" t="str">
        <f t="shared" si="44"/>
        <v>0-0.1</v>
      </c>
    </row>
    <row r="530" spans="24:35" x14ac:dyDescent="0.25">
      <c r="X530" t="s">
        <v>308</v>
      </c>
      <c r="Y530" t="s">
        <v>647</v>
      </c>
      <c r="Z530" t="s">
        <v>1506</v>
      </c>
      <c r="AA530" s="19">
        <v>786.2</v>
      </c>
      <c r="AB530" s="30" t="s">
        <v>1498</v>
      </c>
      <c r="AC530" s="56"/>
      <c r="AE530" s="4" t="str">
        <f t="shared" si="40"/>
        <v>ORD-2025-487025</v>
      </c>
      <c r="AF530" s="4" t="str">
        <f t="shared" si="41"/>
        <v>Asia</v>
      </c>
      <c r="AG530" s="4" t="str">
        <f t="shared" si="42"/>
        <v>Q2</v>
      </c>
      <c r="AH530" s="19">
        <f t="shared" si="43"/>
        <v>786.2</v>
      </c>
      <c r="AI530" s="11" t="str">
        <f t="shared" si="44"/>
        <v>0-0.1</v>
      </c>
    </row>
    <row r="531" spans="24:35" x14ac:dyDescent="0.25">
      <c r="X531" t="s">
        <v>27</v>
      </c>
      <c r="Y531" t="s">
        <v>648</v>
      </c>
      <c r="Z531" t="s">
        <v>1505</v>
      </c>
      <c r="AA531" s="19">
        <v>331.57</v>
      </c>
      <c r="AB531" s="30" t="s">
        <v>1498</v>
      </c>
      <c r="AC531" s="56"/>
      <c r="AE531" s="4" t="str">
        <f t="shared" si="40"/>
        <v>ORD-2025-487261</v>
      </c>
      <c r="AF531" s="4" t="str">
        <f t="shared" si="41"/>
        <v>Americas</v>
      </c>
      <c r="AG531" s="4" t="str">
        <f t="shared" si="42"/>
        <v>Q1</v>
      </c>
      <c r="AH531" s="19">
        <f t="shared" si="43"/>
        <v>331.57</v>
      </c>
      <c r="AI531" s="11" t="str">
        <f t="shared" si="44"/>
        <v>0-0.1</v>
      </c>
    </row>
    <row r="532" spans="24:35" x14ac:dyDescent="0.25">
      <c r="X532" t="s">
        <v>98</v>
      </c>
      <c r="Y532" t="s">
        <v>648</v>
      </c>
      <c r="Z532" t="s">
        <v>1506</v>
      </c>
      <c r="AA532" s="19">
        <v>23.24</v>
      </c>
      <c r="AB532" s="30" t="s">
        <v>1500</v>
      </c>
      <c r="AC532" s="56"/>
      <c r="AE532" s="4" t="str">
        <f t="shared" si="40"/>
        <v>ORD-2025-488349</v>
      </c>
      <c r="AF532" s="4" t="str">
        <f t="shared" si="41"/>
        <v>Americas</v>
      </c>
      <c r="AG532" s="4" t="str">
        <f t="shared" si="42"/>
        <v>Q2</v>
      </c>
      <c r="AH532" s="19">
        <f t="shared" si="43"/>
        <v>23.24</v>
      </c>
      <c r="AI532" s="11" t="str">
        <f t="shared" si="44"/>
        <v>0.2-0.3</v>
      </c>
    </row>
    <row r="533" spans="24:35" x14ac:dyDescent="0.25">
      <c r="X533" t="s">
        <v>478</v>
      </c>
      <c r="Y533" t="s">
        <v>647</v>
      </c>
      <c r="Z533" t="s">
        <v>1507</v>
      </c>
      <c r="AA533" s="19">
        <v>275.43</v>
      </c>
      <c r="AB533" s="30" t="s">
        <v>1500</v>
      </c>
      <c r="AC533" s="56"/>
      <c r="AE533" s="4" t="str">
        <f t="shared" si="40"/>
        <v>ORD-2025-496178</v>
      </c>
      <c r="AF533" s="4" t="str">
        <f t="shared" si="41"/>
        <v>Asia</v>
      </c>
      <c r="AG533" s="4" t="str">
        <f t="shared" si="42"/>
        <v>Q3</v>
      </c>
      <c r="AH533" s="19">
        <f t="shared" si="43"/>
        <v>275.43</v>
      </c>
      <c r="AI533" s="11" t="str">
        <f t="shared" si="44"/>
        <v>0.2-0.3</v>
      </c>
    </row>
    <row r="534" spans="24:35" x14ac:dyDescent="0.25">
      <c r="X534" t="s">
        <v>146</v>
      </c>
      <c r="Y534" t="s">
        <v>646</v>
      </c>
      <c r="Z534" t="s">
        <v>1505</v>
      </c>
      <c r="AA534" s="19">
        <v>555.95000000000005</v>
      </c>
      <c r="AB534" s="30" t="s">
        <v>1499</v>
      </c>
      <c r="AC534" s="56"/>
      <c r="AE534" s="4" t="str">
        <f t="shared" si="40"/>
        <v>ORD-2025-501927</v>
      </c>
      <c r="AF534" s="4" t="str">
        <f t="shared" si="41"/>
        <v>Africa</v>
      </c>
      <c r="AG534" s="4" t="str">
        <f t="shared" si="42"/>
        <v>Q1</v>
      </c>
      <c r="AH534" s="19">
        <f t="shared" si="43"/>
        <v>555.95000000000005</v>
      </c>
      <c r="AI534" s="11" t="str">
        <f t="shared" si="44"/>
        <v>0.1-0.2</v>
      </c>
    </row>
    <row r="535" spans="24:35" x14ac:dyDescent="0.25">
      <c r="X535" t="s">
        <v>255</v>
      </c>
      <c r="Y535" t="s">
        <v>647</v>
      </c>
      <c r="Z535" t="s">
        <v>1506</v>
      </c>
      <c r="AA535" s="19">
        <v>918.12</v>
      </c>
      <c r="AB535" s="30" t="s">
        <v>1498</v>
      </c>
      <c r="AC535" s="56"/>
      <c r="AE535" s="4" t="str">
        <f t="shared" si="40"/>
        <v>ORD-2025-509940</v>
      </c>
      <c r="AF535" s="4" t="str">
        <f t="shared" si="41"/>
        <v>Asia</v>
      </c>
      <c r="AG535" s="4" t="str">
        <f t="shared" si="42"/>
        <v>Q2</v>
      </c>
      <c r="AH535" s="19">
        <f t="shared" si="43"/>
        <v>918.12</v>
      </c>
      <c r="AI535" s="11" t="str">
        <f t="shared" si="44"/>
        <v>0-0.1</v>
      </c>
    </row>
    <row r="536" spans="24:35" x14ac:dyDescent="0.25">
      <c r="X536" t="s">
        <v>422</v>
      </c>
      <c r="Y536" t="s">
        <v>647</v>
      </c>
      <c r="Z536" t="s">
        <v>1505</v>
      </c>
      <c r="AA536" s="19">
        <v>475.66</v>
      </c>
      <c r="AB536" s="30" t="s">
        <v>1499</v>
      </c>
      <c r="AC536" s="56"/>
      <c r="AE536" s="4" t="str">
        <f t="shared" si="40"/>
        <v>ORD-2025-512310</v>
      </c>
      <c r="AF536" s="4" t="str">
        <f t="shared" si="41"/>
        <v>Asia</v>
      </c>
      <c r="AG536" s="4" t="str">
        <f t="shared" si="42"/>
        <v>Q1</v>
      </c>
      <c r="AH536" s="19">
        <f t="shared" si="43"/>
        <v>475.66</v>
      </c>
      <c r="AI536" s="11" t="str">
        <f t="shared" si="44"/>
        <v>0.1-0.2</v>
      </c>
    </row>
    <row r="537" spans="24:35" x14ac:dyDescent="0.25">
      <c r="X537" t="s">
        <v>26</v>
      </c>
      <c r="Y537" t="s">
        <v>647</v>
      </c>
      <c r="Z537" t="s">
        <v>1505</v>
      </c>
      <c r="AA537" s="19">
        <v>908.6</v>
      </c>
      <c r="AB537" s="30" t="s">
        <v>1500</v>
      </c>
      <c r="AC537" s="56"/>
      <c r="AE537" s="4" t="str">
        <f t="shared" si="40"/>
        <v>ORD-2025-515515</v>
      </c>
      <c r="AF537" s="4" t="str">
        <f t="shared" si="41"/>
        <v>Asia</v>
      </c>
      <c r="AG537" s="4" t="str">
        <f t="shared" si="42"/>
        <v>Q1</v>
      </c>
      <c r="AH537" s="19">
        <f t="shared" si="43"/>
        <v>908.6</v>
      </c>
      <c r="AI537" s="11" t="str">
        <f t="shared" si="44"/>
        <v>0.2-0.3</v>
      </c>
    </row>
    <row r="538" spans="24:35" x14ac:dyDescent="0.25">
      <c r="X538" t="s">
        <v>77</v>
      </c>
      <c r="Y538" t="s">
        <v>649</v>
      </c>
      <c r="Z538" t="s">
        <v>1506</v>
      </c>
      <c r="AA538" s="19">
        <v>603.45000000000005</v>
      </c>
      <c r="AB538" s="30" t="s">
        <v>1500</v>
      </c>
      <c r="AC538" s="56"/>
      <c r="AE538" s="4" t="str">
        <f t="shared" si="40"/>
        <v>ORD-2025-526650</v>
      </c>
      <c r="AF538" s="4" t="str">
        <f t="shared" si="41"/>
        <v>Europe</v>
      </c>
      <c r="AG538" s="4" t="str">
        <f t="shared" si="42"/>
        <v>Q2</v>
      </c>
      <c r="AH538" s="19">
        <f t="shared" si="43"/>
        <v>603.45000000000005</v>
      </c>
      <c r="AI538" s="11" t="str">
        <f t="shared" si="44"/>
        <v>0.2-0.3</v>
      </c>
    </row>
    <row r="539" spans="24:35" x14ac:dyDescent="0.25">
      <c r="X539" t="s">
        <v>106</v>
      </c>
      <c r="Y539" t="s">
        <v>647</v>
      </c>
      <c r="Z539" t="s">
        <v>1506</v>
      </c>
      <c r="AA539" s="19">
        <v>527.33000000000004</v>
      </c>
      <c r="AB539" s="30" t="s">
        <v>1499</v>
      </c>
      <c r="AC539" s="56"/>
      <c r="AE539" s="4" t="str">
        <f t="shared" si="40"/>
        <v>ORD-2025-526752</v>
      </c>
      <c r="AF539" s="4" t="str">
        <f t="shared" si="41"/>
        <v>Asia</v>
      </c>
      <c r="AG539" s="4" t="str">
        <f t="shared" si="42"/>
        <v>Q2</v>
      </c>
      <c r="AH539" s="19">
        <f t="shared" si="43"/>
        <v>527.33000000000004</v>
      </c>
      <c r="AI539" s="11" t="str">
        <f t="shared" si="44"/>
        <v>0.1-0.2</v>
      </c>
    </row>
    <row r="540" spans="24:35" x14ac:dyDescent="0.25">
      <c r="X540" t="s">
        <v>629</v>
      </c>
      <c r="Y540" t="s">
        <v>647</v>
      </c>
      <c r="Z540" t="s">
        <v>1505</v>
      </c>
      <c r="AA540" s="19">
        <v>1317.58</v>
      </c>
      <c r="AB540" s="30" t="s">
        <v>1498</v>
      </c>
      <c r="AC540" s="56"/>
      <c r="AE540" s="4" t="str">
        <f t="shared" si="40"/>
        <v>ORD-2025-532859</v>
      </c>
      <c r="AF540" s="4" t="str">
        <f t="shared" si="41"/>
        <v>Asia</v>
      </c>
      <c r="AG540" s="4" t="str">
        <f t="shared" si="42"/>
        <v>Q1</v>
      </c>
      <c r="AH540" s="19">
        <f t="shared" si="43"/>
        <v>1317.58</v>
      </c>
      <c r="AI540" s="11" t="str">
        <f t="shared" si="44"/>
        <v>0-0.1</v>
      </c>
    </row>
    <row r="541" spans="24:35" x14ac:dyDescent="0.25">
      <c r="X541" t="s">
        <v>142</v>
      </c>
      <c r="Y541" t="s">
        <v>649</v>
      </c>
      <c r="Z541" t="s">
        <v>1507</v>
      </c>
      <c r="AA541" s="19">
        <v>41.76</v>
      </c>
      <c r="AB541" s="30" t="s">
        <v>1499</v>
      </c>
      <c r="AC541" s="56"/>
      <c r="AE541" s="4" t="str">
        <f t="shared" si="40"/>
        <v>ORD-2025-537785</v>
      </c>
      <c r="AF541" s="4" t="str">
        <f t="shared" si="41"/>
        <v>Europe</v>
      </c>
      <c r="AG541" s="4" t="str">
        <f t="shared" si="42"/>
        <v>Q3</v>
      </c>
      <c r="AH541" s="19">
        <f t="shared" si="43"/>
        <v>41.76</v>
      </c>
      <c r="AI541" s="11" t="str">
        <f t="shared" si="44"/>
        <v>0.1-0.2</v>
      </c>
    </row>
    <row r="542" spans="24:35" x14ac:dyDescent="0.25">
      <c r="X542" t="s">
        <v>300</v>
      </c>
      <c r="Y542" t="s">
        <v>649</v>
      </c>
      <c r="Z542" t="s">
        <v>1506</v>
      </c>
      <c r="AA542" s="19">
        <v>7.02</v>
      </c>
      <c r="AB542" s="30" t="s">
        <v>1499</v>
      </c>
      <c r="AC542" s="56"/>
      <c r="AE542" s="4" t="str">
        <f t="shared" si="40"/>
        <v>ORD-2025-541048</v>
      </c>
      <c r="AF542" s="4" t="str">
        <f t="shared" si="41"/>
        <v>Europe</v>
      </c>
      <c r="AG542" s="4" t="str">
        <f t="shared" si="42"/>
        <v>Q2</v>
      </c>
      <c r="AH542" s="19">
        <f t="shared" si="43"/>
        <v>7.02</v>
      </c>
      <c r="AI542" s="11" t="str">
        <f t="shared" si="44"/>
        <v>0.1-0.2</v>
      </c>
    </row>
    <row r="543" spans="24:35" x14ac:dyDescent="0.25">
      <c r="X543" t="s">
        <v>113</v>
      </c>
      <c r="Y543" t="s">
        <v>647</v>
      </c>
      <c r="Z543" t="s">
        <v>1507</v>
      </c>
      <c r="AA543" s="19">
        <v>547.32000000000005</v>
      </c>
      <c r="AB543" s="30" t="s">
        <v>1498</v>
      </c>
      <c r="AC543" s="56"/>
      <c r="AE543" s="4" t="str">
        <f t="shared" si="40"/>
        <v>ORD-2025-541501</v>
      </c>
      <c r="AF543" s="4" t="str">
        <f t="shared" si="41"/>
        <v>Asia</v>
      </c>
      <c r="AG543" s="4" t="str">
        <f t="shared" si="42"/>
        <v>Q3</v>
      </c>
      <c r="AH543" s="19">
        <f t="shared" si="43"/>
        <v>547.32000000000005</v>
      </c>
      <c r="AI543" s="11" t="str">
        <f t="shared" si="44"/>
        <v>0-0.1</v>
      </c>
    </row>
    <row r="544" spans="24:35" x14ac:dyDescent="0.25">
      <c r="X544" t="s">
        <v>201</v>
      </c>
      <c r="Y544" t="s">
        <v>649</v>
      </c>
      <c r="Z544" t="s">
        <v>1505</v>
      </c>
      <c r="AA544" s="19">
        <v>594.74</v>
      </c>
      <c r="AB544" s="30" t="s">
        <v>1500</v>
      </c>
      <c r="AC544" s="56"/>
      <c r="AE544" s="4" t="str">
        <f t="shared" si="40"/>
        <v>ORD-2025-542939</v>
      </c>
      <c r="AF544" s="4" t="str">
        <f t="shared" si="41"/>
        <v>Europe</v>
      </c>
      <c r="AG544" s="4" t="str">
        <f t="shared" si="42"/>
        <v>Q1</v>
      </c>
      <c r="AH544" s="19">
        <f t="shared" si="43"/>
        <v>594.74</v>
      </c>
      <c r="AI544" s="11" t="str">
        <f t="shared" si="44"/>
        <v>0.2-0.3</v>
      </c>
    </row>
    <row r="545" spans="24:35" x14ac:dyDescent="0.25">
      <c r="X545" t="s">
        <v>44</v>
      </c>
      <c r="Y545" t="s">
        <v>649</v>
      </c>
      <c r="Z545" t="s">
        <v>1506</v>
      </c>
      <c r="AA545" s="19">
        <v>754.77</v>
      </c>
      <c r="AB545" s="30" t="s">
        <v>1499</v>
      </c>
      <c r="AC545" s="56"/>
      <c r="AE545" s="4" t="str">
        <f t="shared" si="40"/>
        <v>ORD-2025-548982</v>
      </c>
      <c r="AF545" s="4" t="str">
        <f t="shared" si="41"/>
        <v>Europe</v>
      </c>
      <c r="AG545" s="4" t="str">
        <f t="shared" si="42"/>
        <v>Q2</v>
      </c>
      <c r="AH545" s="19">
        <f t="shared" si="43"/>
        <v>754.77</v>
      </c>
      <c r="AI545" s="11" t="str">
        <f t="shared" si="44"/>
        <v>0.1-0.2</v>
      </c>
    </row>
    <row r="546" spans="24:35" x14ac:dyDescent="0.25">
      <c r="X546" t="s">
        <v>227</v>
      </c>
      <c r="Y546" t="s">
        <v>646</v>
      </c>
      <c r="Z546" t="s">
        <v>1505</v>
      </c>
      <c r="AA546" s="19">
        <v>1445.27</v>
      </c>
      <c r="AB546" s="30" t="s">
        <v>1498</v>
      </c>
      <c r="AC546" s="56"/>
      <c r="AE546" s="4" t="str">
        <f t="shared" si="40"/>
        <v>ORD-2025-564184</v>
      </c>
      <c r="AF546" s="4" t="str">
        <f t="shared" si="41"/>
        <v>Africa</v>
      </c>
      <c r="AG546" s="4" t="str">
        <f t="shared" si="42"/>
        <v>Q1</v>
      </c>
      <c r="AH546" s="19">
        <f t="shared" si="43"/>
        <v>1445.27</v>
      </c>
      <c r="AI546" s="11" t="str">
        <f t="shared" si="44"/>
        <v>0-0.1</v>
      </c>
    </row>
    <row r="547" spans="24:35" x14ac:dyDescent="0.25">
      <c r="X547" t="s">
        <v>68</v>
      </c>
      <c r="Y547" t="s">
        <v>649</v>
      </c>
      <c r="Z547" t="s">
        <v>1505</v>
      </c>
      <c r="AA547" s="19">
        <v>204.11</v>
      </c>
      <c r="AB547" s="30" t="s">
        <v>1499</v>
      </c>
      <c r="AC547" s="56"/>
      <c r="AE547" s="4" t="str">
        <f t="shared" si="40"/>
        <v>ORD-2025-578007</v>
      </c>
      <c r="AF547" s="4" t="str">
        <f t="shared" si="41"/>
        <v>Europe</v>
      </c>
      <c r="AG547" s="4" t="str">
        <f t="shared" si="42"/>
        <v>Q1</v>
      </c>
      <c r="AH547" s="19">
        <f t="shared" si="43"/>
        <v>204.11</v>
      </c>
      <c r="AI547" s="11" t="str">
        <f t="shared" si="44"/>
        <v>0.1-0.2</v>
      </c>
    </row>
    <row r="548" spans="24:35" x14ac:dyDescent="0.25">
      <c r="X548" t="s">
        <v>37</v>
      </c>
      <c r="Y548" t="s">
        <v>646</v>
      </c>
      <c r="Z548" t="s">
        <v>1506</v>
      </c>
      <c r="AA548" s="19">
        <v>730.99</v>
      </c>
      <c r="AB548" s="30" t="s">
        <v>1499</v>
      </c>
      <c r="AC548" s="56"/>
      <c r="AE548" s="4" t="str">
        <f t="shared" si="40"/>
        <v>ORD-2025-580047</v>
      </c>
      <c r="AF548" s="4" t="str">
        <f t="shared" si="41"/>
        <v>Africa</v>
      </c>
      <c r="AG548" s="4" t="str">
        <f t="shared" si="42"/>
        <v>Q2</v>
      </c>
      <c r="AH548" s="19">
        <f t="shared" si="43"/>
        <v>730.99</v>
      </c>
      <c r="AI548" s="11" t="str">
        <f t="shared" si="44"/>
        <v>0.1-0.2</v>
      </c>
    </row>
    <row r="549" spans="24:35" x14ac:dyDescent="0.25">
      <c r="X549" t="s">
        <v>225</v>
      </c>
      <c r="Y549" t="s">
        <v>648</v>
      </c>
      <c r="Z549" t="s">
        <v>1507</v>
      </c>
      <c r="AA549" s="19">
        <v>90.3</v>
      </c>
      <c r="AB549" s="30" t="s">
        <v>1499</v>
      </c>
      <c r="AC549" s="56"/>
      <c r="AE549" s="4" t="str">
        <f t="shared" si="40"/>
        <v>ORD-2025-586799</v>
      </c>
      <c r="AF549" s="4" t="str">
        <f t="shared" si="41"/>
        <v>Americas</v>
      </c>
      <c r="AG549" s="4" t="str">
        <f t="shared" si="42"/>
        <v>Q3</v>
      </c>
      <c r="AH549" s="19">
        <f t="shared" si="43"/>
        <v>90.3</v>
      </c>
      <c r="AI549" s="11" t="str">
        <f t="shared" si="44"/>
        <v>0.1-0.2</v>
      </c>
    </row>
    <row r="550" spans="24:35" x14ac:dyDescent="0.25">
      <c r="X550" t="s">
        <v>412</v>
      </c>
      <c r="Y550" t="s">
        <v>646</v>
      </c>
      <c r="Z550" t="s">
        <v>1507</v>
      </c>
      <c r="AA550" s="19">
        <v>1310.3</v>
      </c>
      <c r="AB550" s="30" t="s">
        <v>1498</v>
      </c>
      <c r="AC550" s="56"/>
      <c r="AE550" s="4" t="str">
        <f t="shared" si="40"/>
        <v>ORD-2025-588029</v>
      </c>
      <c r="AF550" s="4" t="str">
        <f t="shared" si="41"/>
        <v>Africa</v>
      </c>
      <c r="AG550" s="4" t="str">
        <f t="shared" si="42"/>
        <v>Q3</v>
      </c>
      <c r="AH550" s="19">
        <f t="shared" si="43"/>
        <v>1310.3</v>
      </c>
      <c r="AI550" s="11" t="str">
        <f t="shared" si="44"/>
        <v>0-0.1</v>
      </c>
    </row>
    <row r="551" spans="24:35" x14ac:dyDescent="0.25">
      <c r="X551" t="s">
        <v>375</v>
      </c>
      <c r="Y551" t="s">
        <v>649</v>
      </c>
      <c r="Z551" t="s">
        <v>1506</v>
      </c>
      <c r="AA551" s="19">
        <v>546.83000000000004</v>
      </c>
      <c r="AB551" s="30" t="s">
        <v>1498</v>
      </c>
      <c r="AC551" s="56"/>
      <c r="AE551" s="4" t="str">
        <f t="shared" si="40"/>
        <v>ORD-2025-591006</v>
      </c>
      <c r="AF551" s="4" t="str">
        <f t="shared" si="41"/>
        <v>Europe</v>
      </c>
      <c r="AG551" s="4" t="str">
        <f t="shared" si="42"/>
        <v>Q2</v>
      </c>
      <c r="AH551" s="19">
        <f t="shared" si="43"/>
        <v>546.83000000000004</v>
      </c>
      <c r="AI551" s="11" t="str">
        <f t="shared" si="44"/>
        <v>0-0.1</v>
      </c>
    </row>
    <row r="552" spans="24:35" x14ac:dyDescent="0.25">
      <c r="X552" t="s">
        <v>414</v>
      </c>
      <c r="Y552" t="s">
        <v>646</v>
      </c>
      <c r="Z552" t="s">
        <v>1506</v>
      </c>
      <c r="AA552" s="19">
        <v>1119.04</v>
      </c>
      <c r="AB552" s="30" t="s">
        <v>1498</v>
      </c>
      <c r="AC552" s="56"/>
      <c r="AE552" s="4" t="str">
        <f t="shared" si="40"/>
        <v>ORD-2025-608069</v>
      </c>
      <c r="AF552" s="4" t="str">
        <f t="shared" si="41"/>
        <v>Africa</v>
      </c>
      <c r="AG552" s="4" t="str">
        <f t="shared" si="42"/>
        <v>Q2</v>
      </c>
      <c r="AH552" s="19">
        <f t="shared" si="43"/>
        <v>1119.04</v>
      </c>
      <c r="AI552" s="11" t="str">
        <f t="shared" si="44"/>
        <v>0-0.1</v>
      </c>
    </row>
    <row r="553" spans="24:35" x14ac:dyDescent="0.25">
      <c r="X553" t="s">
        <v>381</v>
      </c>
      <c r="Y553" t="s">
        <v>647</v>
      </c>
      <c r="Z553" t="s">
        <v>1505</v>
      </c>
      <c r="AA553" s="19">
        <v>935.83</v>
      </c>
      <c r="AB553" s="30" t="s">
        <v>1499</v>
      </c>
      <c r="AC553" s="56"/>
      <c r="AE553" s="4" t="str">
        <f t="shared" si="40"/>
        <v>ORD-2025-624006</v>
      </c>
      <c r="AF553" s="4" t="str">
        <f t="shared" si="41"/>
        <v>Asia</v>
      </c>
      <c r="AG553" s="4" t="str">
        <f t="shared" si="42"/>
        <v>Q1</v>
      </c>
      <c r="AH553" s="19">
        <f t="shared" si="43"/>
        <v>935.83</v>
      </c>
      <c r="AI553" s="11" t="str">
        <f t="shared" si="44"/>
        <v>0.1-0.2</v>
      </c>
    </row>
    <row r="554" spans="24:35" x14ac:dyDescent="0.25">
      <c r="X554" t="s">
        <v>105</v>
      </c>
      <c r="Y554" t="s">
        <v>647</v>
      </c>
      <c r="Z554" t="s">
        <v>1506</v>
      </c>
      <c r="AA554" s="19">
        <v>691.19</v>
      </c>
      <c r="AB554" s="30" t="s">
        <v>1498</v>
      </c>
      <c r="AC554" s="56"/>
      <c r="AE554" s="4" t="str">
        <f t="shared" si="40"/>
        <v>ORD-2025-626047</v>
      </c>
      <c r="AF554" s="4" t="str">
        <f t="shared" si="41"/>
        <v>Asia</v>
      </c>
      <c r="AG554" s="4" t="str">
        <f t="shared" si="42"/>
        <v>Q2</v>
      </c>
      <c r="AH554" s="19">
        <f t="shared" si="43"/>
        <v>691.19</v>
      </c>
      <c r="AI554" s="11" t="str">
        <f t="shared" si="44"/>
        <v>0-0.1</v>
      </c>
    </row>
    <row r="555" spans="24:35" x14ac:dyDescent="0.25">
      <c r="X555" t="s">
        <v>223</v>
      </c>
      <c r="Y555" t="s">
        <v>646</v>
      </c>
      <c r="Z555" t="s">
        <v>1507</v>
      </c>
      <c r="AA555" s="19">
        <v>1204.95</v>
      </c>
      <c r="AB555" s="30" t="s">
        <v>1499</v>
      </c>
      <c r="AC555" s="56"/>
      <c r="AE555" s="4" t="str">
        <f t="shared" si="40"/>
        <v>ORD-2025-629393</v>
      </c>
      <c r="AF555" s="4" t="str">
        <f t="shared" si="41"/>
        <v>Africa</v>
      </c>
      <c r="AG555" s="4" t="str">
        <f t="shared" si="42"/>
        <v>Q3</v>
      </c>
      <c r="AH555" s="19">
        <f t="shared" si="43"/>
        <v>1204.95</v>
      </c>
      <c r="AI555" s="11" t="str">
        <f t="shared" si="44"/>
        <v>0.1-0.2</v>
      </c>
    </row>
    <row r="556" spans="24:35" x14ac:dyDescent="0.25">
      <c r="X556" t="s">
        <v>529</v>
      </c>
      <c r="Y556" t="s">
        <v>647</v>
      </c>
      <c r="Z556" t="s">
        <v>1507</v>
      </c>
      <c r="AA556" s="19">
        <v>638.54</v>
      </c>
      <c r="AB556" s="30" t="s">
        <v>1498</v>
      </c>
      <c r="AC556" s="56"/>
      <c r="AE556" s="4" t="str">
        <f t="shared" si="40"/>
        <v>ORD-2025-635337</v>
      </c>
      <c r="AF556" s="4" t="str">
        <f t="shared" si="41"/>
        <v>Asia</v>
      </c>
      <c r="AG556" s="4" t="str">
        <f t="shared" si="42"/>
        <v>Q3</v>
      </c>
      <c r="AH556" s="19">
        <f t="shared" si="43"/>
        <v>638.54</v>
      </c>
      <c r="AI556" s="11" t="str">
        <f t="shared" si="44"/>
        <v>0-0.1</v>
      </c>
    </row>
    <row r="557" spans="24:35" x14ac:dyDescent="0.25">
      <c r="X557" t="s">
        <v>392</v>
      </c>
      <c r="Y557" t="s">
        <v>646</v>
      </c>
      <c r="Z557" t="s">
        <v>1505</v>
      </c>
      <c r="AA557" s="19">
        <v>432.13</v>
      </c>
      <c r="AB557" s="30" t="s">
        <v>1498</v>
      </c>
      <c r="AC557" s="56"/>
      <c r="AE557" s="4" t="str">
        <f t="shared" si="40"/>
        <v>ORD-2025-636162</v>
      </c>
      <c r="AF557" s="4" t="str">
        <f t="shared" si="41"/>
        <v>Africa</v>
      </c>
      <c r="AG557" s="4" t="str">
        <f t="shared" si="42"/>
        <v>Q1</v>
      </c>
      <c r="AH557" s="19">
        <f t="shared" si="43"/>
        <v>432.13</v>
      </c>
      <c r="AI557" s="11" t="str">
        <f t="shared" si="44"/>
        <v>0-0.1</v>
      </c>
    </row>
    <row r="558" spans="24:35" x14ac:dyDescent="0.25">
      <c r="X558" t="s">
        <v>73</v>
      </c>
      <c r="Y558" t="s">
        <v>649</v>
      </c>
      <c r="Z558" t="s">
        <v>1506</v>
      </c>
      <c r="AA558" s="19">
        <v>1225.5</v>
      </c>
      <c r="AB558" s="30" t="s">
        <v>1498</v>
      </c>
      <c r="AC558" s="56"/>
      <c r="AE558" s="4" t="str">
        <f t="shared" si="40"/>
        <v>ORD-2025-639542</v>
      </c>
      <c r="AF558" s="4" t="str">
        <f t="shared" si="41"/>
        <v>Europe</v>
      </c>
      <c r="AG558" s="4" t="str">
        <f t="shared" si="42"/>
        <v>Q2</v>
      </c>
      <c r="AH558" s="19">
        <f t="shared" si="43"/>
        <v>1225.5</v>
      </c>
      <c r="AI558" s="11" t="str">
        <f t="shared" si="44"/>
        <v>0-0.1</v>
      </c>
    </row>
    <row r="559" spans="24:35" x14ac:dyDescent="0.25">
      <c r="X559" t="s">
        <v>86</v>
      </c>
      <c r="Y559" t="s">
        <v>648</v>
      </c>
      <c r="Z559" t="s">
        <v>1506</v>
      </c>
      <c r="AA559" s="19">
        <v>264.19</v>
      </c>
      <c r="AB559" s="30" t="s">
        <v>1499</v>
      </c>
      <c r="AC559" s="56"/>
      <c r="AE559" s="4" t="str">
        <f t="shared" si="40"/>
        <v>ORD-2025-640677</v>
      </c>
      <c r="AF559" s="4" t="str">
        <f t="shared" si="41"/>
        <v>Americas</v>
      </c>
      <c r="AG559" s="4" t="str">
        <f t="shared" si="42"/>
        <v>Q2</v>
      </c>
      <c r="AH559" s="19">
        <f t="shared" si="43"/>
        <v>264.19</v>
      </c>
      <c r="AI559" s="11" t="str">
        <f t="shared" si="44"/>
        <v>0.1-0.2</v>
      </c>
    </row>
    <row r="560" spans="24:35" x14ac:dyDescent="0.25">
      <c r="X560" t="s">
        <v>256</v>
      </c>
      <c r="Y560" t="s">
        <v>647</v>
      </c>
      <c r="Z560" t="s">
        <v>1507</v>
      </c>
      <c r="AA560" s="19">
        <v>1225.94</v>
      </c>
      <c r="AB560" s="30" t="s">
        <v>1499</v>
      </c>
      <c r="AC560" s="56"/>
      <c r="AE560" s="4" t="str">
        <f t="shared" si="40"/>
        <v>ORD-2025-646342</v>
      </c>
      <c r="AF560" s="4" t="str">
        <f t="shared" si="41"/>
        <v>Asia</v>
      </c>
      <c r="AG560" s="4" t="str">
        <f t="shared" si="42"/>
        <v>Q3</v>
      </c>
      <c r="AH560" s="19">
        <f t="shared" si="43"/>
        <v>1225.94</v>
      </c>
      <c r="AI560" s="11" t="str">
        <f t="shared" si="44"/>
        <v>0.1-0.2</v>
      </c>
    </row>
    <row r="561" spans="24:35" x14ac:dyDescent="0.25">
      <c r="X561" t="s">
        <v>128</v>
      </c>
      <c r="Y561" t="s">
        <v>648</v>
      </c>
      <c r="Z561" t="s">
        <v>1505</v>
      </c>
      <c r="AA561" s="19">
        <v>142.09</v>
      </c>
      <c r="AB561" s="30" t="s">
        <v>1499</v>
      </c>
      <c r="AC561" s="56"/>
      <c r="AE561" s="4" t="str">
        <f t="shared" si="40"/>
        <v>ORD-2025-649239</v>
      </c>
      <c r="AF561" s="4" t="str">
        <f t="shared" si="41"/>
        <v>Americas</v>
      </c>
      <c r="AG561" s="4" t="str">
        <f t="shared" si="42"/>
        <v>Q1</v>
      </c>
      <c r="AH561" s="19">
        <f t="shared" si="43"/>
        <v>142.09</v>
      </c>
      <c r="AI561" s="11" t="str">
        <f t="shared" si="44"/>
        <v>0.1-0.2</v>
      </c>
    </row>
    <row r="562" spans="24:35" x14ac:dyDescent="0.25">
      <c r="X562" t="s">
        <v>637</v>
      </c>
      <c r="Y562" t="s">
        <v>646</v>
      </c>
      <c r="Z562" t="s">
        <v>1507</v>
      </c>
      <c r="AA562" s="19">
        <v>619.64</v>
      </c>
      <c r="AB562" s="30" t="s">
        <v>1499</v>
      </c>
      <c r="AC562" s="56"/>
      <c r="AE562" s="4" t="str">
        <f t="shared" si="40"/>
        <v>ORD-2025-649633</v>
      </c>
      <c r="AF562" s="4" t="str">
        <f t="shared" si="41"/>
        <v>Africa</v>
      </c>
      <c r="AG562" s="4" t="str">
        <f t="shared" si="42"/>
        <v>Q3</v>
      </c>
      <c r="AH562" s="19">
        <f t="shared" si="43"/>
        <v>619.64</v>
      </c>
      <c r="AI562" s="11" t="str">
        <f t="shared" si="44"/>
        <v>0.1-0.2</v>
      </c>
    </row>
    <row r="563" spans="24:35" x14ac:dyDescent="0.25">
      <c r="X563" t="s">
        <v>145</v>
      </c>
      <c r="Y563" t="s">
        <v>648</v>
      </c>
      <c r="Z563" t="s">
        <v>1505</v>
      </c>
      <c r="AA563" s="19">
        <v>414.95</v>
      </c>
      <c r="AB563" s="30" t="s">
        <v>1498</v>
      </c>
      <c r="AC563" s="56"/>
      <c r="AE563" s="4" t="str">
        <f t="shared" si="40"/>
        <v>ORD-2025-650719</v>
      </c>
      <c r="AF563" s="4" t="str">
        <f t="shared" si="41"/>
        <v>Americas</v>
      </c>
      <c r="AG563" s="4" t="str">
        <f t="shared" si="42"/>
        <v>Q1</v>
      </c>
      <c r="AH563" s="19">
        <f t="shared" si="43"/>
        <v>414.95</v>
      </c>
      <c r="AI563" s="11" t="str">
        <f t="shared" si="44"/>
        <v>0-0.1</v>
      </c>
    </row>
    <row r="564" spans="24:35" x14ac:dyDescent="0.25">
      <c r="X564" t="s">
        <v>436</v>
      </c>
      <c r="Y564" t="s">
        <v>646</v>
      </c>
      <c r="Z564" t="s">
        <v>1507</v>
      </c>
      <c r="AA564" s="19">
        <v>1313.3</v>
      </c>
      <c r="AB564" s="30" t="s">
        <v>1499</v>
      </c>
      <c r="AC564" s="56"/>
      <c r="AE564" s="4" t="str">
        <f t="shared" si="40"/>
        <v>ORD-2025-650841</v>
      </c>
      <c r="AF564" s="4" t="str">
        <f t="shared" si="41"/>
        <v>Africa</v>
      </c>
      <c r="AG564" s="4" t="str">
        <f t="shared" si="42"/>
        <v>Q3</v>
      </c>
      <c r="AH564" s="19">
        <f t="shared" si="43"/>
        <v>1313.3</v>
      </c>
      <c r="AI564" s="11" t="str">
        <f t="shared" si="44"/>
        <v>0.1-0.2</v>
      </c>
    </row>
    <row r="565" spans="24:35" x14ac:dyDescent="0.25">
      <c r="X565" t="s">
        <v>194</v>
      </c>
      <c r="Y565" t="s">
        <v>647</v>
      </c>
      <c r="Z565" t="s">
        <v>1507</v>
      </c>
      <c r="AA565" s="19">
        <v>352.66</v>
      </c>
      <c r="AB565" s="30" t="s">
        <v>1499</v>
      </c>
      <c r="AC565" s="56"/>
      <c r="AE565" s="4" t="str">
        <f t="shared" si="40"/>
        <v>ORD-2025-652467</v>
      </c>
      <c r="AF565" s="4" t="str">
        <f t="shared" si="41"/>
        <v>Asia</v>
      </c>
      <c r="AG565" s="4" t="str">
        <f t="shared" si="42"/>
        <v>Q3</v>
      </c>
      <c r="AH565" s="19">
        <f t="shared" si="43"/>
        <v>352.66</v>
      </c>
      <c r="AI565" s="11" t="str">
        <f t="shared" si="44"/>
        <v>0.1-0.2</v>
      </c>
    </row>
    <row r="566" spans="24:35" x14ac:dyDescent="0.25">
      <c r="X566" t="s">
        <v>344</v>
      </c>
      <c r="Y566" t="s">
        <v>648</v>
      </c>
      <c r="Z566" t="s">
        <v>1505</v>
      </c>
      <c r="AA566" s="19">
        <v>100.69</v>
      </c>
      <c r="AB566" s="30" t="s">
        <v>1498</v>
      </c>
      <c r="AC566" s="56"/>
      <c r="AE566" s="4" t="str">
        <f t="shared" si="40"/>
        <v>ORD-2025-653781</v>
      </c>
      <c r="AF566" s="4" t="str">
        <f t="shared" si="41"/>
        <v>Americas</v>
      </c>
      <c r="AG566" s="4" t="str">
        <f t="shared" si="42"/>
        <v>Q1</v>
      </c>
      <c r="AH566" s="19">
        <f t="shared" si="43"/>
        <v>100.69</v>
      </c>
      <c r="AI566" s="11" t="str">
        <f t="shared" si="44"/>
        <v>0-0.1</v>
      </c>
    </row>
    <row r="567" spans="24:35" x14ac:dyDescent="0.25">
      <c r="X567" t="s">
        <v>578</v>
      </c>
      <c r="Y567" t="s">
        <v>649</v>
      </c>
      <c r="Z567" t="s">
        <v>1505</v>
      </c>
      <c r="AA567" s="19">
        <v>586.21</v>
      </c>
      <c r="AB567" s="30" t="s">
        <v>1498</v>
      </c>
      <c r="AC567" s="56"/>
      <c r="AE567" s="4" t="str">
        <f t="shared" si="40"/>
        <v>ORD-2025-659650</v>
      </c>
      <c r="AF567" s="4" t="str">
        <f t="shared" si="41"/>
        <v>Europe</v>
      </c>
      <c r="AG567" s="4" t="str">
        <f t="shared" si="42"/>
        <v>Q1</v>
      </c>
      <c r="AH567" s="19">
        <f t="shared" si="43"/>
        <v>586.21</v>
      </c>
      <c r="AI567" s="11" t="str">
        <f t="shared" si="44"/>
        <v>0-0.1</v>
      </c>
    </row>
    <row r="568" spans="24:35" x14ac:dyDescent="0.25">
      <c r="X568" t="s">
        <v>117</v>
      </c>
      <c r="Y568" t="s">
        <v>646</v>
      </c>
      <c r="Z568" t="s">
        <v>1505</v>
      </c>
      <c r="AA568" s="19">
        <v>862.08</v>
      </c>
      <c r="AB568" s="30" t="s">
        <v>1498</v>
      </c>
      <c r="AC568" s="56"/>
      <c r="AE568" s="4" t="str">
        <f t="shared" si="40"/>
        <v>ORD-2025-662997</v>
      </c>
      <c r="AF568" s="4" t="str">
        <f t="shared" si="41"/>
        <v>Africa</v>
      </c>
      <c r="AG568" s="4" t="str">
        <f t="shared" si="42"/>
        <v>Q1</v>
      </c>
      <c r="AH568" s="19">
        <f t="shared" si="43"/>
        <v>862.08</v>
      </c>
      <c r="AI568" s="11" t="str">
        <f t="shared" si="44"/>
        <v>0-0.1</v>
      </c>
    </row>
    <row r="569" spans="24:35" x14ac:dyDescent="0.25">
      <c r="X569" t="s">
        <v>195</v>
      </c>
      <c r="Y569" t="s">
        <v>648</v>
      </c>
      <c r="Z569" t="s">
        <v>1507</v>
      </c>
      <c r="AA569" s="19">
        <v>5.5</v>
      </c>
      <c r="AB569" s="30" t="s">
        <v>1500</v>
      </c>
      <c r="AC569" s="56"/>
      <c r="AE569" s="4" t="str">
        <f t="shared" si="40"/>
        <v>ORD-2025-667201</v>
      </c>
      <c r="AF569" s="4" t="str">
        <f t="shared" si="41"/>
        <v>Americas</v>
      </c>
      <c r="AG569" s="4" t="str">
        <f t="shared" si="42"/>
        <v>Q3</v>
      </c>
      <c r="AH569" s="19">
        <f t="shared" si="43"/>
        <v>5.5</v>
      </c>
      <c r="AI569" s="11" t="str">
        <f t="shared" si="44"/>
        <v>0.2-0.3</v>
      </c>
    </row>
    <row r="570" spans="24:35" x14ac:dyDescent="0.25">
      <c r="X570" t="s">
        <v>443</v>
      </c>
      <c r="Y570" t="s">
        <v>647</v>
      </c>
      <c r="Z570" t="s">
        <v>1506</v>
      </c>
      <c r="AA570" s="19">
        <v>935.98</v>
      </c>
      <c r="AB570" s="30" t="s">
        <v>1499</v>
      </c>
      <c r="AC570" s="56"/>
      <c r="AE570" s="4" t="str">
        <f t="shared" si="40"/>
        <v>ORD-2025-673091</v>
      </c>
      <c r="AF570" s="4" t="str">
        <f t="shared" si="41"/>
        <v>Asia</v>
      </c>
      <c r="AG570" s="4" t="str">
        <f t="shared" si="42"/>
        <v>Q2</v>
      </c>
      <c r="AH570" s="19">
        <f t="shared" si="43"/>
        <v>935.98</v>
      </c>
      <c r="AI570" s="11" t="str">
        <f t="shared" si="44"/>
        <v>0.1-0.2</v>
      </c>
    </row>
    <row r="571" spans="24:35" x14ac:dyDescent="0.25">
      <c r="X571" t="s">
        <v>410</v>
      </c>
      <c r="Y571" t="s">
        <v>649</v>
      </c>
      <c r="Z571" t="s">
        <v>1507</v>
      </c>
      <c r="AA571" s="19">
        <v>1397.67</v>
      </c>
      <c r="AB571" s="30" t="s">
        <v>1499</v>
      </c>
      <c r="AC571" s="56"/>
      <c r="AE571" s="4" t="str">
        <f t="shared" si="40"/>
        <v>ORD-2025-677880</v>
      </c>
      <c r="AF571" s="4" t="str">
        <f t="shared" si="41"/>
        <v>Europe</v>
      </c>
      <c r="AG571" s="4" t="str">
        <f t="shared" si="42"/>
        <v>Q3</v>
      </c>
      <c r="AH571" s="19">
        <f t="shared" si="43"/>
        <v>1397.67</v>
      </c>
      <c r="AI571" s="11" t="str">
        <f t="shared" si="44"/>
        <v>0.1-0.2</v>
      </c>
    </row>
    <row r="572" spans="24:35" x14ac:dyDescent="0.25">
      <c r="X572" t="s">
        <v>291</v>
      </c>
      <c r="Y572" t="s">
        <v>649</v>
      </c>
      <c r="Z572" t="s">
        <v>1506</v>
      </c>
      <c r="AA572" s="19">
        <v>385.08</v>
      </c>
      <c r="AB572" s="30" t="s">
        <v>1499</v>
      </c>
      <c r="AC572" s="56"/>
      <c r="AE572" s="4" t="str">
        <f t="shared" si="40"/>
        <v>ORD-2025-678328</v>
      </c>
      <c r="AF572" s="4" t="str">
        <f t="shared" si="41"/>
        <v>Europe</v>
      </c>
      <c r="AG572" s="4" t="str">
        <f t="shared" si="42"/>
        <v>Q2</v>
      </c>
      <c r="AH572" s="19">
        <f t="shared" si="43"/>
        <v>385.08</v>
      </c>
      <c r="AI572" s="11" t="str">
        <f t="shared" si="44"/>
        <v>0.1-0.2</v>
      </c>
    </row>
    <row r="573" spans="24:35" x14ac:dyDescent="0.25">
      <c r="X573" t="s">
        <v>237</v>
      </c>
      <c r="Y573" t="s">
        <v>646</v>
      </c>
      <c r="Z573" t="s">
        <v>1507</v>
      </c>
      <c r="AA573" s="19">
        <v>1198.9000000000001</v>
      </c>
      <c r="AB573" s="30" t="s">
        <v>1498</v>
      </c>
      <c r="AC573" s="56"/>
      <c r="AE573" s="4" t="str">
        <f t="shared" si="40"/>
        <v>ORD-2025-678688</v>
      </c>
      <c r="AF573" s="4" t="str">
        <f t="shared" si="41"/>
        <v>Africa</v>
      </c>
      <c r="AG573" s="4" t="str">
        <f t="shared" si="42"/>
        <v>Q3</v>
      </c>
      <c r="AH573" s="19">
        <f t="shared" si="43"/>
        <v>1198.9000000000001</v>
      </c>
      <c r="AI573" s="11" t="str">
        <f t="shared" si="44"/>
        <v>0-0.1</v>
      </c>
    </row>
    <row r="574" spans="24:35" x14ac:dyDescent="0.25">
      <c r="X574" t="s">
        <v>518</v>
      </c>
      <c r="Y574" t="s">
        <v>648</v>
      </c>
      <c r="Z574" t="s">
        <v>1505</v>
      </c>
      <c r="AA574" s="19">
        <v>996.73</v>
      </c>
      <c r="AB574" s="30" t="s">
        <v>1498</v>
      </c>
      <c r="AC574" s="56"/>
      <c r="AE574" s="4" t="str">
        <f t="shared" si="40"/>
        <v>ORD-2025-680118</v>
      </c>
      <c r="AF574" s="4" t="str">
        <f t="shared" si="41"/>
        <v>Americas</v>
      </c>
      <c r="AG574" s="4" t="str">
        <f t="shared" si="42"/>
        <v>Q1</v>
      </c>
      <c r="AH574" s="19">
        <f t="shared" si="43"/>
        <v>996.73</v>
      </c>
      <c r="AI574" s="11" t="str">
        <f t="shared" si="44"/>
        <v>0-0.1</v>
      </c>
    </row>
    <row r="575" spans="24:35" x14ac:dyDescent="0.25">
      <c r="X575" t="s">
        <v>488</v>
      </c>
      <c r="Y575" t="s">
        <v>649</v>
      </c>
      <c r="Z575" t="s">
        <v>1507</v>
      </c>
      <c r="AA575" s="19">
        <v>603.47</v>
      </c>
      <c r="AB575" s="30" t="s">
        <v>1500</v>
      </c>
      <c r="AC575" s="56"/>
      <c r="AE575" s="4" t="str">
        <f t="shared" si="40"/>
        <v>ORD-2025-683043</v>
      </c>
      <c r="AF575" s="4" t="str">
        <f t="shared" si="41"/>
        <v>Europe</v>
      </c>
      <c r="AG575" s="4" t="str">
        <f t="shared" si="42"/>
        <v>Q3</v>
      </c>
      <c r="AH575" s="19">
        <f t="shared" si="43"/>
        <v>603.47</v>
      </c>
      <c r="AI575" s="11" t="str">
        <f t="shared" si="44"/>
        <v>0.2-0.3</v>
      </c>
    </row>
    <row r="576" spans="24:35" x14ac:dyDescent="0.25">
      <c r="X576" t="s">
        <v>612</v>
      </c>
      <c r="Y576" t="s">
        <v>647</v>
      </c>
      <c r="Z576" t="s">
        <v>1505</v>
      </c>
      <c r="AA576" s="19">
        <v>783.72</v>
      </c>
      <c r="AB576" s="30" t="s">
        <v>1499</v>
      </c>
      <c r="AC576" s="56"/>
      <c r="AE576" s="4" t="str">
        <f t="shared" si="40"/>
        <v>ORD-2025-683247</v>
      </c>
      <c r="AF576" s="4" t="str">
        <f t="shared" si="41"/>
        <v>Asia</v>
      </c>
      <c r="AG576" s="4" t="str">
        <f t="shared" si="42"/>
        <v>Q1</v>
      </c>
      <c r="AH576" s="19">
        <f t="shared" si="43"/>
        <v>783.72</v>
      </c>
      <c r="AI576" s="11" t="str">
        <f t="shared" si="44"/>
        <v>0.1-0.2</v>
      </c>
    </row>
    <row r="577" spans="24:35" x14ac:dyDescent="0.25">
      <c r="X577" t="s">
        <v>295</v>
      </c>
      <c r="Y577" t="s">
        <v>647</v>
      </c>
      <c r="Z577" t="s">
        <v>1505</v>
      </c>
      <c r="AA577" s="19">
        <v>1106.96</v>
      </c>
      <c r="AB577" s="30" t="s">
        <v>1501</v>
      </c>
      <c r="AC577" s="56"/>
      <c r="AE577" s="4" t="str">
        <f t="shared" si="40"/>
        <v>ORD-2025-685236</v>
      </c>
      <c r="AF577" s="4" t="str">
        <f t="shared" si="41"/>
        <v>Asia</v>
      </c>
      <c r="AG577" s="4" t="str">
        <f t="shared" si="42"/>
        <v>Q1</v>
      </c>
      <c r="AH577" s="19">
        <f t="shared" si="43"/>
        <v>1106.96</v>
      </c>
      <c r="AI577" s="11" t="str">
        <f t="shared" si="44"/>
        <v>0.3-0.4</v>
      </c>
    </row>
    <row r="578" spans="24:35" x14ac:dyDescent="0.25">
      <c r="X578" t="s">
        <v>131</v>
      </c>
      <c r="Y578" t="s">
        <v>648</v>
      </c>
      <c r="Z578" t="s">
        <v>1506</v>
      </c>
      <c r="AA578" s="19">
        <v>75.180000000000007</v>
      </c>
      <c r="AB578" s="30" t="s">
        <v>1499</v>
      </c>
      <c r="AC578" s="56"/>
      <c r="AE578" s="4" t="str">
        <f t="shared" si="40"/>
        <v>ORD-2025-698069</v>
      </c>
      <c r="AF578" s="4" t="str">
        <f t="shared" si="41"/>
        <v>Americas</v>
      </c>
      <c r="AG578" s="4" t="str">
        <f t="shared" si="42"/>
        <v>Q2</v>
      </c>
      <c r="AH578" s="19">
        <f t="shared" si="43"/>
        <v>75.180000000000007</v>
      </c>
      <c r="AI578" s="11" t="str">
        <f t="shared" si="44"/>
        <v>0.1-0.2</v>
      </c>
    </row>
    <row r="579" spans="24:35" x14ac:dyDescent="0.25">
      <c r="X579" t="s">
        <v>188</v>
      </c>
      <c r="Y579" t="s">
        <v>646</v>
      </c>
      <c r="Z579" t="s">
        <v>1506</v>
      </c>
      <c r="AA579" s="19">
        <v>1263.8399999999999</v>
      </c>
      <c r="AB579" s="30" t="s">
        <v>1498</v>
      </c>
      <c r="AC579" s="56"/>
      <c r="AE579" s="4" t="str">
        <f t="shared" si="40"/>
        <v>ORD-2025-700847</v>
      </c>
      <c r="AF579" s="4" t="str">
        <f t="shared" si="41"/>
        <v>Africa</v>
      </c>
      <c r="AG579" s="4" t="str">
        <f t="shared" si="42"/>
        <v>Q2</v>
      </c>
      <c r="AH579" s="19">
        <f t="shared" si="43"/>
        <v>1263.8399999999999</v>
      </c>
      <c r="AI579" s="11" t="str">
        <f t="shared" si="44"/>
        <v>0-0.1</v>
      </c>
    </row>
    <row r="580" spans="24:35" x14ac:dyDescent="0.25">
      <c r="X580" t="s">
        <v>506</v>
      </c>
      <c r="Y580" t="s">
        <v>647</v>
      </c>
      <c r="Z580" t="s">
        <v>1507</v>
      </c>
      <c r="AA580" s="19">
        <v>896.09</v>
      </c>
      <c r="AB580" s="30" t="s">
        <v>1498</v>
      </c>
      <c r="AC580" s="56"/>
      <c r="AE580" s="4" t="str">
        <f t="shared" ref="AE580:AE635" si="45">X580</f>
        <v>ORD-2025-703623</v>
      </c>
      <c r="AF580" s="4" t="str">
        <f t="shared" ref="AF580:AF635" si="46">Y580</f>
        <v>Asia</v>
      </c>
      <c r="AG580" s="4" t="str">
        <f t="shared" ref="AG580:AG635" si="47">Z580</f>
        <v>Q3</v>
      </c>
      <c r="AH580" s="19">
        <f t="shared" ref="AH580:AH635" si="48">AA580</f>
        <v>896.09</v>
      </c>
      <c r="AI580" s="11" t="str">
        <f t="shared" ref="AI580:AI635" si="49">AB580</f>
        <v>0-0.1</v>
      </c>
    </row>
    <row r="581" spans="24:35" x14ac:dyDescent="0.25">
      <c r="X581" t="s">
        <v>610</v>
      </c>
      <c r="Y581" t="s">
        <v>648</v>
      </c>
      <c r="Z581" t="s">
        <v>1505</v>
      </c>
      <c r="AA581" s="19">
        <v>1133.47</v>
      </c>
      <c r="AB581" s="30" t="s">
        <v>1498</v>
      </c>
      <c r="AC581" s="56"/>
      <c r="AE581" s="4" t="str">
        <f t="shared" si="45"/>
        <v>ORD-2025-705398</v>
      </c>
      <c r="AF581" s="4" t="str">
        <f t="shared" si="46"/>
        <v>Americas</v>
      </c>
      <c r="AG581" s="4" t="str">
        <f t="shared" si="47"/>
        <v>Q1</v>
      </c>
      <c r="AH581" s="19">
        <f t="shared" si="48"/>
        <v>1133.47</v>
      </c>
      <c r="AI581" s="11" t="str">
        <f t="shared" si="49"/>
        <v>0-0.1</v>
      </c>
    </row>
    <row r="582" spans="24:35" x14ac:dyDescent="0.25">
      <c r="X582" t="s">
        <v>52</v>
      </c>
      <c r="Y582" t="s">
        <v>647</v>
      </c>
      <c r="Z582" t="s">
        <v>1506</v>
      </c>
      <c r="AA582" s="19">
        <v>757.19</v>
      </c>
      <c r="AB582" s="30" t="s">
        <v>1499</v>
      </c>
      <c r="AC582" s="56"/>
      <c r="AE582" s="4" t="str">
        <f t="shared" si="45"/>
        <v>ORD-2025-718992</v>
      </c>
      <c r="AF582" s="4" t="str">
        <f t="shared" si="46"/>
        <v>Asia</v>
      </c>
      <c r="AG582" s="4" t="str">
        <f t="shared" si="47"/>
        <v>Q2</v>
      </c>
      <c r="AH582" s="19">
        <f t="shared" si="48"/>
        <v>757.19</v>
      </c>
      <c r="AI582" s="11" t="str">
        <f t="shared" si="49"/>
        <v>0.1-0.2</v>
      </c>
    </row>
    <row r="583" spans="24:35" x14ac:dyDescent="0.25">
      <c r="X583" t="s">
        <v>109</v>
      </c>
      <c r="Y583" t="s">
        <v>646</v>
      </c>
      <c r="Z583" t="s">
        <v>1507</v>
      </c>
      <c r="AA583" s="19">
        <v>1009.48</v>
      </c>
      <c r="AB583" s="30" t="s">
        <v>1499</v>
      </c>
      <c r="AC583" s="56"/>
      <c r="AE583" s="4" t="str">
        <f t="shared" si="45"/>
        <v>ORD-2025-725646</v>
      </c>
      <c r="AF583" s="4" t="str">
        <f t="shared" si="46"/>
        <v>Africa</v>
      </c>
      <c r="AG583" s="4" t="str">
        <f t="shared" si="47"/>
        <v>Q3</v>
      </c>
      <c r="AH583" s="19">
        <f t="shared" si="48"/>
        <v>1009.48</v>
      </c>
      <c r="AI583" s="11" t="str">
        <f t="shared" si="49"/>
        <v>0.1-0.2</v>
      </c>
    </row>
    <row r="584" spans="24:35" x14ac:dyDescent="0.25">
      <c r="X584" t="s">
        <v>645</v>
      </c>
      <c r="Y584" t="s">
        <v>647</v>
      </c>
      <c r="Z584" t="s">
        <v>1505</v>
      </c>
      <c r="AA584" s="19">
        <v>51.86</v>
      </c>
      <c r="AB584" s="30" t="s">
        <v>1499</v>
      </c>
      <c r="AC584" s="56"/>
      <c r="AE584" s="4" t="str">
        <f t="shared" si="45"/>
        <v>ORD-2025-728935</v>
      </c>
      <c r="AF584" s="4" t="str">
        <f t="shared" si="46"/>
        <v>Asia</v>
      </c>
      <c r="AG584" s="4" t="str">
        <f t="shared" si="47"/>
        <v>Q1</v>
      </c>
      <c r="AH584" s="19">
        <f t="shared" si="48"/>
        <v>51.86</v>
      </c>
      <c r="AI584" s="11" t="str">
        <f t="shared" si="49"/>
        <v>0.1-0.2</v>
      </c>
    </row>
    <row r="585" spans="24:35" x14ac:dyDescent="0.25">
      <c r="X585" t="s">
        <v>345</v>
      </c>
      <c r="Y585" t="s">
        <v>649</v>
      </c>
      <c r="Z585" t="s">
        <v>1507</v>
      </c>
      <c r="AA585" s="19">
        <v>425.15</v>
      </c>
      <c r="AB585" s="30" t="s">
        <v>1500</v>
      </c>
      <c r="AC585" s="56"/>
      <c r="AE585" s="4" t="str">
        <f t="shared" si="45"/>
        <v>ORD-2025-737787</v>
      </c>
      <c r="AF585" s="4" t="str">
        <f t="shared" si="46"/>
        <v>Europe</v>
      </c>
      <c r="AG585" s="4" t="str">
        <f t="shared" si="47"/>
        <v>Q3</v>
      </c>
      <c r="AH585" s="19">
        <f t="shared" si="48"/>
        <v>425.15</v>
      </c>
      <c r="AI585" s="11" t="str">
        <f t="shared" si="49"/>
        <v>0.2-0.3</v>
      </c>
    </row>
    <row r="586" spans="24:35" x14ac:dyDescent="0.25">
      <c r="X586" t="s">
        <v>34</v>
      </c>
      <c r="Y586" t="s">
        <v>649</v>
      </c>
      <c r="Z586" t="s">
        <v>1506</v>
      </c>
      <c r="AA586" s="19">
        <v>1015.16</v>
      </c>
      <c r="AB586" s="30" t="s">
        <v>1498</v>
      </c>
      <c r="AC586" s="56"/>
      <c r="AE586" s="4" t="str">
        <f t="shared" si="45"/>
        <v>ORD-2025-745263</v>
      </c>
      <c r="AF586" s="4" t="str">
        <f t="shared" si="46"/>
        <v>Europe</v>
      </c>
      <c r="AG586" s="4" t="str">
        <f t="shared" si="47"/>
        <v>Q2</v>
      </c>
      <c r="AH586" s="19">
        <f t="shared" si="48"/>
        <v>1015.16</v>
      </c>
      <c r="AI586" s="11" t="str">
        <f t="shared" si="49"/>
        <v>0-0.1</v>
      </c>
    </row>
    <row r="587" spans="24:35" x14ac:dyDescent="0.25">
      <c r="X587" t="s">
        <v>617</v>
      </c>
      <c r="Y587" t="s">
        <v>647</v>
      </c>
      <c r="Z587" t="s">
        <v>1506</v>
      </c>
      <c r="AA587" s="19">
        <v>1144.3800000000001</v>
      </c>
      <c r="AB587" s="30" t="s">
        <v>1499</v>
      </c>
      <c r="AC587" s="56"/>
      <c r="AE587" s="4" t="str">
        <f t="shared" si="45"/>
        <v>ORD-2025-752192</v>
      </c>
      <c r="AF587" s="4" t="str">
        <f t="shared" si="46"/>
        <v>Asia</v>
      </c>
      <c r="AG587" s="4" t="str">
        <f t="shared" si="47"/>
        <v>Q2</v>
      </c>
      <c r="AH587" s="19">
        <f t="shared" si="48"/>
        <v>1144.3800000000001</v>
      </c>
      <c r="AI587" s="11" t="str">
        <f t="shared" si="49"/>
        <v>0.1-0.2</v>
      </c>
    </row>
    <row r="588" spans="24:35" x14ac:dyDescent="0.25">
      <c r="X588" t="s">
        <v>305</v>
      </c>
      <c r="Y588" t="s">
        <v>648</v>
      </c>
      <c r="Z588" t="s">
        <v>1505</v>
      </c>
      <c r="AA588" s="19">
        <v>71.62</v>
      </c>
      <c r="AB588" s="30" t="s">
        <v>1499</v>
      </c>
      <c r="AC588" s="56"/>
      <c r="AE588" s="4" t="str">
        <f t="shared" si="45"/>
        <v>ORD-2025-752845</v>
      </c>
      <c r="AF588" s="4" t="str">
        <f t="shared" si="46"/>
        <v>Americas</v>
      </c>
      <c r="AG588" s="4" t="str">
        <f t="shared" si="47"/>
        <v>Q1</v>
      </c>
      <c r="AH588" s="19">
        <f t="shared" si="48"/>
        <v>71.62</v>
      </c>
      <c r="AI588" s="11" t="str">
        <f t="shared" si="49"/>
        <v>0.1-0.2</v>
      </c>
    </row>
    <row r="589" spans="24:35" x14ac:dyDescent="0.25">
      <c r="X589" t="s">
        <v>245</v>
      </c>
      <c r="Y589" t="s">
        <v>648</v>
      </c>
      <c r="Z589" t="s">
        <v>1506</v>
      </c>
      <c r="AA589" s="19">
        <v>394.13</v>
      </c>
      <c r="AB589" s="30" t="s">
        <v>1499</v>
      </c>
      <c r="AC589" s="56"/>
      <c r="AE589" s="4" t="str">
        <f t="shared" si="45"/>
        <v>ORD-2025-757957</v>
      </c>
      <c r="AF589" s="4" t="str">
        <f t="shared" si="46"/>
        <v>Americas</v>
      </c>
      <c r="AG589" s="4" t="str">
        <f t="shared" si="47"/>
        <v>Q2</v>
      </c>
      <c r="AH589" s="19">
        <f t="shared" si="48"/>
        <v>394.13</v>
      </c>
      <c r="AI589" s="11" t="str">
        <f t="shared" si="49"/>
        <v>0.1-0.2</v>
      </c>
    </row>
    <row r="590" spans="24:35" x14ac:dyDescent="0.25">
      <c r="X590" t="s">
        <v>234</v>
      </c>
      <c r="Y590" t="s">
        <v>646</v>
      </c>
      <c r="Z590" t="s">
        <v>1507</v>
      </c>
      <c r="AA590" s="19">
        <v>589.14</v>
      </c>
      <c r="AB590" s="30" t="s">
        <v>1498</v>
      </c>
      <c r="AC590" s="56"/>
      <c r="AE590" s="4" t="str">
        <f t="shared" si="45"/>
        <v>ORD-2025-762212</v>
      </c>
      <c r="AF590" s="4" t="str">
        <f t="shared" si="46"/>
        <v>Africa</v>
      </c>
      <c r="AG590" s="4" t="str">
        <f t="shared" si="47"/>
        <v>Q3</v>
      </c>
      <c r="AH590" s="19">
        <f t="shared" si="48"/>
        <v>589.14</v>
      </c>
      <c r="AI590" s="11" t="str">
        <f t="shared" si="49"/>
        <v>0-0.1</v>
      </c>
    </row>
    <row r="591" spans="24:35" x14ac:dyDescent="0.25">
      <c r="X591" t="s">
        <v>74</v>
      </c>
      <c r="Y591" t="s">
        <v>646</v>
      </c>
      <c r="Z591" t="s">
        <v>1506</v>
      </c>
      <c r="AA591" s="19">
        <v>1057.5999999999999</v>
      </c>
      <c r="AB591" s="30" t="s">
        <v>1500</v>
      </c>
      <c r="AC591" s="56"/>
      <c r="AE591" s="4" t="str">
        <f t="shared" si="45"/>
        <v>ORD-2025-762301</v>
      </c>
      <c r="AF591" s="4" t="str">
        <f t="shared" si="46"/>
        <v>Africa</v>
      </c>
      <c r="AG591" s="4" t="str">
        <f t="shared" si="47"/>
        <v>Q2</v>
      </c>
      <c r="AH591" s="19">
        <f t="shared" si="48"/>
        <v>1057.5999999999999</v>
      </c>
      <c r="AI591" s="11" t="str">
        <f t="shared" si="49"/>
        <v>0.2-0.3</v>
      </c>
    </row>
    <row r="592" spans="24:35" x14ac:dyDescent="0.25">
      <c r="X592" t="s">
        <v>70</v>
      </c>
      <c r="Y592" t="s">
        <v>648</v>
      </c>
      <c r="Z592" t="s">
        <v>1506</v>
      </c>
      <c r="AA592" s="19">
        <v>855.78</v>
      </c>
      <c r="AB592" s="30" t="s">
        <v>1499</v>
      </c>
      <c r="AC592" s="56"/>
      <c r="AE592" s="4" t="str">
        <f t="shared" si="45"/>
        <v>ORD-2025-765220</v>
      </c>
      <c r="AF592" s="4" t="str">
        <f t="shared" si="46"/>
        <v>Americas</v>
      </c>
      <c r="AG592" s="4" t="str">
        <f t="shared" si="47"/>
        <v>Q2</v>
      </c>
      <c r="AH592" s="19">
        <f t="shared" si="48"/>
        <v>855.78</v>
      </c>
      <c r="AI592" s="11" t="str">
        <f t="shared" si="49"/>
        <v>0.1-0.2</v>
      </c>
    </row>
    <row r="593" spans="24:35" x14ac:dyDescent="0.25">
      <c r="X593" t="s">
        <v>173</v>
      </c>
      <c r="Y593" t="s">
        <v>649</v>
      </c>
      <c r="Z593" t="s">
        <v>1505</v>
      </c>
      <c r="AA593" s="19">
        <v>815.83</v>
      </c>
      <c r="AB593" s="30" t="s">
        <v>1499</v>
      </c>
      <c r="AC593" s="56"/>
      <c r="AE593" s="4" t="str">
        <f t="shared" si="45"/>
        <v>ORD-2025-766923</v>
      </c>
      <c r="AF593" s="4" t="str">
        <f t="shared" si="46"/>
        <v>Europe</v>
      </c>
      <c r="AG593" s="4" t="str">
        <f t="shared" si="47"/>
        <v>Q1</v>
      </c>
      <c r="AH593" s="19">
        <f t="shared" si="48"/>
        <v>815.83</v>
      </c>
      <c r="AI593" s="11" t="str">
        <f t="shared" si="49"/>
        <v>0.1-0.2</v>
      </c>
    </row>
    <row r="594" spans="24:35" x14ac:dyDescent="0.25">
      <c r="X594" t="s">
        <v>546</v>
      </c>
      <c r="Y594" t="s">
        <v>649</v>
      </c>
      <c r="Z594" t="s">
        <v>1506</v>
      </c>
      <c r="AA594" s="19">
        <v>59.51</v>
      </c>
      <c r="AB594" s="30" t="s">
        <v>1499</v>
      </c>
      <c r="AC594" s="56"/>
      <c r="AE594" s="4" t="str">
        <f t="shared" si="45"/>
        <v>ORD-2025-778145</v>
      </c>
      <c r="AF594" s="4" t="str">
        <f t="shared" si="46"/>
        <v>Europe</v>
      </c>
      <c r="AG594" s="4" t="str">
        <f t="shared" si="47"/>
        <v>Q2</v>
      </c>
      <c r="AH594" s="19">
        <f t="shared" si="48"/>
        <v>59.51</v>
      </c>
      <c r="AI594" s="11" t="str">
        <f t="shared" si="49"/>
        <v>0.1-0.2</v>
      </c>
    </row>
    <row r="595" spans="24:35" x14ac:dyDescent="0.25">
      <c r="X595" t="s">
        <v>342</v>
      </c>
      <c r="Y595" t="s">
        <v>648</v>
      </c>
      <c r="Z595" t="s">
        <v>1506</v>
      </c>
      <c r="AA595" s="19">
        <v>383.77</v>
      </c>
      <c r="AB595" s="30" t="s">
        <v>1501</v>
      </c>
      <c r="AC595" s="56"/>
      <c r="AE595" s="4" t="str">
        <f t="shared" si="45"/>
        <v>ORD-2025-779530</v>
      </c>
      <c r="AF595" s="4" t="str">
        <f t="shared" si="46"/>
        <v>Americas</v>
      </c>
      <c r="AG595" s="4" t="str">
        <f t="shared" si="47"/>
        <v>Q2</v>
      </c>
      <c r="AH595" s="19">
        <f t="shared" si="48"/>
        <v>383.77</v>
      </c>
      <c r="AI595" s="11" t="str">
        <f t="shared" si="49"/>
        <v>0.3-0.4</v>
      </c>
    </row>
    <row r="596" spans="24:35" x14ac:dyDescent="0.25">
      <c r="X596" t="s">
        <v>76</v>
      </c>
      <c r="Y596" t="s">
        <v>647</v>
      </c>
      <c r="Z596" t="s">
        <v>1507</v>
      </c>
      <c r="AA596" s="19">
        <v>1470.15</v>
      </c>
      <c r="AB596" s="30" t="s">
        <v>1499</v>
      </c>
      <c r="AC596" s="56"/>
      <c r="AE596" s="4" t="str">
        <f t="shared" si="45"/>
        <v>ORD-2025-779574</v>
      </c>
      <c r="AF596" s="4" t="str">
        <f t="shared" si="46"/>
        <v>Asia</v>
      </c>
      <c r="AG596" s="4" t="str">
        <f t="shared" si="47"/>
        <v>Q3</v>
      </c>
      <c r="AH596" s="19">
        <f t="shared" si="48"/>
        <v>1470.15</v>
      </c>
      <c r="AI596" s="11" t="str">
        <f t="shared" si="49"/>
        <v>0.1-0.2</v>
      </c>
    </row>
    <row r="597" spans="24:35" x14ac:dyDescent="0.25">
      <c r="X597" t="s">
        <v>486</v>
      </c>
      <c r="Y597" t="s">
        <v>647</v>
      </c>
      <c r="Z597" t="s">
        <v>1507</v>
      </c>
      <c r="AA597" s="19">
        <v>647.36</v>
      </c>
      <c r="AB597" s="30" t="s">
        <v>1498</v>
      </c>
      <c r="AC597" s="56"/>
      <c r="AE597" s="4" t="str">
        <f t="shared" si="45"/>
        <v>ORD-2025-779659</v>
      </c>
      <c r="AF597" s="4" t="str">
        <f t="shared" si="46"/>
        <v>Asia</v>
      </c>
      <c r="AG597" s="4" t="str">
        <f t="shared" si="47"/>
        <v>Q3</v>
      </c>
      <c r="AH597" s="19">
        <f t="shared" si="48"/>
        <v>647.36</v>
      </c>
      <c r="AI597" s="11" t="str">
        <f t="shared" si="49"/>
        <v>0-0.1</v>
      </c>
    </row>
    <row r="598" spans="24:35" x14ac:dyDescent="0.25">
      <c r="X598" t="s">
        <v>396</v>
      </c>
      <c r="Y598" t="s">
        <v>649</v>
      </c>
      <c r="Z598" t="s">
        <v>1507</v>
      </c>
      <c r="AA598" s="19">
        <v>1142.06</v>
      </c>
      <c r="AB598" s="30" t="s">
        <v>1498</v>
      </c>
      <c r="AC598" s="56"/>
      <c r="AE598" s="4" t="str">
        <f t="shared" si="45"/>
        <v>ORD-2025-789245</v>
      </c>
      <c r="AF598" s="4" t="str">
        <f t="shared" si="46"/>
        <v>Europe</v>
      </c>
      <c r="AG598" s="4" t="str">
        <f t="shared" si="47"/>
        <v>Q3</v>
      </c>
      <c r="AH598" s="19">
        <f t="shared" si="48"/>
        <v>1142.06</v>
      </c>
      <c r="AI598" s="11" t="str">
        <f t="shared" si="49"/>
        <v>0-0.1</v>
      </c>
    </row>
    <row r="599" spans="24:35" x14ac:dyDescent="0.25">
      <c r="X599" t="s">
        <v>482</v>
      </c>
      <c r="Y599" t="s">
        <v>649</v>
      </c>
      <c r="Z599" t="s">
        <v>1506</v>
      </c>
      <c r="AA599" s="19">
        <v>1171.42</v>
      </c>
      <c r="AB599" s="30" t="s">
        <v>1500</v>
      </c>
      <c r="AC599" s="56"/>
      <c r="AE599" s="4" t="str">
        <f t="shared" si="45"/>
        <v>ORD-2025-795385</v>
      </c>
      <c r="AF599" s="4" t="str">
        <f t="shared" si="46"/>
        <v>Europe</v>
      </c>
      <c r="AG599" s="4" t="str">
        <f t="shared" si="47"/>
        <v>Q2</v>
      </c>
      <c r="AH599" s="19">
        <f t="shared" si="48"/>
        <v>1171.42</v>
      </c>
      <c r="AI599" s="11" t="str">
        <f t="shared" si="49"/>
        <v>0.2-0.3</v>
      </c>
    </row>
    <row r="600" spans="24:35" x14ac:dyDescent="0.25">
      <c r="X600" t="s">
        <v>440</v>
      </c>
      <c r="Y600" t="s">
        <v>646</v>
      </c>
      <c r="Z600" t="s">
        <v>1507</v>
      </c>
      <c r="AA600" s="19">
        <v>1271.0999999999999</v>
      </c>
      <c r="AB600" s="30" t="s">
        <v>1500</v>
      </c>
      <c r="AC600" s="56"/>
      <c r="AE600" s="4" t="str">
        <f t="shared" si="45"/>
        <v>ORD-2025-803803</v>
      </c>
      <c r="AF600" s="4" t="str">
        <f t="shared" si="46"/>
        <v>Africa</v>
      </c>
      <c r="AG600" s="4" t="str">
        <f t="shared" si="47"/>
        <v>Q3</v>
      </c>
      <c r="AH600" s="19">
        <f t="shared" si="48"/>
        <v>1271.0999999999999</v>
      </c>
      <c r="AI600" s="11" t="str">
        <f t="shared" si="49"/>
        <v>0.2-0.3</v>
      </c>
    </row>
    <row r="601" spans="24:35" x14ac:dyDescent="0.25">
      <c r="X601" t="s">
        <v>58</v>
      </c>
      <c r="Y601" t="s">
        <v>649</v>
      </c>
      <c r="Z601" t="s">
        <v>1506</v>
      </c>
      <c r="AA601" s="19">
        <v>483.47</v>
      </c>
      <c r="AB601" s="30" t="s">
        <v>1499</v>
      </c>
      <c r="AC601" s="56"/>
      <c r="AE601" s="4" t="str">
        <f t="shared" si="45"/>
        <v>ORD-2025-820255</v>
      </c>
      <c r="AF601" s="4" t="str">
        <f t="shared" si="46"/>
        <v>Europe</v>
      </c>
      <c r="AG601" s="4" t="str">
        <f t="shared" si="47"/>
        <v>Q2</v>
      </c>
      <c r="AH601" s="19">
        <f t="shared" si="48"/>
        <v>483.47</v>
      </c>
      <c r="AI601" s="11" t="str">
        <f t="shared" si="49"/>
        <v>0.1-0.2</v>
      </c>
    </row>
    <row r="602" spans="24:35" x14ac:dyDescent="0.25">
      <c r="X602" t="s">
        <v>395</v>
      </c>
      <c r="Y602" t="s">
        <v>648</v>
      </c>
      <c r="Z602" t="s">
        <v>1507</v>
      </c>
      <c r="AA602" s="19">
        <v>833.73</v>
      </c>
      <c r="AB602" s="30" t="s">
        <v>1499</v>
      </c>
      <c r="AC602" s="56"/>
      <c r="AE602" s="4" t="str">
        <f t="shared" si="45"/>
        <v>ORD-2025-822030</v>
      </c>
      <c r="AF602" s="4" t="str">
        <f t="shared" si="46"/>
        <v>Americas</v>
      </c>
      <c r="AG602" s="4" t="str">
        <f t="shared" si="47"/>
        <v>Q3</v>
      </c>
      <c r="AH602" s="19">
        <f t="shared" si="48"/>
        <v>833.73</v>
      </c>
      <c r="AI602" s="11" t="str">
        <f t="shared" si="49"/>
        <v>0.1-0.2</v>
      </c>
    </row>
    <row r="603" spans="24:35" x14ac:dyDescent="0.25">
      <c r="X603" t="s">
        <v>513</v>
      </c>
      <c r="Y603" t="s">
        <v>648</v>
      </c>
      <c r="Z603" t="s">
        <v>1507</v>
      </c>
      <c r="AA603" s="19">
        <v>660.78</v>
      </c>
      <c r="AB603" s="30" t="s">
        <v>1500</v>
      </c>
      <c r="AC603" s="56"/>
      <c r="AE603" s="4" t="str">
        <f t="shared" si="45"/>
        <v>ORD-2025-823055</v>
      </c>
      <c r="AF603" s="4" t="str">
        <f t="shared" si="46"/>
        <v>Americas</v>
      </c>
      <c r="AG603" s="4" t="str">
        <f t="shared" si="47"/>
        <v>Q3</v>
      </c>
      <c r="AH603" s="19">
        <f t="shared" si="48"/>
        <v>660.78</v>
      </c>
      <c r="AI603" s="11" t="str">
        <f t="shared" si="49"/>
        <v>0.2-0.3</v>
      </c>
    </row>
    <row r="604" spans="24:35" x14ac:dyDescent="0.25">
      <c r="X604" t="s">
        <v>531</v>
      </c>
      <c r="Y604" t="s">
        <v>646</v>
      </c>
      <c r="Z604" t="s">
        <v>1506</v>
      </c>
      <c r="AA604" s="19">
        <v>66.400000000000006</v>
      </c>
      <c r="AB604" s="30" t="s">
        <v>1499</v>
      </c>
      <c r="AC604" s="56"/>
      <c r="AE604" s="4" t="str">
        <f t="shared" si="45"/>
        <v>ORD-2025-828263</v>
      </c>
      <c r="AF604" s="4" t="str">
        <f t="shared" si="46"/>
        <v>Africa</v>
      </c>
      <c r="AG604" s="4" t="str">
        <f t="shared" si="47"/>
        <v>Q2</v>
      </c>
      <c r="AH604" s="19">
        <f t="shared" si="48"/>
        <v>66.400000000000006</v>
      </c>
      <c r="AI604" s="11" t="str">
        <f t="shared" si="49"/>
        <v>0.1-0.2</v>
      </c>
    </row>
    <row r="605" spans="24:35" x14ac:dyDescent="0.25">
      <c r="X605" t="s">
        <v>437</v>
      </c>
      <c r="Y605" t="s">
        <v>647</v>
      </c>
      <c r="Z605" t="s">
        <v>1507</v>
      </c>
      <c r="AA605" s="19">
        <v>1488.91</v>
      </c>
      <c r="AB605" s="30" t="s">
        <v>1499</v>
      </c>
      <c r="AC605" s="56"/>
      <c r="AE605" s="4" t="str">
        <f t="shared" si="45"/>
        <v>ORD-2025-831576</v>
      </c>
      <c r="AF605" s="4" t="str">
        <f t="shared" si="46"/>
        <v>Asia</v>
      </c>
      <c r="AG605" s="4" t="str">
        <f t="shared" si="47"/>
        <v>Q3</v>
      </c>
      <c r="AH605" s="19">
        <f t="shared" si="48"/>
        <v>1488.91</v>
      </c>
      <c r="AI605" s="11" t="str">
        <f t="shared" si="49"/>
        <v>0.1-0.2</v>
      </c>
    </row>
    <row r="606" spans="24:35" x14ac:dyDescent="0.25">
      <c r="X606" t="s">
        <v>29</v>
      </c>
      <c r="Y606" t="s">
        <v>648</v>
      </c>
      <c r="Z606" t="s">
        <v>1507</v>
      </c>
      <c r="AA606" s="19">
        <v>780.59</v>
      </c>
      <c r="AB606" s="30" t="s">
        <v>1498</v>
      </c>
      <c r="AC606" s="56"/>
      <c r="AE606" s="4" t="str">
        <f t="shared" si="45"/>
        <v>ORD-2025-840976</v>
      </c>
      <c r="AF606" s="4" t="str">
        <f t="shared" si="46"/>
        <v>Americas</v>
      </c>
      <c r="AG606" s="4" t="str">
        <f t="shared" si="47"/>
        <v>Q3</v>
      </c>
      <c r="AH606" s="19">
        <f t="shared" si="48"/>
        <v>780.59</v>
      </c>
      <c r="AI606" s="11" t="str">
        <f t="shared" si="49"/>
        <v>0-0.1</v>
      </c>
    </row>
    <row r="607" spans="24:35" x14ac:dyDescent="0.25">
      <c r="X607" t="s">
        <v>33</v>
      </c>
      <c r="Y607" t="s">
        <v>648</v>
      </c>
      <c r="Z607" t="s">
        <v>1507</v>
      </c>
      <c r="AA607" s="19">
        <v>1068.17</v>
      </c>
      <c r="AB607" s="30" t="s">
        <v>1499</v>
      </c>
      <c r="AC607" s="56"/>
      <c r="AE607" s="4" t="str">
        <f t="shared" si="45"/>
        <v>ORD-2025-843974</v>
      </c>
      <c r="AF607" s="4" t="str">
        <f t="shared" si="46"/>
        <v>Americas</v>
      </c>
      <c r="AG607" s="4" t="str">
        <f t="shared" si="47"/>
        <v>Q3</v>
      </c>
      <c r="AH607" s="19">
        <f t="shared" si="48"/>
        <v>1068.17</v>
      </c>
      <c r="AI607" s="11" t="str">
        <f t="shared" si="49"/>
        <v>0.1-0.2</v>
      </c>
    </row>
    <row r="608" spans="24:35" x14ac:dyDescent="0.25">
      <c r="X608" t="s">
        <v>190</v>
      </c>
      <c r="Y608" t="s">
        <v>649</v>
      </c>
      <c r="Z608" t="s">
        <v>1506</v>
      </c>
      <c r="AA608" s="19">
        <v>1413.87</v>
      </c>
      <c r="AB608" s="30" t="s">
        <v>1500</v>
      </c>
      <c r="AC608" s="56"/>
      <c r="AE608" s="4" t="str">
        <f t="shared" si="45"/>
        <v>ORD-2025-845715</v>
      </c>
      <c r="AF608" s="4" t="str">
        <f t="shared" si="46"/>
        <v>Europe</v>
      </c>
      <c r="AG608" s="4" t="str">
        <f t="shared" si="47"/>
        <v>Q2</v>
      </c>
      <c r="AH608" s="19">
        <f t="shared" si="48"/>
        <v>1413.87</v>
      </c>
      <c r="AI608" s="11" t="str">
        <f t="shared" si="49"/>
        <v>0.2-0.3</v>
      </c>
    </row>
    <row r="609" spans="24:35" x14ac:dyDescent="0.25">
      <c r="X609" t="s">
        <v>608</v>
      </c>
      <c r="Y609" t="s">
        <v>649</v>
      </c>
      <c r="Z609" t="s">
        <v>1506</v>
      </c>
      <c r="AA609" s="19">
        <v>318.83</v>
      </c>
      <c r="AB609" s="30" t="s">
        <v>1498</v>
      </c>
      <c r="AC609" s="56"/>
      <c r="AE609" s="4" t="str">
        <f t="shared" si="45"/>
        <v>ORD-2025-856556</v>
      </c>
      <c r="AF609" s="4" t="str">
        <f t="shared" si="46"/>
        <v>Europe</v>
      </c>
      <c r="AG609" s="4" t="str">
        <f t="shared" si="47"/>
        <v>Q2</v>
      </c>
      <c r="AH609" s="19">
        <f t="shared" si="48"/>
        <v>318.83</v>
      </c>
      <c r="AI609" s="11" t="str">
        <f t="shared" si="49"/>
        <v>0-0.1</v>
      </c>
    </row>
    <row r="610" spans="24:35" x14ac:dyDescent="0.25">
      <c r="X610" t="s">
        <v>332</v>
      </c>
      <c r="Y610" t="s">
        <v>648</v>
      </c>
      <c r="Z610" t="s">
        <v>1506</v>
      </c>
      <c r="AA610" s="19">
        <v>156.55000000000001</v>
      </c>
      <c r="AB610" s="30" t="s">
        <v>1498</v>
      </c>
      <c r="AC610" s="56"/>
      <c r="AE610" s="4" t="str">
        <f t="shared" si="45"/>
        <v>ORD-2025-861401</v>
      </c>
      <c r="AF610" s="4" t="str">
        <f t="shared" si="46"/>
        <v>Americas</v>
      </c>
      <c r="AG610" s="4" t="str">
        <f t="shared" si="47"/>
        <v>Q2</v>
      </c>
      <c r="AH610" s="19">
        <f t="shared" si="48"/>
        <v>156.55000000000001</v>
      </c>
      <c r="AI610" s="11" t="str">
        <f t="shared" si="49"/>
        <v>0-0.1</v>
      </c>
    </row>
    <row r="611" spans="24:35" x14ac:dyDescent="0.25">
      <c r="X611" t="s">
        <v>102</v>
      </c>
      <c r="Y611" t="s">
        <v>646</v>
      </c>
      <c r="Z611" t="s">
        <v>1507</v>
      </c>
      <c r="AA611" s="19">
        <v>601.51</v>
      </c>
      <c r="AB611" s="30" t="s">
        <v>1499</v>
      </c>
      <c r="AC611" s="56"/>
      <c r="AE611" s="4" t="str">
        <f t="shared" si="45"/>
        <v>ORD-2025-863978</v>
      </c>
      <c r="AF611" s="4" t="str">
        <f t="shared" si="46"/>
        <v>Africa</v>
      </c>
      <c r="AG611" s="4" t="str">
        <f t="shared" si="47"/>
        <v>Q3</v>
      </c>
      <c r="AH611" s="19">
        <f t="shared" si="48"/>
        <v>601.51</v>
      </c>
      <c r="AI611" s="11" t="str">
        <f t="shared" si="49"/>
        <v>0.1-0.2</v>
      </c>
    </row>
    <row r="612" spans="24:35" x14ac:dyDescent="0.25">
      <c r="X612" t="s">
        <v>400</v>
      </c>
      <c r="Y612" t="s">
        <v>647</v>
      </c>
      <c r="Z612" t="s">
        <v>1506</v>
      </c>
      <c r="AA612" s="19">
        <v>320.12</v>
      </c>
      <c r="AB612" s="30" t="s">
        <v>1499</v>
      </c>
      <c r="AC612" s="56"/>
      <c r="AE612" s="4" t="str">
        <f t="shared" si="45"/>
        <v>ORD-2025-866565</v>
      </c>
      <c r="AF612" s="4" t="str">
        <f t="shared" si="46"/>
        <v>Asia</v>
      </c>
      <c r="AG612" s="4" t="str">
        <f t="shared" si="47"/>
        <v>Q2</v>
      </c>
      <c r="AH612" s="19">
        <f t="shared" si="48"/>
        <v>320.12</v>
      </c>
      <c r="AI612" s="11" t="str">
        <f t="shared" si="49"/>
        <v>0.1-0.2</v>
      </c>
    </row>
    <row r="613" spans="24:35" x14ac:dyDescent="0.25">
      <c r="X613" t="s">
        <v>571</v>
      </c>
      <c r="Y613" t="s">
        <v>648</v>
      </c>
      <c r="Z613" t="s">
        <v>1506</v>
      </c>
      <c r="AA613" s="19">
        <v>883.5</v>
      </c>
      <c r="AB613" s="30" t="s">
        <v>1498</v>
      </c>
      <c r="AC613" s="56"/>
      <c r="AE613" s="4" t="str">
        <f t="shared" si="45"/>
        <v>ORD-2025-874124</v>
      </c>
      <c r="AF613" s="4" t="str">
        <f t="shared" si="46"/>
        <v>Americas</v>
      </c>
      <c r="AG613" s="4" t="str">
        <f t="shared" si="47"/>
        <v>Q2</v>
      </c>
      <c r="AH613" s="19">
        <f t="shared" si="48"/>
        <v>883.5</v>
      </c>
      <c r="AI613" s="11" t="str">
        <f t="shared" si="49"/>
        <v>0-0.1</v>
      </c>
    </row>
    <row r="614" spans="24:35" x14ac:dyDescent="0.25">
      <c r="X614" t="s">
        <v>421</v>
      </c>
      <c r="Y614" t="s">
        <v>646</v>
      </c>
      <c r="Z614" t="s">
        <v>1505</v>
      </c>
      <c r="AA614" s="19">
        <v>1437.39</v>
      </c>
      <c r="AB614" s="30" t="s">
        <v>1499</v>
      </c>
      <c r="AC614" s="56"/>
      <c r="AE614" s="4" t="str">
        <f t="shared" si="45"/>
        <v>ORD-2025-881624</v>
      </c>
      <c r="AF614" s="4" t="str">
        <f t="shared" si="46"/>
        <v>Africa</v>
      </c>
      <c r="AG614" s="4" t="str">
        <f t="shared" si="47"/>
        <v>Q1</v>
      </c>
      <c r="AH614" s="19">
        <f t="shared" si="48"/>
        <v>1437.39</v>
      </c>
      <c r="AI614" s="11" t="str">
        <f t="shared" si="49"/>
        <v>0.1-0.2</v>
      </c>
    </row>
    <row r="615" spans="24:35" x14ac:dyDescent="0.25">
      <c r="X615" t="s">
        <v>279</v>
      </c>
      <c r="Y615" t="s">
        <v>648</v>
      </c>
      <c r="Z615" t="s">
        <v>1507</v>
      </c>
      <c r="AA615" s="19">
        <v>1207.6300000000001</v>
      </c>
      <c r="AB615" s="30" t="s">
        <v>1499</v>
      </c>
      <c r="AC615" s="56"/>
      <c r="AE615" s="4" t="str">
        <f t="shared" si="45"/>
        <v>ORD-2025-898022</v>
      </c>
      <c r="AF615" s="4" t="str">
        <f t="shared" si="46"/>
        <v>Americas</v>
      </c>
      <c r="AG615" s="4" t="str">
        <f t="shared" si="47"/>
        <v>Q3</v>
      </c>
      <c r="AH615" s="19">
        <f t="shared" si="48"/>
        <v>1207.6300000000001</v>
      </c>
      <c r="AI615" s="11" t="str">
        <f t="shared" si="49"/>
        <v>0.1-0.2</v>
      </c>
    </row>
    <row r="616" spans="24:35" x14ac:dyDescent="0.25">
      <c r="X616" t="s">
        <v>197</v>
      </c>
      <c r="Y616" t="s">
        <v>647</v>
      </c>
      <c r="Z616" t="s">
        <v>1505</v>
      </c>
      <c r="AA616" s="19">
        <v>766.59</v>
      </c>
      <c r="AB616" s="30" t="s">
        <v>1499</v>
      </c>
      <c r="AC616" s="56"/>
      <c r="AE616" s="4" t="str">
        <f t="shared" si="45"/>
        <v>ORD-2025-898843</v>
      </c>
      <c r="AF616" s="4" t="str">
        <f t="shared" si="46"/>
        <v>Asia</v>
      </c>
      <c r="AG616" s="4" t="str">
        <f t="shared" si="47"/>
        <v>Q1</v>
      </c>
      <c r="AH616" s="19">
        <f t="shared" si="48"/>
        <v>766.59</v>
      </c>
      <c r="AI616" s="11" t="str">
        <f t="shared" si="49"/>
        <v>0.1-0.2</v>
      </c>
    </row>
    <row r="617" spans="24:35" x14ac:dyDescent="0.25">
      <c r="X617" t="s">
        <v>635</v>
      </c>
      <c r="Y617" t="s">
        <v>648</v>
      </c>
      <c r="Z617" t="s">
        <v>1506</v>
      </c>
      <c r="AA617" s="19">
        <v>168.68</v>
      </c>
      <c r="AB617" s="30" t="s">
        <v>1499</v>
      </c>
      <c r="AC617" s="56"/>
      <c r="AE617" s="4" t="str">
        <f t="shared" si="45"/>
        <v>ORD-2025-907040</v>
      </c>
      <c r="AF617" s="4" t="str">
        <f t="shared" si="46"/>
        <v>Americas</v>
      </c>
      <c r="AG617" s="4" t="str">
        <f t="shared" si="47"/>
        <v>Q2</v>
      </c>
      <c r="AH617" s="19">
        <f t="shared" si="48"/>
        <v>168.68</v>
      </c>
      <c r="AI617" s="11" t="str">
        <f t="shared" si="49"/>
        <v>0.1-0.2</v>
      </c>
    </row>
    <row r="618" spans="24:35" x14ac:dyDescent="0.25">
      <c r="X618" t="s">
        <v>277</v>
      </c>
      <c r="Y618" t="s">
        <v>646</v>
      </c>
      <c r="Z618" t="s">
        <v>1506</v>
      </c>
      <c r="AA618" s="19">
        <v>93.91</v>
      </c>
      <c r="AB618" s="30" t="s">
        <v>1498</v>
      </c>
      <c r="AC618" s="56"/>
      <c r="AE618" s="4" t="str">
        <f t="shared" si="45"/>
        <v>ORD-2025-908258</v>
      </c>
      <c r="AF618" s="4" t="str">
        <f t="shared" si="46"/>
        <v>Africa</v>
      </c>
      <c r="AG618" s="4" t="str">
        <f t="shared" si="47"/>
        <v>Q2</v>
      </c>
      <c r="AH618" s="19">
        <f t="shared" si="48"/>
        <v>93.91</v>
      </c>
      <c r="AI618" s="11" t="str">
        <f t="shared" si="49"/>
        <v>0-0.1</v>
      </c>
    </row>
    <row r="619" spans="24:35" x14ac:dyDescent="0.25">
      <c r="X619" t="s">
        <v>418</v>
      </c>
      <c r="Y619" t="s">
        <v>648</v>
      </c>
      <c r="Z619" t="s">
        <v>1505</v>
      </c>
      <c r="AA619" s="19">
        <v>974.11</v>
      </c>
      <c r="AB619" s="30" t="s">
        <v>1499</v>
      </c>
      <c r="AC619" s="56"/>
      <c r="AE619" s="4" t="str">
        <f t="shared" si="45"/>
        <v>ORD-2025-909340</v>
      </c>
      <c r="AF619" s="4" t="str">
        <f t="shared" si="46"/>
        <v>Americas</v>
      </c>
      <c r="AG619" s="4" t="str">
        <f t="shared" si="47"/>
        <v>Q1</v>
      </c>
      <c r="AH619" s="19">
        <f t="shared" si="48"/>
        <v>974.11</v>
      </c>
      <c r="AI619" s="11" t="str">
        <f t="shared" si="49"/>
        <v>0.1-0.2</v>
      </c>
    </row>
    <row r="620" spans="24:35" x14ac:dyDescent="0.25">
      <c r="X620" t="s">
        <v>393</v>
      </c>
      <c r="Y620" t="s">
        <v>648</v>
      </c>
      <c r="Z620" t="s">
        <v>1505</v>
      </c>
      <c r="AA620" s="19">
        <v>837.39</v>
      </c>
      <c r="AB620" s="30" t="s">
        <v>1498</v>
      </c>
      <c r="AC620" s="56"/>
      <c r="AE620" s="4" t="str">
        <f t="shared" si="45"/>
        <v>ORD-2025-915869</v>
      </c>
      <c r="AF620" s="4" t="str">
        <f t="shared" si="46"/>
        <v>Americas</v>
      </c>
      <c r="AG620" s="4" t="str">
        <f t="shared" si="47"/>
        <v>Q1</v>
      </c>
      <c r="AH620" s="19">
        <f t="shared" si="48"/>
        <v>837.39</v>
      </c>
      <c r="AI620" s="11" t="str">
        <f t="shared" si="49"/>
        <v>0-0.1</v>
      </c>
    </row>
    <row r="621" spans="24:35" x14ac:dyDescent="0.25">
      <c r="X621" t="s">
        <v>304</v>
      </c>
      <c r="Y621" t="s">
        <v>646</v>
      </c>
      <c r="Z621" t="s">
        <v>1507</v>
      </c>
      <c r="AA621" s="19">
        <v>521.05999999999995</v>
      </c>
      <c r="AB621" s="30" t="s">
        <v>1499</v>
      </c>
      <c r="AC621" s="56"/>
      <c r="AE621" s="4" t="str">
        <f t="shared" si="45"/>
        <v>ORD-2025-922513</v>
      </c>
      <c r="AF621" s="4" t="str">
        <f t="shared" si="46"/>
        <v>Africa</v>
      </c>
      <c r="AG621" s="4" t="str">
        <f t="shared" si="47"/>
        <v>Q3</v>
      </c>
      <c r="AH621" s="19">
        <f t="shared" si="48"/>
        <v>521.05999999999995</v>
      </c>
      <c r="AI621" s="11" t="str">
        <f t="shared" si="49"/>
        <v>0.1-0.2</v>
      </c>
    </row>
    <row r="622" spans="24:35" x14ac:dyDescent="0.25">
      <c r="X622" t="s">
        <v>545</v>
      </c>
      <c r="Y622" t="s">
        <v>649</v>
      </c>
      <c r="Z622" t="s">
        <v>1505</v>
      </c>
      <c r="AA622" s="19">
        <v>116.97</v>
      </c>
      <c r="AB622" s="30" t="s">
        <v>1499</v>
      </c>
      <c r="AC622" s="56"/>
      <c r="AE622" s="4" t="str">
        <f t="shared" si="45"/>
        <v>ORD-2025-926547</v>
      </c>
      <c r="AF622" s="4" t="str">
        <f t="shared" si="46"/>
        <v>Europe</v>
      </c>
      <c r="AG622" s="4" t="str">
        <f t="shared" si="47"/>
        <v>Q1</v>
      </c>
      <c r="AH622" s="19">
        <f t="shared" si="48"/>
        <v>116.97</v>
      </c>
      <c r="AI622" s="11" t="str">
        <f t="shared" si="49"/>
        <v>0.1-0.2</v>
      </c>
    </row>
    <row r="623" spans="24:35" x14ac:dyDescent="0.25">
      <c r="X623" t="s">
        <v>581</v>
      </c>
      <c r="Y623" t="s">
        <v>646</v>
      </c>
      <c r="Z623" t="s">
        <v>1506</v>
      </c>
      <c r="AA623" s="19">
        <v>1170.1500000000001</v>
      </c>
      <c r="AB623" s="30" t="s">
        <v>1498</v>
      </c>
      <c r="AC623" s="56"/>
      <c r="AE623" s="4" t="str">
        <f t="shared" si="45"/>
        <v>ORD-2025-929414</v>
      </c>
      <c r="AF623" s="4" t="str">
        <f t="shared" si="46"/>
        <v>Africa</v>
      </c>
      <c r="AG623" s="4" t="str">
        <f t="shared" si="47"/>
        <v>Q2</v>
      </c>
      <c r="AH623" s="19">
        <f t="shared" si="48"/>
        <v>1170.1500000000001</v>
      </c>
      <c r="AI623" s="11" t="str">
        <f t="shared" si="49"/>
        <v>0-0.1</v>
      </c>
    </row>
    <row r="624" spans="24:35" x14ac:dyDescent="0.25">
      <c r="X624" t="s">
        <v>71</v>
      </c>
      <c r="Y624" t="s">
        <v>648</v>
      </c>
      <c r="Z624" t="s">
        <v>1505</v>
      </c>
      <c r="AA624" s="19">
        <v>1154.6400000000001</v>
      </c>
      <c r="AB624" s="30" t="s">
        <v>1498</v>
      </c>
      <c r="AC624" s="56"/>
      <c r="AE624" s="4" t="str">
        <f t="shared" si="45"/>
        <v>ORD-2025-931538</v>
      </c>
      <c r="AF624" s="4" t="str">
        <f t="shared" si="46"/>
        <v>Americas</v>
      </c>
      <c r="AG624" s="4" t="str">
        <f t="shared" si="47"/>
        <v>Q1</v>
      </c>
      <c r="AH624" s="19">
        <f t="shared" si="48"/>
        <v>1154.6400000000001</v>
      </c>
      <c r="AI624" s="11" t="str">
        <f t="shared" si="49"/>
        <v>0-0.1</v>
      </c>
    </row>
    <row r="625" spans="24:35" x14ac:dyDescent="0.25">
      <c r="X625" t="s">
        <v>313</v>
      </c>
      <c r="Y625" t="s">
        <v>649</v>
      </c>
      <c r="Z625" t="s">
        <v>1505</v>
      </c>
      <c r="AA625" s="19">
        <v>591.72</v>
      </c>
      <c r="AB625" s="30" t="s">
        <v>1498</v>
      </c>
      <c r="AC625" s="56"/>
      <c r="AE625" s="4" t="str">
        <f t="shared" si="45"/>
        <v>ORD-2025-939953</v>
      </c>
      <c r="AF625" s="4" t="str">
        <f t="shared" si="46"/>
        <v>Europe</v>
      </c>
      <c r="AG625" s="4" t="str">
        <f t="shared" si="47"/>
        <v>Q1</v>
      </c>
      <c r="AH625" s="19">
        <f t="shared" si="48"/>
        <v>591.72</v>
      </c>
      <c r="AI625" s="11" t="str">
        <f t="shared" si="49"/>
        <v>0-0.1</v>
      </c>
    </row>
    <row r="626" spans="24:35" x14ac:dyDescent="0.25">
      <c r="X626" t="s">
        <v>320</v>
      </c>
      <c r="Y626" t="s">
        <v>646</v>
      </c>
      <c r="Z626" t="s">
        <v>1505</v>
      </c>
      <c r="AA626" s="19">
        <v>1450.43</v>
      </c>
      <c r="AB626" s="30" t="s">
        <v>1499</v>
      </c>
      <c r="AC626" s="56"/>
      <c r="AE626" s="4" t="str">
        <f t="shared" si="45"/>
        <v>ORD-2025-944081</v>
      </c>
      <c r="AF626" s="4" t="str">
        <f t="shared" si="46"/>
        <v>Africa</v>
      </c>
      <c r="AG626" s="4" t="str">
        <f t="shared" si="47"/>
        <v>Q1</v>
      </c>
      <c r="AH626" s="19">
        <f t="shared" si="48"/>
        <v>1450.43</v>
      </c>
      <c r="AI626" s="11" t="str">
        <f t="shared" si="49"/>
        <v>0.1-0.2</v>
      </c>
    </row>
    <row r="627" spans="24:35" x14ac:dyDescent="0.25">
      <c r="X627" t="s">
        <v>261</v>
      </c>
      <c r="Y627" t="s">
        <v>649</v>
      </c>
      <c r="Z627" t="s">
        <v>1506</v>
      </c>
      <c r="AA627" s="19">
        <v>20.149999999999999</v>
      </c>
      <c r="AB627" s="30" t="s">
        <v>1499</v>
      </c>
      <c r="AC627" s="56"/>
      <c r="AE627" s="4" t="str">
        <f t="shared" si="45"/>
        <v>ORD-2025-946490</v>
      </c>
      <c r="AF627" s="4" t="str">
        <f t="shared" si="46"/>
        <v>Europe</v>
      </c>
      <c r="AG627" s="4" t="str">
        <f t="shared" si="47"/>
        <v>Q2</v>
      </c>
      <c r="AH627" s="19">
        <f t="shared" si="48"/>
        <v>20.149999999999999</v>
      </c>
      <c r="AI627" s="11" t="str">
        <f t="shared" si="49"/>
        <v>0.1-0.2</v>
      </c>
    </row>
    <row r="628" spans="24:35" x14ac:dyDescent="0.25">
      <c r="X628" t="s">
        <v>483</v>
      </c>
      <c r="Y628" t="s">
        <v>649</v>
      </c>
      <c r="Z628" t="s">
        <v>1505</v>
      </c>
      <c r="AA628" s="19">
        <v>663.61</v>
      </c>
      <c r="AB628" s="30" t="s">
        <v>1498</v>
      </c>
      <c r="AC628" s="56"/>
      <c r="AE628" s="4" t="str">
        <f t="shared" si="45"/>
        <v>ORD-2025-947929</v>
      </c>
      <c r="AF628" s="4" t="str">
        <f t="shared" si="46"/>
        <v>Europe</v>
      </c>
      <c r="AG628" s="4" t="str">
        <f t="shared" si="47"/>
        <v>Q1</v>
      </c>
      <c r="AH628" s="19">
        <f t="shared" si="48"/>
        <v>663.61</v>
      </c>
      <c r="AI628" s="11" t="str">
        <f t="shared" si="49"/>
        <v>0-0.1</v>
      </c>
    </row>
    <row r="629" spans="24:35" x14ac:dyDescent="0.25">
      <c r="X629" t="s">
        <v>370</v>
      </c>
      <c r="Y629" t="s">
        <v>648</v>
      </c>
      <c r="Z629" t="s">
        <v>1507</v>
      </c>
      <c r="AA629" s="19">
        <v>1203.02</v>
      </c>
      <c r="AB629" s="30" t="s">
        <v>1498</v>
      </c>
      <c r="AC629" s="56"/>
      <c r="AE629" s="4" t="str">
        <f t="shared" si="45"/>
        <v>ORD-2025-949776</v>
      </c>
      <c r="AF629" s="4" t="str">
        <f t="shared" si="46"/>
        <v>Americas</v>
      </c>
      <c r="AG629" s="4" t="str">
        <f t="shared" si="47"/>
        <v>Q3</v>
      </c>
      <c r="AH629" s="19">
        <f t="shared" si="48"/>
        <v>1203.02</v>
      </c>
      <c r="AI629" s="11" t="str">
        <f t="shared" si="49"/>
        <v>0-0.1</v>
      </c>
    </row>
    <row r="630" spans="24:35" x14ac:dyDescent="0.25">
      <c r="X630" t="s">
        <v>134</v>
      </c>
      <c r="Y630" t="s">
        <v>648</v>
      </c>
      <c r="Z630" t="s">
        <v>1507</v>
      </c>
      <c r="AA630" s="19">
        <v>57.96</v>
      </c>
      <c r="AB630" s="30" t="s">
        <v>1498</v>
      </c>
      <c r="AC630" s="56"/>
      <c r="AE630" s="4" t="str">
        <f t="shared" si="45"/>
        <v>ORD-2025-956101</v>
      </c>
      <c r="AF630" s="4" t="str">
        <f t="shared" si="46"/>
        <v>Americas</v>
      </c>
      <c r="AG630" s="4" t="str">
        <f t="shared" si="47"/>
        <v>Q3</v>
      </c>
      <c r="AH630" s="19">
        <f t="shared" si="48"/>
        <v>57.96</v>
      </c>
      <c r="AI630" s="11" t="str">
        <f t="shared" si="49"/>
        <v>0-0.1</v>
      </c>
    </row>
    <row r="631" spans="24:35" x14ac:dyDescent="0.25">
      <c r="X631" t="s">
        <v>559</v>
      </c>
      <c r="Y631" t="s">
        <v>648</v>
      </c>
      <c r="Z631" t="s">
        <v>1507</v>
      </c>
      <c r="AA631" s="19">
        <v>1304.95</v>
      </c>
      <c r="AB631" s="30" t="s">
        <v>1500</v>
      </c>
      <c r="AC631" s="56"/>
      <c r="AE631" s="4" t="str">
        <f t="shared" si="45"/>
        <v>ORD-2025-960931</v>
      </c>
      <c r="AF631" s="4" t="str">
        <f t="shared" si="46"/>
        <v>Americas</v>
      </c>
      <c r="AG631" s="4" t="str">
        <f t="shared" si="47"/>
        <v>Q3</v>
      </c>
      <c r="AH631" s="19">
        <f t="shared" si="48"/>
        <v>1304.95</v>
      </c>
      <c r="AI631" s="11" t="str">
        <f t="shared" si="49"/>
        <v>0.2-0.3</v>
      </c>
    </row>
    <row r="632" spans="24:35" x14ac:dyDescent="0.25">
      <c r="X632" t="s">
        <v>218</v>
      </c>
      <c r="Y632" t="s">
        <v>649</v>
      </c>
      <c r="Z632" t="s">
        <v>1505</v>
      </c>
      <c r="AA632" s="19">
        <v>1016.32</v>
      </c>
      <c r="AB632" s="30" t="s">
        <v>1498</v>
      </c>
      <c r="AC632" s="56"/>
      <c r="AE632" s="4" t="str">
        <f t="shared" si="45"/>
        <v>ORD-2025-964661</v>
      </c>
      <c r="AF632" s="4" t="str">
        <f t="shared" si="46"/>
        <v>Europe</v>
      </c>
      <c r="AG632" s="4" t="str">
        <f t="shared" si="47"/>
        <v>Q1</v>
      </c>
      <c r="AH632" s="19">
        <f t="shared" si="48"/>
        <v>1016.32</v>
      </c>
      <c r="AI632" s="11" t="str">
        <f t="shared" si="49"/>
        <v>0-0.1</v>
      </c>
    </row>
    <row r="633" spans="24:35" x14ac:dyDescent="0.25">
      <c r="X633" t="s">
        <v>297</v>
      </c>
      <c r="Y633" t="s">
        <v>647</v>
      </c>
      <c r="Z633" t="s">
        <v>1506</v>
      </c>
      <c r="AA633" s="19">
        <v>623.4</v>
      </c>
      <c r="AB633" s="30" t="s">
        <v>1499</v>
      </c>
      <c r="AC633" s="56"/>
      <c r="AE633" s="4" t="str">
        <f t="shared" si="45"/>
        <v>ORD-2025-983096</v>
      </c>
      <c r="AF633" s="4" t="str">
        <f t="shared" si="46"/>
        <v>Asia</v>
      </c>
      <c r="AG633" s="4" t="str">
        <f t="shared" si="47"/>
        <v>Q2</v>
      </c>
      <c r="AH633" s="19">
        <f t="shared" si="48"/>
        <v>623.4</v>
      </c>
      <c r="AI633" s="11" t="str">
        <f t="shared" si="49"/>
        <v>0.1-0.2</v>
      </c>
    </row>
    <row r="634" spans="24:35" x14ac:dyDescent="0.25">
      <c r="X634" t="s">
        <v>605</v>
      </c>
      <c r="Y634" t="s">
        <v>649</v>
      </c>
      <c r="Z634" t="s">
        <v>1507</v>
      </c>
      <c r="AA634" s="19">
        <v>663.9</v>
      </c>
      <c r="AB634" s="30" t="s">
        <v>1499</v>
      </c>
      <c r="AC634" s="56"/>
      <c r="AE634" s="4" t="str">
        <f t="shared" si="45"/>
        <v>ORD-2025-993993</v>
      </c>
      <c r="AF634" s="4" t="str">
        <f t="shared" si="46"/>
        <v>Europe</v>
      </c>
      <c r="AG634" s="4" t="str">
        <f t="shared" si="47"/>
        <v>Q3</v>
      </c>
      <c r="AH634" s="19">
        <f t="shared" si="48"/>
        <v>663.9</v>
      </c>
      <c r="AI634" s="11" t="str">
        <f t="shared" si="49"/>
        <v>0.1-0.2</v>
      </c>
    </row>
    <row r="635" spans="24:35" x14ac:dyDescent="0.25">
      <c r="X635" t="s">
        <v>24</v>
      </c>
      <c r="Y635" t="s">
        <v>648</v>
      </c>
      <c r="Z635" t="s">
        <v>1506</v>
      </c>
      <c r="AA635" s="19">
        <v>1331.38</v>
      </c>
      <c r="AB635" s="30" t="s">
        <v>1499</v>
      </c>
      <c r="AC635" s="56"/>
      <c r="AE635" s="4" t="str">
        <f t="shared" si="45"/>
        <v>ORD-2025-997421</v>
      </c>
      <c r="AF635" s="4" t="str">
        <f t="shared" si="46"/>
        <v>Americas</v>
      </c>
      <c r="AG635" s="4" t="str">
        <f t="shared" si="47"/>
        <v>Q2</v>
      </c>
      <c r="AH635" s="19">
        <f t="shared" si="48"/>
        <v>1331.38</v>
      </c>
      <c r="AI635" s="11" t="str">
        <f t="shared" si="49"/>
        <v>0.1-0.2</v>
      </c>
    </row>
    <row r="636" spans="24:35" x14ac:dyDescent="0.25">
      <c r="X636" t="s">
        <v>1441</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49C7E-3E2C-492E-A769-20A0DB35AFAB}">
  <dimension ref="A2:R139"/>
  <sheetViews>
    <sheetView topLeftCell="F1" zoomScale="90" zoomScaleNormal="90" workbookViewId="0">
      <selection activeCell="J8" sqref="J8"/>
    </sheetView>
  </sheetViews>
  <sheetFormatPr defaultRowHeight="15" x14ac:dyDescent="0.25"/>
  <cols>
    <col min="1" max="1" width="20" bestFit="1" customWidth="1"/>
    <col min="2" max="2" width="15.42578125" bestFit="1" customWidth="1"/>
    <col min="3" max="3" width="17.28515625" bestFit="1" customWidth="1"/>
    <col min="4" max="4" width="21.140625" bestFit="1" customWidth="1"/>
    <col min="5" max="7" width="13.28515625" customWidth="1"/>
    <col min="8" max="8" width="16.5703125" bestFit="1" customWidth="1"/>
    <col min="9" max="9" width="15.5703125" bestFit="1" customWidth="1"/>
    <col min="10" max="10" width="8.5703125" bestFit="1" customWidth="1"/>
    <col min="11" max="11" width="11.140625" bestFit="1" customWidth="1"/>
    <col min="12" max="24" width="13.85546875" bestFit="1" customWidth="1"/>
    <col min="25" max="25" width="11" bestFit="1" customWidth="1"/>
    <col min="26" max="41" width="12.5703125" bestFit="1" customWidth="1"/>
    <col min="42" max="42" width="14.140625" bestFit="1" customWidth="1"/>
    <col min="43" max="58" width="12.5703125" bestFit="1" customWidth="1"/>
    <col min="59" max="59" width="9.5703125" bestFit="1" customWidth="1"/>
    <col min="60" max="75" width="12.5703125" bestFit="1" customWidth="1"/>
    <col min="76" max="76" width="12.140625" bestFit="1" customWidth="1"/>
    <col min="77" max="77" width="11.28515625" bestFit="1" customWidth="1"/>
  </cols>
  <sheetData>
    <row r="2" spans="1:18" x14ac:dyDescent="0.25">
      <c r="A2" s="68" t="s">
        <v>1497</v>
      </c>
      <c r="B2" s="68"/>
      <c r="C2" s="68"/>
    </row>
    <row r="3" spans="1:18" x14ac:dyDescent="0.25">
      <c r="A3" s="68"/>
      <c r="B3" s="68"/>
      <c r="C3" s="68"/>
    </row>
    <row r="4" spans="1:18" x14ac:dyDescent="0.25">
      <c r="A4" s="24" t="s">
        <v>1456</v>
      </c>
      <c r="B4" t="s">
        <v>1482</v>
      </c>
      <c r="H4" s="24" t="s">
        <v>8</v>
      </c>
      <c r="I4" t="s">
        <v>1467</v>
      </c>
    </row>
    <row r="6" spans="1:18" ht="45" x14ac:dyDescent="0.25">
      <c r="A6" s="24" t="s">
        <v>1496</v>
      </c>
      <c r="B6" s="24" t="s">
        <v>4</v>
      </c>
      <c r="C6" t="s">
        <v>1465</v>
      </c>
      <c r="D6" t="s">
        <v>1455</v>
      </c>
      <c r="H6" s="42" t="s">
        <v>3</v>
      </c>
      <c r="I6" s="42" t="s">
        <v>1422</v>
      </c>
      <c r="J6" s="43" t="s">
        <v>1464</v>
      </c>
      <c r="K6" s="43" t="s">
        <v>1502</v>
      </c>
      <c r="L6" s="43" t="s">
        <v>1455</v>
      </c>
      <c r="O6" s="43" t="s">
        <v>1517</v>
      </c>
    </row>
    <row r="7" spans="1:18" x14ac:dyDescent="0.25">
      <c r="A7" t="s">
        <v>1443</v>
      </c>
      <c r="B7" t="s">
        <v>653</v>
      </c>
      <c r="C7" s="14">
        <v>44928</v>
      </c>
      <c r="D7" s="19">
        <v>4141.7599999999993</v>
      </c>
      <c r="F7" s="19"/>
      <c r="G7" s="19"/>
      <c r="H7" t="s">
        <v>646</v>
      </c>
      <c r="I7" s="30" t="s">
        <v>1498</v>
      </c>
      <c r="J7" s="71">
        <v>59</v>
      </c>
      <c r="K7" s="19">
        <v>17997.545597355085</v>
      </c>
      <c r="L7" s="19">
        <v>1061855.1902439501</v>
      </c>
      <c r="O7" t="s">
        <v>646</v>
      </c>
      <c r="P7" t="s">
        <v>648</v>
      </c>
      <c r="Q7" t="s">
        <v>647</v>
      </c>
      <c r="R7" t="s">
        <v>649</v>
      </c>
    </row>
    <row r="8" spans="1:18" x14ac:dyDescent="0.25">
      <c r="B8" t="s">
        <v>661</v>
      </c>
      <c r="C8" s="14">
        <v>44933</v>
      </c>
      <c r="D8" s="19">
        <v>2679.9406000000004</v>
      </c>
      <c r="F8" s="19"/>
      <c r="G8" s="19"/>
      <c r="I8" s="30" t="s">
        <v>1499</v>
      </c>
      <c r="J8" s="71">
        <v>64</v>
      </c>
      <c r="K8" s="19">
        <v>14607.301862866247</v>
      </c>
      <c r="L8" s="19">
        <v>934867.31922343979</v>
      </c>
      <c r="N8" t="s">
        <v>1511</v>
      </c>
      <c r="O8">
        <v>59</v>
      </c>
      <c r="P8" s="71">
        <v>56</v>
      </c>
      <c r="Q8" s="71">
        <v>61</v>
      </c>
      <c r="R8" s="71">
        <v>66</v>
      </c>
    </row>
    <row r="9" spans="1:18" x14ac:dyDescent="0.25">
      <c r="B9" t="s">
        <v>657</v>
      </c>
      <c r="C9" s="14">
        <v>44936</v>
      </c>
      <c r="D9" s="19">
        <v>8970.8318684600017</v>
      </c>
      <c r="F9" s="19"/>
      <c r="G9" s="19"/>
      <c r="I9" s="30" t="s">
        <v>1500</v>
      </c>
      <c r="J9" s="71">
        <v>19</v>
      </c>
      <c r="K9" s="19">
        <v>13990.197860820525</v>
      </c>
      <c r="L9" s="19">
        <v>265813.75935558998</v>
      </c>
      <c r="N9" t="s">
        <v>1512</v>
      </c>
      <c r="O9">
        <v>64</v>
      </c>
      <c r="P9" s="71">
        <v>73</v>
      </c>
      <c r="Q9" s="71">
        <v>86</v>
      </c>
      <c r="R9" s="71">
        <v>75</v>
      </c>
    </row>
    <row r="10" spans="1:18" x14ac:dyDescent="0.25">
      <c r="B10" t="s">
        <v>659</v>
      </c>
      <c r="C10" s="14">
        <v>44938</v>
      </c>
      <c r="D10" s="19">
        <v>11406.96</v>
      </c>
      <c r="F10" s="19"/>
      <c r="G10" s="19"/>
      <c r="I10" s="30" t="s">
        <v>1501</v>
      </c>
      <c r="J10" s="71">
        <v>2</v>
      </c>
      <c r="K10" s="19">
        <v>11887.9998062</v>
      </c>
      <c r="L10" s="19">
        <v>23775.999612399999</v>
      </c>
      <c r="N10" t="s">
        <v>1513</v>
      </c>
      <c r="O10">
        <v>19</v>
      </c>
      <c r="P10" s="71">
        <v>27</v>
      </c>
      <c r="Q10" s="71">
        <v>21</v>
      </c>
      <c r="R10" s="71">
        <v>18</v>
      </c>
    </row>
    <row r="11" spans="1:18" x14ac:dyDescent="0.25">
      <c r="B11" t="s">
        <v>660</v>
      </c>
      <c r="C11" s="14">
        <v>44939</v>
      </c>
      <c r="D11" s="19">
        <v>28398.352213260001</v>
      </c>
      <c r="F11" s="19"/>
      <c r="G11" s="19"/>
      <c r="I11" s="30" t="s">
        <v>1503</v>
      </c>
      <c r="J11" s="71">
        <v>1</v>
      </c>
      <c r="K11" s="19">
        <v>7424.5532040000016</v>
      </c>
      <c r="L11" s="19">
        <v>7424.5532040000016</v>
      </c>
      <c r="N11" t="s">
        <v>1514</v>
      </c>
      <c r="O11">
        <v>2</v>
      </c>
      <c r="P11" s="71">
        <v>1</v>
      </c>
      <c r="Q11" s="71">
        <v>3</v>
      </c>
    </row>
    <row r="12" spans="1:18" x14ac:dyDescent="0.25">
      <c r="B12" t="s">
        <v>651</v>
      </c>
      <c r="C12" s="14">
        <v>44941</v>
      </c>
      <c r="D12" s="19">
        <v>552.16461456000002</v>
      </c>
      <c r="F12" s="19"/>
      <c r="G12" s="19"/>
      <c r="H12" t="s">
        <v>648</v>
      </c>
      <c r="I12" s="30" t="s">
        <v>1498</v>
      </c>
      <c r="J12" s="71">
        <v>56</v>
      </c>
      <c r="K12" s="19">
        <v>16697.216093049996</v>
      </c>
      <c r="L12" s="19">
        <v>935044.10121079977</v>
      </c>
      <c r="N12" t="s">
        <v>1515</v>
      </c>
    </row>
    <row r="13" spans="1:18" x14ac:dyDescent="0.25">
      <c r="B13" t="s">
        <v>658</v>
      </c>
      <c r="C13" s="14">
        <v>44945</v>
      </c>
      <c r="D13" s="19">
        <v>24835.771406</v>
      </c>
      <c r="F13" s="19"/>
      <c r="G13" s="19"/>
      <c r="I13" s="30" t="s">
        <v>1499</v>
      </c>
      <c r="J13" s="71">
        <v>73</v>
      </c>
      <c r="K13" s="19">
        <v>15556.434191650271</v>
      </c>
      <c r="L13" s="19">
        <v>1135619.6959904698</v>
      </c>
      <c r="N13" t="s">
        <v>1516</v>
      </c>
      <c r="O13">
        <v>1</v>
      </c>
    </row>
    <row r="14" spans="1:18" x14ac:dyDescent="0.25">
      <c r="B14" t="s">
        <v>650</v>
      </c>
      <c r="C14" s="14">
        <v>44946</v>
      </c>
      <c r="D14" s="19">
        <v>36307.777208059997</v>
      </c>
      <c r="F14" s="19"/>
      <c r="G14" s="19"/>
      <c r="I14" s="30" t="s">
        <v>1500</v>
      </c>
      <c r="J14" s="71">
        <v>27</v>
      </c>
      <c r="K14" s="19">
        <v>10912.123830385553</v>
      </c>
      <c r="L14" s="19">
        <v>294627.34342040995</v>
      </c>
      <c r="N14" t="s">
        <v>1510</v>
      </c>
      <c r="O14">
        <f>SUM(O10:O13)</f>
        <v>22</v>
      </c>
      <c r="P14">
        <f t="shared" ref="P14:R14" si="0">SUM(P10:P13)</f>
        <v>28</v>
      </c>
      <c r="Q14">
        <f t="shared" si="0"/>
        <v>24</v>
      </c>
      <c r="R14">
        <f t="shared" si="0"/>
        <v>18</v>
      </c>
    </row>
    <row r="15" spans="1:18" x14ac:dyDescent="0.25">
      <c r="B15" t="s">
        <v>656</v>
      </c>
      <c r="C15" s="14">
        <v>44948</v>
      </c>
      <c r="D15" s="19">
        <v>11633.83131976</v>
      </c>
      <c r="F15" s="19"/>
      <c r="G15" s="19"/>
      <c r="I15" s="30" t="s">
        <v>1501</v>
      </c>
      <c r="J15" s="71">
        <v>1</v>
      </c>
      <c r="K15" s="19">
        <v>4074.2515296000006</v>
      </c>
      <c r="L15" s="19">
        <v>4074.2515296000006</v>
      </c>
    </row>
    <row r="16" spans="1:18" x14ac:dyDescent="0.25">
      <c r="B16" t="s">
        <v>654</v>
      </c>
      <c r="C16" s="14">
        <v>44955</v>
      </c>
      <c r="D16" s="19">
        <v>20524.37370425</v>
      </c>
      <c r="F16" s="19"/>
      <c r="G16" s="19"/>
      <c r="H16" t="s">
        <v>647</v>
      </c>
      <c r="I16" s="30" t="s">
        <v>1498</v>
      </c>
      <c r="J16" s="71">
        <v>61</v>
      </c>
      <c r="K16" s="19">
        <v>15008.421312488528</v>
      </c>
      <c r="L16" s="19">
        <v>915513.70006180019</v>
      </c>
    </row>
    <row r="17" spans="1:12" x14ac:dyDescent="0.25">
      <c r="B17" t="s">
        <v>655</v>
      </c>
      <c r="C17" s="14">
        <v>44955</v>
      </c>
      <c r="D17" s="19">
        <v>1394.2894824000002</v>
      </c>
      <c r="F17" s="19"/>
      <c r="G17" s="19"/>
      <c r="I17" s="30" t="s">
        <v>1499</v>
      </c>
      <c r="J17" s="71">
        <v>86</v>
      </c>
      <c r="K17" s="19">
        <v>14948.86080022338</v>
      </c>
      <c r="L17" s="19">
        <v>1285602.0288192106</v>
      </c>
    </row>
    <row r="18" spans="1:12" x14ac:dyDescent="0.25">
      <c r="A18" t="s">
        <v>1484</v>
      </c>
      <c r="C18" s="14">
        <v>44928</v>
      </c>
      <c r="D18" s="19">
        <v>150846.05241675</v>
      </c>
      <c r="F18" s="19"/>
      <c r="G18" s="19"/>
      <c r="I18" s="30" t="s">
        <v>1500</v>
      </c>
      <c r="J18" s="71">
        <v>21</v>
      </c>
      <c r="K18" s="19">
        <v>10895.640946916668</v>
      </c>
      <c r="L18" s="19">
        <v>228808.45988525002</v>
      </c>
    </row>
    <row r="19" spans="1:12" x14ac:dyDescent="0.25">
      <c r="A19" t="s">
        <v>1444</v>
      </c>
      <c r="B19" t="s">
        <v>660</v>
      </c>
      <c r="C19" s="14">
        <v>44962</v>
      </c>
      <c r="D19" s="19">
        <v>61175.933035880007</v>
      </c>
      <c r="E19" s="19"/>
      <c r="F19" s="19"/>
      <c r="G19" s="19"/>
      <c r="I19" s="30" t="s">
        <v>1501</v>
      </c>
      <c r="J19" s="71">
        <v>3</v>
      </c>
      <c r="K19" s="19">
        <v>17767.343815830001</v>
      </c>
      <c r="L19" s="19">
        <v>53302.031447490001</v>
      </c>
    </row>
    <row r="20" spans="1:12" x14ac:dyDescent="0.25">
      <c r="B20" t="s">
        <v>655</v>
      </c>
      <c r="C20" s="14">
        <v>44964</v>
      </c>
      <c r="D20" s="19">
        <v>24720.16954608</v>
      </c>
      <c r="E20" s="19"/>
      <c r="F20" s="19"/>
      <c r="G20" s="19"/>
      <c r="H20" t="s">
        <v>649</v>
      </c>
      <c r="I20" s="30" t="s">
        <v>1498</v>
      </c>
      <c r="J20" s="71">
        <v>66</v>
      </c>
      <c r="K20" s="19">
        <v>17874.716651825001</v>
      </c>
      <c r="L20" s="19">
        <v>1179731.2990204501</v>
      </c>
    </row>
    <row r="21" spans="1:12" x14ac:dyDescent="0.25">
      <c r="B21" t="s">
        <v>661</v>
      </c>
      <c r="C21" s="14">
        <v>44965</v>
      </c>
      <c r="D21" s="19">
        <v>73470.38376669999</v>
      </c>
      <c r="E21" s="19"/>
      <c r="F21" s="19"/>
      <c r="G21" s="19"/>
      <c r="I21" s="30" t="s">
        <v>1499</v>
      </c>
      <c r="J21" s="71">
        <v>75</v>
      </c>
      <c r="K21" s="19">
        <v>14166.37054842547</v>
      </c>
      <c r="L21" s="19">
        <v>1062477.7911319102</v>
      </c>
    </row>
    <row r="22" spans="1:12" x14ac:dyDescent="0.25">
      <c r="B22" t="s">
        <v>651</v>
      </c>
      <c r="C22" s="14">
        <v>44968</v>
      </c>
      <c r="D22" s="19">
        <v>4457.7238694400003</v>
      </c>
      <c r="E22" s="19"/>
      <c r="F22" s="19"/>
      <c r="G22" s="19"/>
      <c r="I22" s="30" t="s">
        <v>1500</v>
      </c>
      <c r="J22" s="71">
        <v>18</v>
      </c>
      <c r="K22" s="19">
        <v>13948.41884525611</v>
      </c>
      <c r="L22" s="19">
        <v>251071.53921460998</v>
      </c>
    </row>
    <row r="23" spans="1:12" x14ac:dyDescent="0.25">
      <c r="B23" t="s">
        <v>656</v>
      </c>
      <c r="C23" s="14">
        <v>44976</v>
      </c>
      <c r="D23" s="19">
        <v>127062.91568948998</v>
      </c>
      <c r="E23" s="19"/>
      <c r="F23" s="19"/>
      <c r="G23" s="19"/>
      <c r="H23" t="s">
        <v>1441</v>
      </c>
      <c r="J23" s="71">
        <v>632</v>
      </c>
      <c r="K23" s="19">
        <v>15252.54598634713</v>
      </c>
      <c r="L23" s="19">
        <v>9639609.0633713864</v>
      </c>
    </row>
    <row r="24" spans="1:12" x14ac:dyDescent="0.25">
      <c r="B24" t="s">
        <v>654</v>
      </c>
      <c r="C24" s="14">
        <v>44977</v>
      </c>
      <c r="D24" s="19">
        <v>18583.8266745</v>
      </c>
      <c r="E24" s="19"/>
      <c r="F24" s="19"/>
      <c r="G24" s="19"/>
    </row>
    <row r="25" spans="1:12" x14ac:dyDescent="0.25">
      <c r="B25" t="s">
        <v>650</v>
      </c>
      <c r="C25" s="14">
        <v>44978</v>
      </c>
      <c r="D25" s="19">
        <v>2403.1784288399995</v>
      </c>
      <c r="E25" s="19"/>
      <c r="F25" s="19"/>
      <c r="G25" s="19"/>
    </row>
    <row r="26" spans="1:12" x14ac:dyDescent="0.25">
      <c r="B26" t="s">
        <v>653</v>
      </c>
      <c r="C26" s="14">
        <v>44980</v>
      </c>
      <c r="D26" s="19">
        <v>23822.981895520003</v>
      </c>
      <c r="E26" s="19"/>
      <c r="F26" s="19"/>
      <c r="G26" s="19"/>
    </row>
    <row r="27" spans="1:12" x14ac:dyDescent="0.25">
      <c r="B27" t="s">
        <v>658</v>
      </c>
      <c r="C27" s="14">
        <v>44980</v>
      </c>
      <c r="D27" s="19">
        <v>3355.2104062400008</v>
      </c>
      <c r="E27" s="19"/>
      <c r="F27" s="19"/>
      <c r="G27" s="19"/>
    </row>
    <row r="28" spans="1:12" x14ac:dyDescent="0.25">
      <c r="B28" t="s">
        <v>659</v>
      </c>
      <c r="C28" s="14">
        <v>44980</v>
      </c>
      <c r="D28" s="19">
        <v>10119.209317140001</v>
      </c>
      <c r="E28" s="19"/>
      <c r="F28" s="19"/>
      <c r="G28" s="19"/>
    </row>
    <row r="29" spans="1:12" x14ac:dyDescent="0.25">
      <c r="B29" t="s">
        <v>657</v>
      </c>
      <c r="C29" s="14">
        <v>44985</v>
      </c>
      <c r="D29" s="19">
        <v>35473.456762380003</v>
      </c>
      <c r="E29" s="19"/>
      <c r="F29" s="19"/>
      <c r="G29" s="19"/>
    </row>
    <row r="30" spans="1:12" x14ac:dyDescent="0.25">
      <c r="A30" t="s">
        <v>1485</v>
      </c>
      <c r="C30" s="14">
        <v>44962</v>
      </c>
      <c r="D30" s="19">
        <v>384644.98939220997</v>
      </c>
      <c r="E30" s="19"/>
      <c r="F30" s="19"/>
      <c r="G30" s="19"/>
    </row>
    <row r="31" spans="1:12" x14ac:dyDescent="0.25">
      <c r="A31" t="s">
        <v>1445</v>
      </c>
      <c r="B31" t="s">
        <v>655</v>
      </c>
      <c r="C31" s="14">
        <v>44987</v>
      </c>
      <c r="D31" s="19">
        <v>21874.52199424</v>
      </c>
      <c r="E31" s="19"/>
      <c r="F31" s="19"/>
      <c r="G31" s="19"/>
    </row>
    <row r="32" spans="1:12" x14ac:dyDescent="0.25">
      <c r="B32" t="s">
        <v>652</v>
      </c>
      <c r="C32" s="14">
        <v>44988</v>
      </c>
      <c r="D32" s="19">
        <v>26361.249178959999</v>
      </c>
      <c r="E32" s="19"/>
      <c r="F32" s="19"/>
      <c r="G32" s="19"/>
    </row>
    <row r="33" spans="1:7" x14ac:dyDescent="0.25">
      <c r="B33" t="s">
        <v>653</v>
      </c>
      <c r="C33" s="14">
        <v>44989</v>
      </c>
      <c r="D33" s="19">
        <v>13910.314849199998</v>
      </c>
      <c r="E33" s="19"/>
      <c r="F33" s="19"/>
      <c r="G33" s="19"/>
    </row>
    <row r="34" spans="1:7" x14ac:dyDescent="0.25">
      <c r="B34" t="s">
        <v>659</v>
      </c>
      <c r="C34" s="14">
        <v>44991</v>
      </c>
      <c r="D34" s="19">
        <v>12577.313024639998</v>
      </c>
      <c r="E34" s="19"/>
      <c r="F34" s="19"/>
      <c r="G34" s="19"/>
    </row>
    <row r="35" spans="1:7" x14ac:dyDescent="0.25">
      <c r="B35" t="s">
        <v>650</v>
      </c>
      <c r="C35" s="14">
        <v>44992</v>
      </c>
      <c r="D35" s="19">
        <v>60038.24202600999</v>
      </c>
      <c r="E35" s="19"/>
      <c r="F35" s="19"/>
      <c r="G35" s="19"/>
    </row>
    <row r="36" spans="1:7" x14ac:dyDescent="0.25">
      <c r="B36" t="s">
        <v>661</v>
      </c>
      <c r="C36" s="14">
        <v>44998</v>
      </c>
      <c r="D36" s="19">
        <v>26029.556981399997</v>
      </c>
      <c r="E36" s="19"/>
      <c r="F36" s="19"/>
      <c r="G36" s="19"/>
    </row>
    <row r="37" spans="1:7" x14ac:dyDescent="0.25">
      <c r="B37" t="s">
        <v>656</v>
      </c>
      <c r="C37" s="14">
        <v>44999</v>
      </c>
      <c r="D37" s="19">
        <v>5345.7297638</v>
      </c>
      <c r="E37" s="19"/>
      <c r="F37" s="19"/>
      <c r="G37" s="19"/>
    </row>
    <row r="38" spans="1:7" x14ac:dyDescent="0.25">
      <c r="B38" t="s">
        <v>658</v>
      </c>
      <c r="C38" s="14">
        <v>45004</v>
      </c>
      <c r="D38" s="19">
        <v>12987.095777599998</v>
      </c>
      <c r="E38" s="19"/>
      <c r="F38" s="19"/>
      <c r="G38" s="19"/>
    </row>
    <row r="39" spans="1:7" x14ac:dyDescent="0.25">
      <c r="B39" t="s">
        <v>654</v>
      </c>
      <c r="C39" s="14">
        <v>45012</v>
      </c>
      <c r="D39" s="19">
        <v>5961.84823469</v>
      </c>
      <c r="E39" s="19"/>
      <c r="F39" s="19"/>
      <c r="G39" s="19"/>
    </row>
    <row r="40" spans="1:7" x14ac:dyDescent="0.25">
      <c r="A40" t="s">
        <v>1486</v>
      </c>
      <c r="C40" s="14">
        <v>44987</v>
      </c>
      <c r="D40" s="19">
        <v>185085.87183053995</v>
      </c>
      <c r="E40" s="19"/>
      <c r="F40" s="19"/>
      <c r="G40" s="19"/>
    </row>
    <row r="41" spans="1:7" x14ac:dyDescent="0.25">
      <c r="A41" t="s">
        <v>1446</v>
      </c>
      <c r="B41" t="s">
        <v>657</v>
      </c>
      <c r="C41" s="14">
        <v>45019</v>
      </c>
      <c r="D41" s="19">
        <v>37793.810549360001</v>
      </c>
      <c r="E41" s="19"/>
      <c r="F41" s="19"/>
      <c r="G41" s="19"/>
    </row>
    <row r="42" spans="1:7" x14ac:dyDescent="0.25">
      <c r="B42" t="s">
        <v>653</v>
      </c>
      <c r="C42" s="14">
        <v>45021</v>
      </c>
      <c r="D42" s="19">
        <v>14054.045787119998</v>
      </c>
      <c r="E42" s="19"/>
      <c r="F42" s="19"/>
      <c r="G42" s="19"/>
    </row>
    <row r="43" spans="1:7" x14ac:dyDescent="0.25">
      <c r="B43" t="s">
        <v>658</v>
      </c>
      <c r="C43" s="14">
        <v>45022</v>
      </c>
      <c r="D43" s="19">
        <v>62783.440641599991</v>
      </c>
      <c r="E43" s="19"/>
      <c r="F43" s="19"/>
      <c r="G43" s="19"/>
    </row>
    <row r="44" spans="1:7" x14ac:dyDescent="0.25">
      <c r="B44" t="s">
        <v>651</v>
      </c>
      <c r="C44" s="14">
        <v>45022</v>
      </c>
      <c r="D44" s="19">
        <v>28826.329992820003</v>
      </c>
      <c r="E44" s="19"/>
      <c r="F44" s="19"/>
      <c r="G44" s="19"/>
    </row>
    <row r="45" spans="1:7" x14ac:dyDescent="0.25">
      <c r="B45" t="s">
        <v>660</v>
      </c>
      <c r="C45" s="14">
        <v>45029</v>
      </c>
      <c r="D45" s="19">
        <v>9993.725780159999</v>
      </c>
      <c r="E45" s="19"/>
      <c r="F45" s="19"/>
      <c r="G45" s="19"/>
    </row>
    <row r="46" spans="1:7" x14ac:dyDescent="0.25">
      <c r="B46" t="s">
        <v>656</v>
      </c>
      <c r="C46" s="14">
        <v>45030</v>
      </c>
      <c r="D46" s="19">
        <v>94761.339219310001</v>
      </c>
      <c r="E46" s="19"/>
      <c r="F46" s="19"/>
      <c r="G46" s="19"/>
    </row>
    <row r="47" spans="1:7" x14ac:dyDescent="0.25">
      <c r="B47" t="s">
        <v>650</v>
      </c>
      <c r="C47" s="14">
        <v>45030</v>
      </c>
      <c r="D47" s="19">
        <v>10479.065227199999</v>
      </c>
      <c r="E47" s="19"/>
      <c r="F47" s="19"/>
      <c r="G47" s="19"/>
    </row>
    <row r="48" spans="1:7" x14ac:dyDescent="0.25">
      <c r="B48" t="s">
        <v>659</v>
      </c>
      <c r="C48" s="14">
        <v>45034</v>
      </c>
      <c r="D48" s="19">
        <v>20086.160731099997</v>
      </c>
      <c r="E48" s="19"/>
      <c r="F48" s="19"/>
      <c r="G48" s="19"/>
    </row>
    <row r="49" spans="1:7" x14ac:dyDescent="0.25">
      <c r="B49" t="s">
        <v>654</v>
      </c>
      <c r="C49" s="14">
        <v>45035</v>
      </c>
      <c r="D49" s="19">
        <v>27012.950861399993</v>
      </c>
      <c r="E49" s="19"/>
      <c r="F49" s="19"/>
      <c r="G49" s="19"/>
    </row>
    <row r="50" spans="1:7" x14ac:dyDescent="0.25">
      <c r="B50" t="s">
        <v>655</v>
      </c>
      <c r="C50" s="14">
        <v>45035</v>
      </c>
      <c r="D50" s="19">
        <v>10105.1577</v>
      </c>
      <c r="E50" s="19"/>
      <c r="F50" s="19"/>
      <c r="G50" s="19"/>
    </row>
    <row r="51" spans="1:7" x14ac:dyDescent="0.25">
      <c r="B51" t="s">
        <v>652</v>
      </c>
      <c r="C51" s="14">
        <v>45037</v>
      </c>
      <c r="D51" s="19">
        <v>18690.654063090002</v>
      </c>
      <c r="E51" s="19"/>
      <c r="F51" s="19"/>
      <c r="G51" s="19"/>
    </row>
    <row r="52" spans="1:7" x14ac:dyDescent="0.25">
      <c r="A52" t="s">
        <v>1487</v>
      </c>
      <c r="C52" s="14">
        <v>45019</v>
      </c>
      <c r="D52" s="19">
        <v>334586.68055316003</v>
      </c>
      <c r="E52" s="19"/>
      <c r="F52" s="19"/>
      <c r="G52" s="19"/>
    </row>
    <row r="53" spans="1:7" x14ac:dyDescent="0.25">
      <c r="A53" t="s">
        <v>1447</v>
      </c>
      <c r="B53" t="s">
        <v>651</v>
      </c>
      <c r="C53" s="14">
        <v>45047</v>
      </c>
      <c r="D53" s="19">
        <v>39829.892653340008</v>
      </c>
      <c r="E53" s="19"/>
      <c r="F53" s="19"/>
      <c r="G53" s="19"/>
    </row>
    <row r="54" spans="1:7" x14ac:dyDescent="0.25">
      <c r="B54" t="s">
        <v>659</v>
      </c>
      <c r="C54" s="14">
        <v>45048</v>
      </c>
      <c r="D54" s="19">
        <v>41983.684753119996</v>
      </c>
      <c r="E54" s="19"/>
      <c r="F54" s="19"/>
      <c r="G54" s="19"/>
    </row>
    <row r="55" spans="1:7" x14ac:dyDescent="0.25">
      <c r="B55" t="s">
        <v>654</v>
      </c>
      <c r="C55" s="14">
        <v>45048</v>
      </c>
      <c r="D55" s="19">
        <v>225989.53247576</v>
      </c>
      <c r="E55" s="19"/>
      <c r="F55" s="19"/>
      <c r="G55" s="19"/>
    </row>
    <row r="56" spans="1:7" x14ac:dyDescent="0.25">
      <c r="B56" t="s">
        <v>660</v>
      </c>
      <c r="C56" s="14">
        <v>45049</v>
      </c>
      <c r="D56" s="19">
        <v>26669.119640609999</v>
      </c>
      <c r="E56" s="19"/>
      <c r="F56" s="19"/>
      <c r="G56" s="19"/>
    </row>
    <row r="57" spans="1:7" x14ac:dyDescent="0.25">
      <c r="B57" t="s">
        <v>652</v>
      </c>
      <c r="C57" s="14">
        <v>45052</v>
      </c>
      <c r="D57" s="19">
        <v>7784.5560042800007</v>
      </c>
      <c r="E57" s="19"/>
      <c r="F57" s="19"/>
      <c r="G57" s="19"/>
    </row>
    <row r="58" spans="1:7" x14ac:dyDescent="0.25">
      <c r="B58" t="s">
        <v>661</v>
      </c>
      <c r="C58" s="14">
        <v>45053</v>
      </c>
      <c r="D58" s="19">
        <v>12359.058143220002</v>
      </c>
      <c r="E58" s="19"/>
      <c r="F58" s="19"/>
      <c r="G58" s="19"/>
    </row>
    <row r="59" spans="1:7" x14ac:dyDescent="0.25">
      <c r="B59" t="s">
        <v>650</v>
      </c>
      <c r="C59" s="14">
        <v>45057</v>
      </c>
      <c r="D59" s="19">
        <v>10364.681270669998</v>
      </c>
      <c r="E59" s="19"/>
      <c r="F59" s="19"/>
      <c r="G59" s="19"/>
    </row>
    <row r="60" spans="1:7" x14ac:dyDescent="0.25">
      <c r="B60" t="s">
        <v>655</v>
      </c>
      <c r="C60" s="14">
        <v>45069</v>
      </c>
      <c r="D60" s="19">
        <v>26051.997654319999</v>
      </c>
      <c r="E60" s="19"/>
      <c r="F60" s="19"/>
      <c r="G60" s="19"/>
    </row>
    <row r="61" spans="1:7" x14ac:dyDescent="0.25">
      <c r="B61" t="s">
        <v>656</v>
      </c>
      <c r="C61" s="14">
        <v>45073</v>
      </c>
      <c r="D61" s="19">
        <v>17892.546184800001</v>
      </c>
      <c r="E61" s="19"/>
      <c r="F61" s="19"/>
      <c r="G61" s="19"/>
    </row>
    <row r="62" spans="1:7" x14ac:dyDescent="0.25">
      <c r="B62" t="s">
        <v>658</v>
      </c>
      <c r="C62" s="14">
        <v>45075</v>
      </c>
      <c r="D62" s="19">
        <v>16870.35739392</v>
      </c>
      <c r="E62" s="19"/>
      <c r="F62" s="19"/>
      <c r="G62" s="19"/>
    </row>
    <row r="63" spans="1:7" x14ac:dyDescent="0.25">
      <c r="A63" t="s">
        <v>1488</v>
      </c>
      <c r="C63" s="14">
        <v>45047</v>
      </c>
      <c r="D63" s="19">
        <v>425795.42617403989</v>
      </c>
      <c r="E63" s="19"/>
      <c r="F63" s="19"/>
      <c r="G63" s="19"/>
    </row>
    <row r="64" spans="1:7" x14ac:dyDescent="0.25">
      <c r="A64" t="s">
        <v>1448</v>
      </c>
      <c r="B64" t="s">
        <v>654</v>
      </c>
      <c r="C64" s="14">
        <v>45078</v>
      </c>
      <c r="D64" s="19">
        <v>4201.8218640000005</v>
      </c>
      <c r="E64" s="19"/>
      <c r="F64" s="19"/>
      <c r="G64" s="19"/>
    </row>
    <row r="65" spans="1:7" x14ac:dyDescent="0.25">
      <c r="B65" t="s">
        <v>656</v>
      </c>
      <c r="C65" s="14">
        <v>45078</v>
      </c>
      <c r="D65" s="19">
        <v>5023.8073247999992</v>
      </c>
      <c r="E65" s="19"/>
      <c r="F65" s="19"/>
      <c r="G65" s="19"/>
    </row>
    <row r="66" spans="1:7" x14ac:dyDescent="0.25">
      <c r="B66" t="s">
        <v>655</v>
      </c>
      <c r="C66" s="14">
        <v>45080</v>
      </c>
      <c r="D66" s="19">
        <v>41596.536408639993</v>
      </c>
      <c r="E66" s="19"/>
      <c r="F66" s="19"/>
      <c r="G66" s="19"/>
    </row>
    <row r="67" spans="1:7" x14ac:dyDescent="0.25">
      <c r="B67" t="s">
        <v>658</v>
      </c>
      <c r="C67" s="14">
        <v>45082</v>
      </c>
      <c r="D67" s="19">
        <v>24630.835221320001</v>
      </c>
      <c r="E67" s="19"/>
      <c r="F67" s="19"/>
      <c r="G67" s="19"/>
    </row>
    <row r="68" spans="1:7" x14ac:dyDescent="0.25">
      <c r="B68" t="s">
        <v>659</v>
      </c>
      <c r="C68" s="14">
        <v>45086</v>
      </c>
      <c r="D68" s="19">
        <v>5359.6572182000009</v>
      </c>
      <c r="E68" s="19"/>
      <c r="F68" s="19"/>
      <c r="G68" s="19"/>
    </row>
    <row r="69" spans="1:7" x14ac:dyDescent="0.25">
      <c r="B69" t="s">
        <v>650</v>
      </c>
      <c r="C69" s="14">
        <v>45087</v>
      </c>
      <c r="D69" s="19">
        <v>3385.6246066499998</v>
      </c>
      <c r="E69" s="19"/>
      <c r="F69" s="19"/>
      <c r="G69" s="19"/>
    </row>
    <row r="70" spans="1:7" x14ac:dyDescent="0.25">
      <c r="B70" t="s">
        <v>653</v>
      </c>
      <c r="C70" s="14">
        <v>45090</v>
      </c>
      <c r="D70" s="19">
        <v>45179.271885440001</v>
      </c>
      <c r="E70" s="19"/>
      <c r="F70" s="19"/>
      <c r="G70" s="19"/>
    </row>
    <row r="71" spans="1:7" x14ac:dyDescent="0.25">
      <c r="B71" t="s">
        <v>660</v>
      </c>
      <c r="C71" s="14">
        <v>45092</v>
      </c>
      <c r="D71" s="19">
        <v>64837.528546180009</v>
      </c>
      <c r="E71" s="19"/>
      <c r="F71" s="19"/>
      <c r="G71" s="19"/>
    </row>
    <row r="72" spans="1:7" x14ac:dyDescent="0.25">
      <c r="B72" t="s">
        <v>657</v>
      </c>
      <c r="C72" s="14">
        <v>45099</v>
      </c>
      <c r="D72" s="19">
        <v>10128.719249999998</v>
      </c>
      <c r="E72" s="19"/>
      <c r="F72" s="19"/>
      <c r="G72" s="19"/>
    </row>
    <row r="73" spans="1:7" x14ac:dyDescent="0.25">
      <c r="B73" t="s">
        <v>651</v>
      </c>
      <c r="C73" s="14">
        <v>45100</v>
      </c>
      <c r="D73" s="19">
        <v>7135.57</v>
      </c>
      <c r="E73" s="19"/>
      <c r="F73" s="19"/>
      <c r="G73" s="19"/>
    </row>
    <row r="74" spans="1:7" x14ac:dyDescent="0.25">
      <c r="B74" t="s">
        <v>652</v>
      </c>
      <c r="C74" s="14">
        <v>45101</v>
      </c>
      <c r="D74" s="19">
        <v>3686.5672993600006</v>
      </c>
      <c r="E74" s="19"/>
      <c r="F74" s="19"/>
      <c r="G74" s="19"/>
    </row>
    <row r="75" spans="1:7" x14ac:dyDescent="0.25">
      <c r="A75" t="s">
        <v>1489</v>
      </c>
      <c r="C75" s="14">
        <v>45078</v>
      </c>
      <c r="D75" s="19">
        <v>215165.93962458998</v>
      </c>
      <c r="E75" s="19"/>
      <c r="F75" s="19"/>
      <c r="G75" s="19"/>
    </row>
    <row r="76" spans="1:7" x14ac:dyDescent="0.25">
      <c r="A76" t="s">
        <v>1449</v>
      </c>
      <c r="B76" t="s">
        <v>656</v>
      </c>
      <c r="C76" s="14">
        <v>45108</v>
      </c>
      <c r="D76" s="19">
        <v>12490.9506225</v>
      </c>
      <c r="E76" s="19"/>
      <c r="F76" s="19"/>
      <c r="G76" s="19"/>
    </row>
    <row r="77" spans="1:7" x14ac:dyDescent="0.25">
      <c r="B77" t="s">
        <v>657</v>
      </c>
      <c r="C77" s="14">
        <v>45108</v>
      </c>
      <c r="D77" s="19">
        <v>52099.28863196</v>
      </c>
      <c r="E77" s="19"/>
      <c r="F77" s="19"/>
      <c r="G77" s="19"/>
    </row>
    <row r="78" spans="1:7" x14ac:dyDescent="0.25">
      <c r="B78" t="s">
        <v>651</v>
      </c>
      <c r="C78" s="14">
        <v>45108</v>
      </c>
      <c r="D78" s="19">
        <v>109172.8982385</v>
      </c>
      <c r="E78" s="19"/>
      <c r="F78" s="19"/>
      <c r="G78" s="19"/>
    </row>
    <row r="79" spans="1:7" x14ac:dyDescent="0.25">
      <c r="B79" t="s">
        <v>658</v>
      </c>
      <c r="C79" s="14">
        <v>45109</v>
      </c>
      <c r="D79" s="19">
        <v>39308.406110960008</v>
      </c>
      <c r="E79" s="19"/>
      <c r="F79" s="19"/>
      <c r="G79" s="19"/>
    </row>
    <row r="80" spans="1:7" x14ac:dyDescent="0.25">
      <c r="B80" t="s">
        <v>661</v>
      </c>
      <c r="C80" s="14">
        <v>45110</v>
      </c>
      <c r="D80" s="19">
        <v>66883.162802100007</v>
      </c>
      <c r="E80" s="19"/>
      <c r="F80" s="19"/>
      <c r="G80" s="19"/>
    </row>
    <row r="81" spans="1:7" x14ac:dyDescent="0.25">
      <c r="B81" t="s">
        <v>655</v>
      </c>
      <c r="C81" s="14">
        <v>45112</v>
      </c>
      <c r="D81" s="19">
        <v>82893.55459603999</v>
      </c>
      <c r="E81" s="19"/>
      <c r="F81" s="19"/>
      <c r="G81" s="19"/>
    </row>
    <row r="82" spans="1:7" x14ac:dyDescent="0.25">
      <c r="B82" t="s">
        <v>650</v>
      </c>
      <c r="C82" s="14">
        <v>45115</v>
      </c>
      <c r="D82" s="19">
        <v>27006.423203999999</v>
      </c>
      <c r="E82" s="19"/>
      <c r="F82" s="19"/>
      <c r="G82" s="19"/>
    </row>
    <row r="83" spans="1:7" x14ac:dyDescent="0.25">
      <c r="B83" t="s">
        <v>652</v>
      </c>
      <c r="C83" s="14">
        <v>45116</v>
      </c>
      <c r="D83" s="19">
        <v>27971.40132701</v>
      </c>
      <c r="E83" s="19"/>
      <c r="F83" s="19"/>
      <c r="G83" s="19"/>
    </row>
    <row r="84" spans="1:7" x14ac:dyDescent="0.25">
      <c r="B84" t="s">
        <v>654</v>
      </c>
      <c r="C84" s="14">
        <v>45129</v>
      </c>
      <c r="D84" s="19">
        <v>10406.313209249998</v>
      </c>
      <c r="E84" s="19"/>
      <c r="F84" s="19"/>
      <c r="G84" s="19"/>
    </row>
    <row r="85" spans="1:7" x14ac:dyDescent="0.25">
      <c r="B85" t="s">
        <v>653</v>
      </c>
      <c r="C85" s="14">
        <v>45131</v>
      </c>
      <c r="D85" s="19">
        <v>24692.694575999994</v>
      </c>
      <c r="E85" s="19"/>
      <c r="F85" s="19"/>
      <c r="G85" s="19"/>
    </row>
    <row r="86" spans="1:7" x14ac:dyDescent="0.25">
      <c r="B86" t="s">
        <v>660</v>
      </c>
      <c r="C86" s="14">
        <v>45133</v>
      </c>
      <c r="D86" s="19">
        <v>27241.333105139995</v>
      </c>
      <c r="E86" s="19"/>
      <c r="F86" s="19"/>
      <c r="G86" s="19"/>
    </row>
    <row r="87" spans="1:7" x14ac:dyDescent="0.25">
      <c r="A87" t="s">
        <v>1490</v>
      </c>
      <c r="C87" s="14">
        <v>45108</v>
      </c>
      <c r="D87" s="19">
        <v>480166.42642345995</v>
      </c>
      <c r="E87" s="19"/>
      <c r="F87" s="19"/>
      <c r="G87" s="19"/>
    </row>
    <row r="88" spans="1:7" x14ac:dyDescent="0.25">
      <c r="A88" t="s">
        <v>1450</v>
      </c>
      <c r="B88" t="s">
        <v>653</v>
      </c>
      <c r="C88" s="14">
        <v>45140</v>
      </c>
      <c r="D88" s="19">
        <v>46452.214111119996</v>
      </c>
      <c r="E88" s="19"/>
      <c r="F88" s="19"/>
      <c r="G88" s="19"/>
    </row>
    <row r="89" spans="1:7" x14ac:dyDescent="0.25">
      <c r="B89" t="s">
        <v>655</v>
      </c>
      <c r="C89" s="14">
        <v>45141</v>
      </c>
      <c r="D89" s="19">
        <v>31897.521706450003</v>
      </c>
      <c r="E89" s="19"/>
      <c r="F89" s="19"/>
      <c r="G89" s="19"/>
    </row>
    <row r="90" spans="1:7" x14ac:dyDescent="0.25">
      <c r="B90" t="s">
        <v>659</v>
      </c>
      <c r="C90" s="14">
        <v>45141</v>
      </c>
      <c r="D90" s="19">
        <v>54514.18482894</v>
      </c>
      <c r="E90" s="19"/>
      <c r="F90" s="19"/>
      <c r="G90" s="19"/>
    </row>
    <row r="91" spans="1:7" x14ac:dyDescent="0.25">
      <c r="B91" t="s">
        <v>658</v>
      </c>
      <c r="C91" s="14">
        <v>45146</v>
      </c>
      <c r="D91" s="19">
        <v>29117.866394040004</v>
      </c>
      <c r="E91" s="19"/>
      <c r="F91" s="19"/>
      <c r="G91" s="19"/>
    </row>
    <row r="92" spans="1:7" x14ac:dyDescent="0.25">
      <c r="B92" t="s">
        <v>650</v>
      </c>
      <c r="C92" s="14">
        <v>45153</v>
      </c>
      <c r="D92" s="19">
        <v>667.74</v>
      </c>
      <c r="E92" s="19"/>
      <c r="F92" s="19"/>
      <c r="G92" s="19"/>
    </row>
    <row r="93" spans="1:7" x14ac:dyDescent="0.25">
      <c r="B93" t="s">
        <v>660</v>
      </c>
      <c r="C93" s="14">
        <v>45153</v>
      </c>
      <c r="D93" s="19">
        <v>25299.040000000001</v>
      </c>
      <c r="E93" s="19"/>
      <c r="F93" s="19"/>
      <c r="G93" s="19"/>
    </row>
    <row r="94" spans="1:7" x14ac:dyDescent="0.25">
      <c r="B94" t="s">
        <v>661</v>
      </c>
      <c r="C94" s="14">
        <v>45155</v>
      </c>
      <c r="D94" s="19">
        <v>55545.525570239995</v>
      </c>
      <c r="E94" s="19"/>
      <c r="F94" s="19"/>
      <c r="G94" s="19"/>
    </row>
    <row r="95" spans="1:7" x14ac:dyDescent="0.25">
      <c r="B95" t="s">
        <v>651</v>
      </c>
      <c r="C95" s="14">
        <v>45157</v>
      </c>
      <c r="D95" s="19">
        <v>22615.370642900005</v>
      </c>
      <c r="E95" s="19"/>
      <c r="F95" s="19"/>
      <c r="G95" s="19"/>
    </row>
    <row r="96" spans="1:7" x14ac:dyDescent="0.25">
      <c r="B96" t="s">
        <v>657</v>
      </c>
      <c r="C96" s="14">
        <v>45167</v>
      </c>
      <c r="D96" s="19">
        <v>31505.608022119999</v>
      </c>
      <c r="E96" s="19"/>
      <c r="F96" s="19"/>
      <c r="G96" s="19"/>
    </row>
    <row r="97" spans="1:7" x14ac:dyDescent="0.25">
      <c r="B97" t="s">
        <v>654</v>
      </c>
      <c r="C97" s="14">
        <v>45168</v>
      </c>
      <c r="D97" s="19">
        <v>5186.9075440000006</v>
      </c>
      <c r="E97" s="19"/>
      <c r="F97" s="19"/>
      <c r="G97" s="19"/>
    </row>
    <row r="98" spans="1:7" x14ac:dyDescent="0.25">
      <c r="B98" t="s">
        <v>656</v>
      </c>
      <c r="C98" s="14">
        <v>45168</v>
      </c>
      <c r="D98" s="19">
        <v>184.20983039999999</v>
      </c>
      <c r="E98" s="19"/>
      <c r="F98" s="19"/>
      <c r="G98" s="19"/>
    </row>
    <row r="99" spans="1:7" x14ac:dyDescent="0.25">
      <c r="A99" t="s">
        <v>1491</v>
      </c>
      <c r="C99" s="14">
        <v>45140</v>
      </c>
      <c r="D99" s="19">
        <v>302986.18865020998</v>
      </c>
      <c r="E99" s="19"/>
      <c r="F99" s="19"/>
      <c r="G99" s="19"/>
    </row>
    <row r="100" spans="1:7" x14ac:dyDescent="0.25">
      <c r="A100" t="s">
        <v>1451</v>
      </c>
      <c r="B100" t="s">
        <v>650</v>
      </c>
      <c r="C100" s="14">
        <v>45177</v>
      </c>
      <c r="D100" s="19">
        <v>860.68242899999996</v>
      </c>
      <c r="E100" s="19"/>
      <c r="F100" s="19"/>
      <c r="G100" s="19"/>
    </row>
    <row r="101" spans="1:7" x14ac:dyDescent="0.25">
      <c r="B101" t="s">
        <v>653</v>
      </c>
      <c r="C101" s="14">
        <v>45177</v>
      </c>
      <c r="D101" s="19">
        <v>12300.49649664</v>
      </c>
      <c r="E101" s="19"/>
      <c r="F101" s="19"/>
      <c r="G101" s="19"/>
    </row>
    <row r="102" spans="1:7" x14ac:dyDescent="0.25">
      <c r="B102" t="s">
        <v>657</v>
      </c>
      <c r="C102" s="14">
        <v>45183</v>
      </c>
      <c r="D102" s="19">
        <v>12080.500768000002</v>
      </c>
      <c r="E102" s="19"/>
      <c r="F102" s="19"/>
      <c r="G102" s="19"/>
    </row>
    <row r="103" spans="1:7" x14ac:dyDescent="0.25">
      <c r="B103" t="s">
        <v>655</v>
      </c>
      <c r="C103" s="14">
        <v>45186</v>
      </c>
      <c r="D103" s="19">
        <v>5756.3093759599997</v>
      </c>
      <c r="E103" s="19"/>
      <c r="F103" s="19"/>
      <c r="G103" s="19"/>
    </row>
    <row r="104" spans="1:7" x14ac:dyDescent="0.25">
      <c r="B104" t="s">
        <v>654</v>
      </c>
      <c r="C104" s="14">
        <v>45187</v>
      </c>
      <c r="D104" s="19">
        <v>36711.40149307</v>
      </c>
      <c r="E104" s="19"/>
      <c r="F104" s="19"/>
      <c r="G104" s="19"/>
    </row>
    <row r="105" spans="1:7" x14ac:dyDescent="0.25">
      <c r="B105" t="s">
        <v>652</v>
      </c>
      <c r="C105" s="14">
        <v>45190</v>
      </c>
      <c r="D105" s="19">
        <v>26448.581893489994</v>
      </c>
      <c r="E105" s="19"/>
      <c r="F105" s="19"/>
      <c r="G105" s="19"/>
    </row>
    <row r="106" spans="1:7" x14ac:dyDescent="0.25">
      <c r="B106" t="s">
        <v>660</v>
      </c>
      <c r="C106" s="14">
        <v>45194</v>
      </c>
      <c r="D106" s="19">
        <v>13046.217336000003</v>
      </c>
      <c r="E106" s="19"/>
      <c r="F106" s="19"/>
      <c r="G106" s="19"/>
    </row>
    <row r="107" spans="1:7" x14ac:dyDescent="0.25">
      <c r="B107" t="s">
        <v>659</v>
      </c>
      <c r="C107" s="14">
        <v>45199</v>
      </c>
      <c r="D107" s="19">
        <v>12034.267227229999</v>
      </c>
      <c r="E107" s="19"/>
      <c r="F107" s="19"/>
      <c r="G107" s="19"/>
    </row>
    <row r="108" spans="1:7" x14ac:dyDescent="0.25">
      <c r="A108" t="s">
        <v>1492</v>
      </c>
      <c r="C108" s="14">
        <v>45177</v>
      </c>
      <c r="D108" s="19">
        <v>119238.45701938999</v>
      </c>
      <c r="E108" s="19"/>
      <c r="F108" s="19"/>
      <c r="G108" s="19"/>
    </row>
    <row r="109" spans="1:7" x14ac:dyDescent="0.25">
      <c r="A109" t="s">
        <v>1452</v>
      </c>
      <c r="B109" t="s">
        <v>660</v>
      </c>
      <c r="C109" s="14">
        <v>45203</v>
      </c>
      <c r="D109" s="19">
        <v>5162.8702590000012</v>
      </c>
      <c r="E109" s="19"/>
      <c r="F109" s="19"/>
      <c r="G109" s="19"/>
    </row>
    <row r="110" spans="1:7" x14ac:dyDescent="0.25">
      <c r="B110" t="s">
        <v>654</v>
      </c>
      <c r="C110" s="14">
        <v>45204</v>
      </c>
      <c r="D110" s="19">
        <v>29013.646311549994</v>
      </c>
      <c r="E110" s="19"/>
      <c r="F110" s="19"/>
      <c r="G110" s="19"/>
    </row>
    <row r="111" spans="1:7" x14ac:dyDescent="0.25">
      <c r="B111" t="s">
        <v>659</v>
      </c>
      <c r="C111" s="14">
        <v>45204</v>
      </c>
      <c r="D111" s="19">
        <v>42964.367145470002</v>
      </c>
      <c r="E111" s="19"/>
      <c r="F111" s="19"/>
      <c r="G111" s="19"/>
    </row>
    <row r="112" spans="1:7" x14ac:dyDescent="0.25">
      <c r="B112" t="s">
        <v>651</v>
      </c>
      <c r="C112" s="14">
        <v>45208</v>
      </c>
      <c r="D112" s="19">
        <v>10743.176154240002</v>
      </c>
      <c r="E112" s="19"/>
      <c r="F112" s="19"/>
      <c r="G112" s="19"/>
    </row>
    <row r="113" spans="1:7" x14ac:dyDescent="0.25">
      <c r="B113" t="s">
        <v>655</v>
      </c>
      <c r="C113" s="14">
        <v>45210</v>
      </c>
      <c r="D113" s="19">
        <v>14661.2317848</v>
      </c>
      <c r="E113" s="19"/>
      <c r="F113" s="19"/>
      <c r="G113" s="19"/>
    </row>
    <row r="114" spans="1:7" x14ac:dyDescent="0.25">
      <c r="B114" t="s">
        <v>652</v>
      </c>
      <c r="C114" s="14">
        <v>45211</v>
      </c>
      <c r="D114" s="19">
        <v>12334.0583916</v>
      </c>
      <c r="E114" s="19"/>
      <c r="F114" s="19"/>
      <c r="G114" s="19"/>
    </row>
    <row r="115" spans="1:7" x14ac:dyDescent="0.25">
      <c r="B115" t="s">
        <v>650</v>
      </c>
      <c r="C115" s="14">
        <v>45217</v>
      </c>
      <c r="D115" s="19">
        <v>36237.656486400003</v>
      </c>
      <c r="E115" s="19"/>
      <c r="F115" s="19"/>
      <c r="G115" s="19"/>
    </row>
    <row r="116" spans="1:7" x14ac:dyDescent="0.25">
      <c r="B116" t="s">
        <v>658</v>
      </c>
      <c r="C116" s="14">
        <v>45220</v>
      </c>
      <c r="D116" s="19">
        <v>21017.323145580005</v>
      </c>
      <c r="E116" s="19"/>
      <c r="F116" s="19"/>
      <c r="G116" s="19"/>
    </row>
    <row r="117" spans="1:7" x14ac:dyDescent="0.25">
      <c r="B117" t="s">
        <v>653</v>
      </c>
      <c r="C117" s="14">
        <v>45221</v>
      </c>
      <c r="D117" s="19">
        <v>22205.1456</v>
      </c>
      <c r="E117" s="19"/>
      <c r="F117" s="19"/>
      <c r="G117" s="19"/>
    </row>
    <row r="118" spans="1:7" x14ac:dyDescent="0.25">
      <c r="B118" t="s">
        <v>657</v>
      </c>
      <c r="C118" s="14">
        <v>45224</v>
      </c>
      <c r="D118" s="19">
        <v>4014.3161220800002</v>
      </c>
      <c r="E118" s="19"/>
      <c r="F118" s="19"/>
      <c r="G118" s="19"/>
    </row>
    <row r="119" spans="1:7" x14ac:dyDescent="0.25">
      <c r="B119" t="s">
        <v>661</v>
      </c>
      <c r="C119" s="14">
        <v>45225</v>
      </c>
      <c r="D119" s="19">
        <v>403.17190144000006</v>
      </c>
      <c r="E119" s="19"/>
      <c r="F119" s="19"/>
      <c r="G119" s="19"/>
    </row>
    <row r="120" spans="1:7" x14ac:dyDescent="0.25">
      <c r="A120" t="s">
        <v>1493</v>
      </c>
      <c r="C120" s="14">
        <v>45203</v>
      </c>
      <c r="D120" s="19">
        <v>198756.96330215997</v>
      </c>
      <c r="E120" s="19"/>
      <c r="F120" s="19"/>
      <c r="G120" s="19"/>
    </row>
    <row r="121" spans="1:7" x14ac:dyDescent="0.25">
      <c r="A121" t="s">
        <v>1453</v>
      </c>
      <c r="B121" t="s">
        <v>655</v>
      </c>
      <c r="C121" s="14">
        <v>45240</v>
      </c>
      <c r="D121" s="19">
        <v>21705.085489230001</v>
      </c>
      <c r="E121" s="19"/>
      <c r="F121" s="19"/>
      <c r="G121" s="19"/>
    </row>
    <row r="122" spans="1:7" x14ac:dyDescent="0.25">
      <c r="B122" t="s">
        <v>658</v>
      </c>
      <c r="C122" s="14">
        <v>45245</v>
      </c>
      <c r="D122" s="19">
        <v>5453.0098128</v>
      </c>
      <c r="E122" s="19"/>
      <c r="F122" s="19"/>
      <c r="G122" s="19"/>
    </row>
    <row r="123" spans="1:7" x14ac:dyDescent="0.25">
      <c r="B123" t="s">
        <v>654</v>
      </c>
      <c r="C123" s="14">
        <v>45249</v>
      </c>
      <c r="D123" s="19">
        <v>34089.489787899998</v>
      </c>
      <c r="E123" s="19"/>
      <c r="F123" s="19"/>
      <c r="G123" s="19"/>
    </row>
    <row r="124" spans="1:7" x14ac:dyDescent="0.25">
      <c r="B124" t="s">
        <v>652</v>
      </c>
      <c r="C124" s="14">
        <v>45249</v>
      </c>
      <c r="D124" s="19">
        <v>12493.66279248</v>
      </c>
      <c r="E124" s="19"/>
      <c r="F124" s="19"/>
      <c r="G124" s="19"/>
    </row>
    <row r="125" spans="1:7" x14ac:dyDescent="0.25">
      <c r="B125" t="s">
        <v>657</v>
      </c>
      <c r="C125" s="14">
        <v>45249</v>
      </c>
      <c r="D125" s="19">
        <v>21397.49478153</v>
      </c>
      <c r="E125" s="19"/>
      <c r="F125" s="19"/>
      <c r="G125" s="19"/>
    </row>
    <row r="126" spans="1:7" x14ac:dyDescent="0.25">
      <c r="B126" t="s">
        <v>661</v>
      </c>
      <c r="C126" s="14">
        <v>45260</v>
      </c>
      <c r="D126" s="19">
        <v>11568.241765440001</v>
      </c>
      <c r="E126" s="19"/>
      <c r="F126" s="19"/>
      <c r="G126" s="19"/>
    </row>
    <row r="127" spans="1:7" x14ac:dyDescent="0.25">
      <c r="B127" t="s">
        <v>656</v>
      </c>
      <c r="C127" s="14">
        <v>45260</v>
      </c>
      <c r="D127" s="19">
        <v>6687.8568749999995</v>
      </c>
      <c r="E127" s="19"/>
      <c r="F127" s="19"/>
      <c r="G127" s="19"/>
    </row>
    <row r="128" spans="1:7" x14ac:dyDescent="0.25">
      <c r="A128" t="s">
        <v>1494</v>
      </c>
      <c r="C128" s="14">
        <v>45240</v>
      </c>
      <c r="D128" s="19">
        <v>113394.84130438</v>
      </c>
      <c r="E128" s="19"/>
      <c r="F128" s="19"/>
      <c r="G128" s="19"/>
    </row>
    <row r="129" spans="1:7" x14ac:dyDescent="0.25">
      <c r="A129" t="s">
        <v>1454</v>
      </c>
      <c r="B129" t="s">
        <v>652</v>
      </c>
      <c r="C129" s="14">
        <v>45261</v>
      </c>
      <c r="D129" s="19">
        <v>35631.256399719998</v>
      </c>
      <c r="E129" s="19"/>
      <c r="F129" s="19"/>
      <c r="G129" s="19"/>
    </row>
    <row r="130" spans="1:7" x14ac:dyDescent="0.25">
      <c r="B130" t="s">
        <v>656</v>
      </c>
      <c r="C130" s="14">
        <v>45262</v>
      </c>
      <c r="D130" s="19">
        <v>52590.671449069996</v>
      </c>
      <c r="E130" s="19"/>
      <c r="F130" s="19"/>
      <c r="G130" s="19"/>
    </row>
    <row r="131" spans="1:7" x14ac:dyDescent="0.25">
      <c r="B131" t="s">
        <v>655</v>
      </c>
      <c r="C131" s="14">
        <v>45263</v>
      </c>
      <c r="D131" s="19">
        <v>56064.169189260007</v>
      </c>
      <c r="E131" s="19"/>
      <c r="F131" s="19"/>
      <c r="G131" s="19"/>
    </row>
    <row r="132" spans="1:7" x14ac:dyDescent="0.25">
      <c r="B132" t="s">
        <v>659</v>
      </c>
      <c r="C132" s="14">
        <v>45276</v>
      </c>
      <c r="D132" s="19">
        <v>23668.560000000001</v>
      </c>
      <c r="E132" s="19"/>
      <c r="F132" s="19"/>
      <c r="G132" s="19"/>
    </row>
    <row r="133" spans="1:7" x14ac:dyDescent="0.25">
      <c r="B133" t="s">
        <v>654</v>
      </c>
      <c r="C133" s="14">
        <v>45278</v>
      </c>
      <c r="D133" s="19">
        <v>31874.121049270001</v>
      </c>
      <c r="E133" s="19"/>
      <c r="F133" s="19"/>
      <c r="G133" s="19"/>
    </row>
    <row r="134" spans="1:7" x14ac:dyDescent="0.25">
      <c r="B134" t="s">
        <v>653</v>
      </c>
      <c r="C134" s="14">
        <v>45279</v>
      </c>
      <c r="D134" s="19">
        <v>13656.801781759999</v>
      </c>
      <c r="E134" s="19"/>
      <c r="F134" s="19"/>
      <c r="G134" s="19"/>
    </row>
    <row r="135" spans="1:7" x14ac:dyDescent="0.25">
      <c r="B135" t="s">
        <v>651</v>
      </c>
      <c r="C135" s="14">
        <v>45281</v>
      </c>
      <c r="D135" s="19">
        <v>23248.013332479997</v>
      </c>
      <c r="E135" s="19"/>
      <c r="F135" s="19"/>
      <c r="G135" s="19"/>
    </row>
    <row r="136" spans="1:7" x14ac:dyDescent="0.25">
      <c r="B136" t="s">
        <v>661</v>
      </c>
      <c r="C136" s="14">
        <v>45282</v>
      </c>
      <c r="D136" s="19">
        <v>71396.678367319997</v>
      </c>
      <c r="E136" s="19"/>
      <c r="F136" s="19"/>
      <c r="G136" s="19"/>
    </row>
    <row r="137" spans="1:7" x14ac:dyDescent="0.25">
      <c r="B137" t="s">
        <v>657</v>
      </c>
      <c r="C137" s="14">
        <v>45286</v>
      </c>
      <c r="D137" s="19">
        <v>23947.85202264</v>
      </c>
      <c r="E137" s="19"/>
      <c r="F137" s="19"/>
      <c r="G137" s="19"/>
    </row>
    <row r="138" spans="1:7" x14ac:dyDescent="0.25">
      <c r="B138" t="s">
        <v>650</v>
      </c>
      <c r="C138" s="14">
        <v>45289</v>
      </c>
      <c r="D138" s="19">
        <v>12801.392385359999</v>
      </c>
      <c r="E138" s="19"/>
      <c r="F138" s="19"/>
      <c r="G138" s="19"/>
    </row>
    <row r="139" spans="1:7" x14ac:dyDescent="0.25">
      <c r="A139" t="s">
        <v>1495</v>
      </c>
      <c r="C139" s="14">
        <v>45261</v>
      </c>
      <c r="D139" s="19">
        <v>344879.51597688004</v>
      </c>
      <c r="E139" s="19"/>
      <c r="F139" s="19"/>
      <c r="G139" s="19"/>
    </row>
  </sheetData>
  <mergeCells count="1">
    <mergeCell ref="A2:C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C669-7E0C-4646-9315-6E14F22442AF}">
  <dimension ref="A7:T83"/>
  <sheetViews>
    <sheetView zoomScale="80" zoomScaleNormal="80" workbookViewId="0">
      <pane ySplit="6" topLeftCell="A7" activePane="bottomLeft" state="frozen"/>
      <selection pane="bottomLeft" activeCell="D76" sqref="D76:K80"/>
    </sheetView>
  </sheetViews>
  <sheetFormatPr defaultRowHeight="15" x14ac:dyDescent="0.25"/>
  <cols>
    <col min="1" max="1" width="14.140625" bestFit="1" customWidth="1"/>
    <col min="2" max="2" width="16.7109375" bestFit="1" customWidth="1"/>
    <col min="3" max="3" width="18.7109375" bestFit="1" customWidth="1"/>
    <col min="4" max="4" width="8.7109375" bestFit="1" customWidth="1"/>
    <col min="5" max="5" width="9.140625" bestFit="1" customWidth="1"/>
    <col min="6" max="6" width="11.5703125" bestFit="1" customWidth="1"/>
    <col min="7" max="7" width="21.5703125" bestFit="1" customWidth="1"/>
    <col min="8" max="8" width="16.7109375" bestFit="1" customWidth="1"/>
    <col min="9" max="10" width="13.85546875" bestFit="1" customWidth="1"/>
    <col min="11" max="11" width="12.28515625" bestFit="1" customWidth="1"/>
    <col min="12" max="12" width="9.140625" bestFit="1" customWidth="1"/>
    <col min="13" max="13" width="20.5703125" bestFit="1" customWidth="1"/>
    <col min="14" max="14" width="7.7109375" bestFit="1" customWidth="1"/>
    <col min="15" max="15" width="12" bestFit="1" customWidth="1"/>
    <col min="16" max="16" width="15.140625" customWidth="1"/>
    <col min="17" max="17" width="16.7109375" bestFit="1" customWidth="1"/>
    <col min="18" max="18" width="15.28515625" bestFit="1" customWidth="1"/>
    <col min="19" max="19" width="16.7109375" bestFit="1" customWidth="1"/>
    <col min="20" max="20" width="18.7109375" bestFit="1" customWidth="1"/>
    <col min="21" max="21" width="8.7109375" bestFit="1" customWidth="1"/>
    <col min="22" max="22" width="9.42578125" bestFit="1" customWidth="1"/>
    <col min="23" max="23" width="5.5703125" bestFit="1" customWidth="1"/>
    <col min="24" max="24" width="12.140625" bestFit="1" customWidth="1"/>
    <col min="25" max="25" width="11" bestFit="1" customWidth="1"/>
    <col min="26" max="26" width="9.42578125" bestFit="1" customWidth="1"/>
    <col min="27" max="27" width="7.7109375" bestFit="1" customWidth="1"/>
    <col min="28" max="28" width="14.5703125" bestFit="1" customWidth="1"/>
    <col min="29" max="29" width="10.140625" bestFit="1" customWidth="1"/>
    <col min="30" max="30" width="5.85546875" bestFit="1" customWidth="1"/>
    <col min="31" max="31" width="10.85546875" bestFit="1" customWidth="1"/>
    <col min="32" max="32" width="8.5703125" bestFit="1" customWidth="1"/>
    <col min="33" max="33" width="12.5703125" bestFit="1" customWidth="1"/>
    <col min="34" max="34" width="10.5703125" bestFit="1" customWidth="1"/>
    <col min="35" max="35" width="8" bestFit="1" customWidth="1"/>
    <col min="36" max="36" width="6.7109375" bestFit="1" customWidth="1"/>
    <col min="37" max="37" width="6.5703125" bestFit="1" customWidth="1"/>
    <col min="38" max="38" width="11.28515625" bestFit="1" customWidth="1"/>
    <col min="39" max="39" width="8.28515625" bestFit="1" customWidth="1"/>
    <col min="40" max="40" width="10" bestFit="1" customWidth="1"/>
    <col min="41" max="42" width="7.7109375" bestFit="1" customWidth="1"/>
    <col min="43" max="43" width="11.7109375" bestFit="1" customWidth="1"/>
    <col min="44" max="44" width="9.28515625" bestFit="1" customWidth="1"/>
    <col min="45" max="45" width="6.28515625" bestFit="1" customWidth="1"/>
    <col min="46" max="46" width="13" bestFit="1" customWidth="1"/>
    <col min="47" max="47" width="12.5703125" bestFit="1" customWidth="1"/>
    <col min="48" max="48" width="12.7109375" bestFit="1" customWidth="1"/>
    <col min="49" max="49" width="13.5703125" bestFit="1" customWidth="1"/>
    <col min="50" max="50" width="7.7109375" bestFit="1" customWidth="1"/>
    <col min="51" max="51" width="13.42578125" bestFit="1" customWidth="1"/>
    <col min="52" max="52" width="17.140625" bestFit="1" customWidth="1"/>
    <col min="53" max="53" width="17.42578125" bestFit="1" customWidth="1"/>
    <col min="54" max="54" width="7.5703125" bestFit="1" customWidth="1"/>
    <col min="55" max="55" width="11.5703125" bestFit="1" customWidth="1"/>
    <col min="56" max="56" width="12.5703125" bestFit="1" customWidth="1"/>
    <col min="57" max="57" width="20.85546875" bestFit="1" customWidth="1"/>
    <col min="58" max="58" width="6.7109375" bestFit="1" customWidth="1"/>
    <col min="59" max="59" width="8" bestFit="1" customWidth="1"/>
    <col min="60" max="60" width="9.85546875" bestFit="1" customWidth="1"/>
    <col min="61" max="61" width="13.140625" bestFit="1" customWidth="1"/>
    <col min="62" max="62" width="10" bestFit="1" customWidth="1"/>
    <col min="63" max="63" width="11.5703125" bestFit="1" customWidth="1"/>
    <col min="64" max="65" width="2.28515625" bestFit="1" customWidth="1"/>
    <col min="66" max="66" width="3.42578125" bestFit="1" customWidth="1"/>
    <col min="67" max="67" width="2.28515625" bestFit="1" customWidth="1"/>
    <col min="68" max="68" width="3.42578125" bestFit="1" customWidth="1"/>
    <col min="69" max="69" width="2.28515625" bestFit="1" customWidth="1"/>
    <col min="70" max="71" width="3.42578125" bestFit="1" customWidth="1"/>
    <col min="72" max="75" width="2.28515625" bestFit="1" customWidth="1"/>
    <col min="76" max="76" width="11" bestFit="1" customWidth="1"/>
    <col min="77" max="77" width="8.7109375" bestFit="1" customWidth="1"/>
    <col min="78" max="80" width="3.42578125" bestFit="1" customWidth="1"/>
    <col min="81" max="83" width="2.28515625" bestFit="1" customWidth="1"/>
    <col min="84" max="85" width="3.42578125" bestFit="1" customWidth="1"/>
    <col min="86" max="86" width="2.28515625" bestFit="1" customWidth="1"/>
    <col min="87" max="90" width="3.42578125" bestFit="1" customWidth="1"/>
    <col min="91" max="91" width="2.28515625" bestFit="1" customWidth="1"/>
    <col min="92" max="92" width="3.42578125" bestFit="1" customWidth="1"/>
    <col min="93" max="93" width="2.28515625" bestFit="1" customWidth="1"/>
    <col min="94" max="98" width="3.42578125" bestFit="1" customWidth="1"/>
    <col min="99" max="101" width="2.28515625" bestFit="1" customWidth="1"/>
    <col min="102" max="103" width="3.42578125" bestFit="1" customWidth="1"/>
    <col min="104" max="104" width="12.140625" bestFit="1" customWidth="1"/>
    <col min="105" max="105" width="11" bestFit="1" customWidth="1"/>
    <col min="106" max="110" width="3.42578125" bestFit="1" customWidth="1"/>
    <col min="111" max="111" width="2.28515625" bestFit="1" customWidth="1"/>
    <col min="112" max="112" width="3.42578125" bestFit="1" customWidth="1"/>
    <col min="113" max="116" width="2.28515625" bestFit="1" customWidth="1"/>
    <col min="117" max="117" width="3.42578125" bestFit="1" customWidth="1"/>
    <col min="118" max="118" width="2.28515625" bestFit="1" customWidth="1"/>
    <col min="119" max="122" width="3.42578125" bestFit="1" customWidth="1"/>
    <col min="123" max="125" width="2.28515625" bestFit="1" customWidth="1"/>
    <col min="126" max="130" width="3.42578125" bestFit="1" customWidth="1"/>
    <col min="131" max="131" width="2.28515625" bestFit="1" customWidth="1"/>
    <col min="132" max="132" width="3.42578125" bestFit="1" customWidth="1"/>
    <col min="133" max="133" width="14.5703125" bestFit="1" customWidth="1"/>
    <col min="134" max="134" width="7.28515625" bestFit="1" customWidth="1"/>
    <col min="135" max="135" width="2.28515625" bestFit="1" customWidth="1"/>
    <col min="136" max="136" width="3.42578125" bestFit="1" customWidth="1"/>
    <col min="137" max="137" width="2.28515625" bestFit="1" customWidth="1"/>
    <col min="138" max="143" width="3.42578125" bestFit="1" customWidth="1"/>
    <col min="144" max="144" width="2.28515625" bestFit="1" customWidth="1"/>
    <col min="145" max="146" width="3.42578125" bestFit="1" customWidth="1"/>
    <col min="147" max="147" width="2.28515625" bestFit="1" customWidth="1"/>
    <col min="148" max="151" width="3.42578125" bestFit="1" customWidth="1"/>
    <col min="152" max="152" width="2.28515625" bestFit="1" customWidth="1"/>
    <col min="153" max="153" width="3.42578125" bestFit="1" customWidth="1"/>
    <col min="154" max="155" width="2.28515625" bestFit="1" customWidth="1"/>
    <col min="156" max="158" width="3.42578125" bestFit="1" customWidth="1"/>
    <col min="159" max="159" width="2.28515625" bestFit="1" customWidth="1"/>
    <col min="160" max="160" width="3.42578125" bestFit="1" customWidth="1"/>
    <col min="161" max="161" width="2.28515625" bestFit="1" customWidth="1"/>
    <col min="162" max="162" width="10.5703125" bestFit="1" customWidth="1"/>
    <col min="163" max="163" width="7.85546875" bestFit="1" customWidth="1"/>
    <col min="164" max="165" width="3.42578125" bestFit="1" customWidth="1"/>
    <col min="166" max="167" width="2.28515625" bestFit="1" customWidth="1"/>
    <col min="168" max="171" width="3.42578125" bestFit="1" customWidth="1"/>
    <col min="172" max="172" width="2.28515625" bestFit="1" customWidth="1"/>
    <col min="173" max="173" width="3.42578125" bestFit="1" customWidth="1"/>
    <col min="174" max="174" width="2.28515625" bestFit="1" customWidth="1"/>
    <col min="175" max="178" width="3.42578125" bestFit="1" customWidth="1"/>
    <col min="179" max="179" width="2.28515625" bestFit="1" customWidth="1"/>
    <col min="180" max="180" width="3.42578125" bestFit="1" customWidth="1"/>
    <col min="181" max="181" width="2.28515625" bestFit="1" customWidth="1"/>
    <col min="182" max="185" width="3.42578125" bestFit="1" customWidth="1"/>
    <col min="186" max="188" width="2.28515625" bestFit="1" customWidth="1"/>
    <col min="189" max="189" width="3.42578125" bestFit="1" customWidth="1"/>
    <col min="190" max="190" width="11.28515625" bestFit="1" customWidth="1"/>
    <col min="191" max="191" width="8.28515625" bestFit="1" customWidth="1"/>
    <col min="192" max="192" width="3.42578125" bestFit="1" customWidth="1"/>
    <col min="193" max="193" width="2.28515625" bestFit="1" customWidth="1"/>
    <col min="194" max="195" width="3.42578125" bestFit="1" customWidth="1"/>
    <col min="196" max="196" width="2.28515625" bestFit="1" customWidth="1"/>
    <col min="197" max="200" width="3.42578125" bestFit="1" customWidth="1"/>
    <col min="201" max="202" width="2.28515625" bestFit="1" customWidth="1"/>
    <col min="203" max="205" width="3.42578125" bestFit="1" customWidth="1"/>
    <col min="206" max="207" width="2.28515625" bestFit="1" customWidth="1"/>
    <col min="208" max="210" width="3.42578125" bestFit="1" customWidth="1"/>
    <col min="211" max="211" width="2.28515625" bestFit="1" customWidth="1"/>
    <col min="212" max="217" width="3.42578125" bestFit="1" customWidth="1"/>
    <col min="218" max="218" width="11.7109375" bestFit="1" customWidth="1"/>
    <col min="219" max="219" width="9.28515625" bestFit="1" customWidth="1"/>
    <col min="220" max="220" width="2.28515625" bestFit="1" customWidth="1"/>
    <col min="221" max="221" width="3.42578125" bestFit="1" customWidth="1"/>
    <col min="222" max="222" width="2.28515625" bestFit="1" customWidth="1"/>
    <col min="223" max="223" width="3.42578125" bestFit="1" customWidth="1"/>
    <col min="224" max="224" width="2.28515625" bestFit="1" customWidth="1"/>
    <col min="225" max="225" width="3.42578125" bestFit="1" customWidth="1"/>
    <col min="226" max="227" width="2.28515625" bestFit="1" customWidth="1"/>
    <col min="228" max="229" width="3.42578125" bestFit="1" customWidth="1"/>
    <col min="230" max="230" width="2.28515625" bestFit="1" customWidth="1"/>
    <col min="231" max="231" width="3.42578125" bestFit="1" customWidth="1"/>
    <col min="232" max="232" width="2.28515625" bestFit="1" customWidth="1"/>
    <col min="233" max="234" width="3.42578125" bestFit="1" customWidth="1"/>
    <col min="235" max="235" width="2.28515625" bestFit="1" customWidth="1"/>
    <col min="236" max="240" width="3.42578125" bestFit="1" customWidth="1"/>
    <col min="241" max="241" width="2.28515625" bestFit="1" customWidth="1"/>
    <col min="242" max="242" width="3.42578125" bestFit="1" customWidth="1"/>
    <col min="243" max="243" width="12.7109375" bestFit="1" customWidth="1"/>
    <col min="244" max="244" width="13.5703125" bestFit="1" customWidth="1"/>
    <col min="245" max="245" width="3.42578125" bestFit="1" customWidth="1"/>
    <col min="246" max="246" width="2.28515625" bestFit="1" customWidth="1"/>
    <col min="247" max="248" width="3.42578125" bestFit="1" customWidth="1"/>
    <col min="249" max="249" width="2.28515625" bestFit="1" customWidth="1"/>
    <col min="250" max="250" width="3.42578125" bestFit="1" customWidth="1"/>
    <col min="251" max="252" width="2.28515625" bestFit="1" customWidth="1"/>
    <col min="253" max="260" width="3.42578125" bestFit="1" customWidth="1"/>
    <col min="261" max="262" width="2.28515625" bestFit="1" customWidth="1"/>
    <col min="263" max="264" width="3.42578125" bestFit="1" customWidth="1"/>
    <col min="265" max="265" width="2.28515625" bestFit="1" customWidth="1"/>
    <col min="266" max="268" width="3.42578125" bestFit="1" customWidth="1"/>
    <col min="269" max="269" width="17.140625" bestFit="1" customWidth="1"/>
    <col min="270" max="270" width="17.42578125" bestFit="1" customWidth="1"/>
    <col min="271" max="272" width="3.42578125" bestFit="1" customWidth="1"/>
    <col min="273" max="273" width="2.28515625" bestFit="1" customWidth="1"/>
    <col min="274" max="274" width="3.42578125" bestFit="1" customWidth="1"/>
    <col min="275" max="275" width="2.28515625" bestFit="1" customWidth="1"/>
    <col min="276" max="278" width="3.42578125" bestFit="1" customWidth="1"/>
    <col min="279" max="279" width="2.28515625" bestFit="1" customWidth="1"/>
    <col min="280" max="280" width="3.42578125" bestFit="1" customWidth="1"/>
    <col min="281" max="282" width="2.28515625" bestFit="1" customWidth="1"/>
    <col min="283" max="284" width="3.42578125" bestFit="1" customWidth="1"/>
    <col min="285" max="285" width="2.28515625" bestFit="1" customWidth="1"/>
    <col min="286" max="287" width="3.42578125" bestFit="1" customWidth="1"/>
    <col min="288" max="288" width="2.28515625" bestFit="1" customWidth="1"/>
    <col min="289" max="291" width="3.42578125" bestFit="1" customWidth="1"/>
    <col min="292" max="292" width="2.28515625" bestFit="1" customWidth="1"/>
    <col min="293" max="295" width="3.42578125" bestFit="1" customWidth="1"/>
    <col min="296" max="296" width="20.85546875" bestFit="1" customWidth="1"/>
    <col min="297" max="297" width="6.5703125" bestFit="1" customWidth="1"/>
    <col min="298" max="298" width="3.42578125" bestFit="1" customWidth="1"/>
    <col min="299" max="299" width="2.28515625" bestFit="1" customWidth="1"/>
    <col min="300" max="301" width="3.42578125" bestFit="1" customWidth="1"/>
    <col min="302" max="302" width="2.28515625" bestFit="1" customWidth="1"/>
    <col min="303" max="304" width="3.42578125" bestFit="1" customWidth="1"/>
    <col min="305" max="305" width="2.28515625" bestFit="1" customWidth="1"/>
    <col min="306" max="306" width="3.42578125" bestFit="1" customWidth="1"/>
    <col min="307" max="307" width="2.28515625" bestFit="1" customWidth="1"/>
    <col min="308" max="309" width="3.42578125" bestFit="1" customWidth="1"/>
    <col min="310" max="311" width="2.28515625" bestFit="1" customWidth="1"/>
    <col min="312" max="319" width="3.42578125" bestFit="1" customWidth="1"/>
    <col min="320" max="320" width="2.28515625" bestFit="1" customWidth="1"/>
    <col min="321" max="321" width="10" bestFit="1" customWidth="1"/>
    <col min="322" max="322" width="11.5703125" bestFit="1" customWidth="1"/>
  </cols>
  <sheetData>
    <row r="7" spans="1:20" ht="30" customHeight="1" x14ac:dyDescent="0.25">
      <c r="A7" s="60" t="s">
        <v>1479</v>
      </c>
      <c r="B7" s="60"/>
      <c r="G7" s="60" t="s">
        <v>1472</v>
      </c>
      <c r="H7" s="60"/>
      <c r="P7" s="60" t="s">
        <v>1481</v>
      </c>
      <c r="Q7" s="60"/>
      <c r="R7" s="60"/>
      <c r="S7" s="60"/>
    </row>
    <row r="8" spans="1:20" ht="14.25" hidden="1" customHeight="1" x14ac:dyDescent="0.25">
      <c r="A8" s="60"/>
      <c r="B8" s="60"/>
      <c r="G8" s="60"/>
      <c r="H8" s="60"/>
    </row>
    <row r="9" spans="1:20" x14ac:dyDescent="0.25">
      <c r="A9" s="24" t="s">
        <v>1440</v>
      </c>
      <c r="B9" t="s">
        <v>1464</v>
      </c>
      <c r="C9" t="s">
        <v>1458</v>
      </c>
      <c r="G9" s="24" t="s">
        <v>1455</v>
      </c>
      <c r="H9" s="24" t="s">
        <v>1457</v>
      </c>
    </row>
    <row r="10" spans="1:20" x14ac:dyDescent="0.25">
      <c r="A10" s="25" t="s">
        <v>717</v>
      </c>
      <c r="B10" s="71">
        <v>48</v>
      </c>
      <c r="C10" s="19">
        <v>228409.56057727002</v>
      </c>
      <c r="G10" s="24" t="s">
        <v>1440</v>
      </c>
      <c r="H10" t="s">
        <v>708</v>
      </c>
      <c r="I10" t="s">
        <v>707</v>
      </c>
      <c r="J10" t="s">
        <v>1441</v>
      </c>
      <c r="P10" s="24" t="s">
        <v>3</v>
      </c>
      <c r="Q10" s="24" t="s">
        <v>4</v>
      </c>
      <c r="R10" s="24" t="s">
        <v>5</v>
      </c>
      <c r="S10" t="s">
        <v>1464</v>
      </c>
      <c r="T10" t="s">
        <v>1458</v>
      </c>
    </row>
    <row r="11" spans="1:20" x14ac:dyDescent="0.25">
      <c r="A11" s="25" t="s">
        <v>724</v>
      </c>
      <c r="B11" s="71">
        <v>48</v>
      </c>
      <c r="C11" s="19">
        <v>193178.46274003002</v>
      </c>
      <c r="G11" s="25" t="s">
        <v>647</v>
      </c>
      <c r="H11" s="19">
        <v>374901.41477535001</v>
      </c>
      <c r="I11" s="19">
        <v>616499.51180178009</v>
      </c>
      <c r="J11" s="19">
        <v>991400.9265771301</v>
      </c>
      <c r="P11" t="s">
        <v>646</v>
      </c>
      <c r="Q11" t="s">
        <v>650</v>
      </c>
      <c r="R11" t="s">
        <v>662</v>
      </c>
      <c r="S11" s="71">
        <v>18</v>
      </c>
      <c r="T11" s="19">
        <v>99767.35090956997</v>
      </c>
    </row>
    <row r="12" spans="1:20" x14ac:dyDescent="0.25">
      <c r="A12" s="25" t="s">
        <v>716</v>
      </c>
      <c r="B12" s="71">
        <v>46</v>
      </c>
      <c r="C12" s="19">
        <v>182460.09448168997</v>
      </c>
      <c r="G12" s="25" t="s">
        <v>649</v>
      </c>
      <c r="H12" s="19">
        <v>518253.38107929</v>
      </c>
      <c r="I12" s="19">
        <v>435678.52469905006</v>
      </c>
      <c r="J12" s="19">
        <v>953931.90577834006</v>
      </c>
      <c r="R12" t="s">
        <v>675</v>
      </c>
      <c r="S12" s="71">
        <v>14</v>
      </c>
      <c r="T12" s="19">
        <v>32851.368001959985</v>
      </c>
    </row>
    <row r="13" spans="1:20" x14ac:dyDescent="0.25">
      <c r="A13" s="25" t="s">
        <v>720</v>
      </c>
      <c r="B13" s="71">
        <v>46</v>
      </c>
      <c r="C13" s="19">
        <v>177343.11353400996</v>
      </c>
      <c r="G13" s="25" t="s">
        <v>648</v>
      </c>
      <c r="H13" s="19">
        <v>609852.19170268998</v>
      </c>
      <c r="I13" s="19">
        <v>261137.87569479999</v>
      </c>
      <c r="J13" s="19">
        <v>870990.06739748991</v>
      </c>
      <c r="R13" t="s">
        <v>664</v>
      </c>
      <c r="S13" s="71">
        <v>13</v>
      </c>
      <c r="T13" s="19">
        <v>18550.922438759997</v>
      </c>
    </row>
    <row r="14" spans="1:20" x14ac:dyDescent="0.25">
      <c r="A14" s="25" t="s">
        <v>721</v>
      </c>
      <c r="B14" s="71">
        <v>51</v>
      </c>
      <c r="C14" s="19">
        <v>176734.64449026005</v>
      </c>
      <c r="G14" s="25" t="s">
        <v>646</v>
      </c>
      <c r="H14" s="19">
        <v>380980.27823477</v>
      </c>
      <c r="I14" s="19">
        <v>465299.38608578994</v>
      </c>
      <c r="J14" s="19">
        <v>846279.66432055994</v>
      </c>
      <c r="R14" t="s">
        <v>678</v>
      </c>
      <c r="S14" s="71">
        <v>11</v>
      </c>
      <c r="T14" s="19">
        <v>8587.3425485999996</v>
      </c>
    </row>
    <row r="15" spans="1:20" x14ac:dyDescent="0.25">
      <c r="A15" s="25" t="s">
        <v>713</v>
      </c>
      <c r="B15" s="71">
        <v>50</v>
      </c>
      <c r="C15" s="19">
        <v>168234.7097222</v>
      </c>
      <c r="G15" s="25" t="s">
        <v>1441</v>
      </c>
      <c r="H15" s="19">
        <v>1883987.2657921002</v>
      </c>
      <c r="I15" s="19">
        <v>1778615.29828142</v>
      </c>
      <c r="J15" s="19">
        <v>3662602.5640735198</v>
      </c>
      <c r="Q15" t="s">
        <v>651</v>
      </c>
      <c r="R15" t="s">
        <v>663</v>
      </c>
      <c r="S15" s="71">
        <v>18</v>
      </c>
      <c r="T15" s="19">
        <v>55657.60799478001</v>
      </c>
    </row>
    <row r="16" spans="1:20" x14ac:dyDescent="0.25">
      <c r="A16" s="25" t="s">
        <v>723</v>
      </c>
      <c r="B16" s="71">
        <v>44</v>
      </c>
      <c r="C16" s="19">
        <v>166868.10590776001</v>
      </c>
      <c r="R16" t="s">
        <v>669</v>
      </c>
      <c r="S16" s="71">
        <v>13</v>
      </c>
      <c r="T16" s="19">
        <v>46345.517867339993</v>
      </c>
    </row>
    <row r="17" spans="1:20" x14ac:dyDescent="0.25">
      <c r="A17" s="25" t="s">
        <v>718</v>
      </c>
      <c r="B17" s="71">
        <v>34</v>
      </c>
      <c r="C17" s="19">
        <v>153290.64925227</v>
      </c>
      <c r="R17" t="s">
        <v>665</v>
      </c>
      <c r="S17" s="71">
        <v>12</v>
      </c>
      <c r="T17" s="19">
        <v>73291.407731569983</v>
      </c>
    </row>
    <row r="18" spans="1:20" x14ac:dyDescent="0.25">
      <c r="A18" s="25" t="s">
        <v>712</v>
      </c>
      <c r="B18" s="71">
        <v>37</v>
      </c>
      <c r="C18" s="19">
        <v>122107.00407339999</v>
      </c>
      <c r="R18" t="s">
        <v>1430</v>
      </c>
      <c r="S18" s="71">
        <v>1</v>
      </c>
      <c r="T18" s="19">
        <v>8326.253332479997</v>
      </c>
    </row>
    <row r="19" spans="1:20" x14ac:dyDescent="0.25">
      <c r="A19" s="25" t="s">
        <v>715</v>
      </c>
      <c r="B19" s="71">
        <v>30</v>
      </c>
      <c r="C19" s="19">
        <v>119686.47820241001</v>
      </c>
      <c r="Q19" t="s">
        <v>661</v>
      </c>
      <c r="R19" t="s">
        <v>687</v>
      </c>
      <c r="S19" s="71">
        <v>17</v>
      </c>
      <c r="T19" s="19">
        <v>79139.446341449991</v>
      </c>
    </row>
    <row r="20" spans="1:20" x14ac:dyDescent="0.25">
      <c r="A20" s="25" t="s">
        <v>719</v>
      </c>
      <c r="B20" s="71">
        <v>37</v>
      </c>
      <c r="C20" s="19">
        <v>94971.412780620012</v>
      </c>
      <c r="R20" t="s">
        <v>682</v>
      </c>
      <c r="S20" s="71">
        <v>15</v>
      </c>
      <c r="T20" s="19">
        <v>44732.366559130016</v>
      </c>
    </row>
    <row r="21" spans="1:20" x14ac:dyDescent="0.25">
      <c r="A21" s="25" t="s">
        <v>726</v>
      </c>
      <c r="B21" s="71">
        <v>38</v>
      </c>
      <c r="C21" s="19">
        <v>92375.577017770003</v>
      </c>
      <c r="R21" t="s">
        <v>695</v>
      </c>
      <c r="S21" s="71">
        <v>13</v>
      </c>
      <c r="T21" s="19">
        <v>66515.247913739979</v>
      </c>
    </row>
    <row r="22" spans="1:20" x14ac:dyDescent="0.25">
      <c r="A22" s="25" t="s">
        <v>725</v>
      </c>
      <c r="B22" s="71">
        <v>32</v>
      </c>
      <c r="C22" s="19">
        <v>71331.831492089987</v>
      </c>
      <c r="P22" t="s">
        <v>648</v>
      </c>
      <c r="Q22" t="s">
        <v>655</v>
      </c>
      <c r="R22" t="s">
        <v>672</v>
      </c>
      <c r="S22" s="71">
        <v>25</v>
      </c>
      <c r="T22" s="19">
        <v>67205.14051438999</v>
      </c>
    </row>
    <row r="23" spans="1:20" x14ac:dyDescent="0.25">
      <c r="A23" s="25" t="s">
        <v>714</v>
      </c>
      <c r="B23" s="71">
        <v>38</v>
      </c>
      <c r="C23" s="19">
        <v>69565.42065523997</v>
      </c>
      <c r="R23" t="s">
        <v>670</v>
      </c>
      <c r="S23" s="71">
        <v>18</v>
      </c>
      <c r="T23" s="19">
        <v>110441.97003109999</v>
      </c>
    </row>
    <row r="24" spans="1:20" x14ac:dyDescent="0.25">
      <c r="A24" s="25" t="s">
        <v>1430</v>
      </c>
      <c r="B24" s="71">
        <v>8</v>
      </c>
      <c r="C24" s="19">
        <v>60871.898926989983</v>
      </c>
      <c r="R24" t="s">
        <v>692</v>
      </c>
      <c r="S24" s="71">
        <v>18</v>
      </c>
      <c r="T24" s="19">
        <v>47751.044392049989</v>
      </c>
    </row>
    <row r="25" spans="1:20" x14ac:dyDescent="0.25">
      <c r="A25" s="25" t="s">
        <v>722</v>
      </c>
      <c r="B25" s="71">
        <v>45</v>
      </c>
      <c r="C25" s="19">
        <v>34432.389517369986</v>
      </c>
      <c r="R25" t="s">
        <v>1430</v>
      </c>
      <c r="S25" s="71">
        <v>1</v>
      </c>
      <c r="T25" s="19">
        <v>7346.8945289999938</v>
      </c>
    </row>
    <row r="26" spans="1:20" x14ac:dyDescent="0.25">
      <c r="A26" s="25" t="s">
        <v>1441</v>
      </c>
      <c r="B26" s="71">
        <v>632</v>
      </c>
      <c r="C26" s="19">
        <v>2111861.3533713766</v>
      </c>
      <c r="Q26" t="s">
        <v>653</v>
      </c>
      <c r="R26" t="s">
        <v>688</v>
      </c>
      <c r="S26" s="71">
        <v>17</v>
      </c>
      <c r="T26" s="19">
        <v>111902.32378363999</v>
      </c>
    </row>
    <row r="27" spans="1:20" x14ac:dyDescent="0.25">
      <c r="A27" s="25"/>
      <c r="C27" s="19"/>
      <c r="R27" t="s">
        <v>667</v>
      </c>
      <c r="S27" s="71">
        <v>15</v>
      </c>
      <c r="T27" s="19">
        <v>23067.861319169991</v>
      </c>
    </row>
    <row r="28" spans="1:20" x14ac:dyDescent="0.25">
      <c r="A28" s="25"/>
      <c r="C28" s="19"/>
      <c r="R28" t="s">
        <v>681</v>
      </c>
      <c r="S28" s="71">
        <v>11</v>
      </c>
      <c r="T28" s="19">
        <v>35301.538153489993</v>
      </c>
    </row>
    <row r="29" spans="1:20" x14ac:dyDescent="0.25">
      <c r="A29" s="25"/>
      <c r="C29" s="19"/>
      <c r="R29" t="s">
        <v>1430</v>
      </c>
      <c r="S29" s="71">
        <v>1</v>
      </c>
      <c r="T29" s="19">
        <v>11598.695850000002</v>
      </c>
    </row>
    <row r="30" spans="1:20" x14ac:dyDescent="0.25">
      <c r="A30" s="25"/>
      <c r="C30" s="19"/>
      <c r="Q30" t="s">
        <v>660</v>
      </c>
      <c r="R30" t="s">
        <v>686</v>
      </c>
      <c r="S30" s="71">
        <v>16</v>
      </c>
      <c r="T30" s="19">
        <v>45697.045031579997</v>
      </c>
    </row>
    <row r="31" spans="1:20" x14ac:dyDescent="0.25">
      <c r="A31" s="60" t="s">
        <v>1471</v>
      </c>
      <c r="B31" s="60"/>
      <c r="C31" s="19"/>
      <c r="R31" t="s">
        <v>697</v>
      </c>
      <c r="S31" s="71">
        <v>14</v>
      </c>
      <c r="T31" s="19">
        <v>22780.392455690002</v>
      </c>
    </row>
    <row r="32" spans="1:20" x14ac:dyDescent="0.25">
      <c r="A32" s="60"/>
      <c r="B32" s="60"/>
      <c r="R32" t="s">
        <v>700</v>
      </c>
      <c r="S32" s="71">
        <v>13</v>
      </c>
      <c r="T32" s="19">
        <v>36739.135681309999</v>
      </c>
    </row>
    <row r="33" spans="1:20" x14ac:dyDescent="0.25">
      <c r="A33" s="24" t="s">
        <v>4</v>
      </c>
      <c r="B33" t="s">
        <v>1467</v>
      </c>
      <c r="R33" t="s">
        <v>677</v>
      </c>
      <c r="S33" s="71">
        <v>8</v>
      </c>
      <c r="T33" s="19">
        <v>23124.10040986001</v>
      </c>
    </row>
    <row r="34" spans="1:20" x14ac:dyDescent="0.25">
      <c r="P34" t="s">
        <v>647</v>
      </c>
      <c r="Q34" t="s">
        <v>659</v>
      </c>
      <c r="R34" t="s">
        <v>685</v>
      </c>
      <c r="S34" s="71">
        <v>19</v>
      </c>
      <c r="T34" s="19">
        <v>55425.284666299987</v>
      </c>
    </row>
    <row r="35" spans="1:20" x14ac:dyDescent="0.25">
      <c r="A35" s="24" t="s">
        <v>1466</v>
      </c>
      <c r="B35" s="24" t="s">
        <v>1457</v>
      </c>
      <c r="R35" t="s">
        <v>676</v>
      </c>
      <c r="S35" s="71">
        <v>16</v>
      </c>
      <c r="T35" s="19">
        <v>79264.309285249983</v>
      </c>
    </row>
    <row r="36" spans="1:20" x14ac:dyDescent="0.25">
      <c r="A36" s="24" t="s">
        <v>1440</v>
      </c>
      <c r="B36" t="s">
        <v>733</v>
      </c>
      <c r="C36" t="s">
        <v>727</v>
      </c>
      <c r="D36" t="s">
        <v>731</v>
      </c>
      <c r="E36" t="s">
        <v>732</v>
      </c>
      <c r="F36" t="s">
        <v>729</v>
      </c>
      <c r="G36" t="s">
        <v>730</v>
      </c>
      <c r="H36" t="s">
        <v>728</v>
      </c>
      <c r="I36" t="s">
        <v>1441</v>
      </c>
      <c r="R36" t="s">
        <v>699</v>
      </c>
      <c r="S36" s="71">
        <v>15</v>
      </c>
      <c r="T36" s="19">
        <v>55674.272601980025</v>
      </c>
    </row>
    <row r="37" spans="1:20" x14ac:dyDescent="0.25">
      <c r="A37" s="25">
        <v>0</v>
      </c>
      <c r="B37" s="33">
        <v>6.8181818181818177E-2</v>
      </c>
      <c r="C37" s="33">
        <v>2.197802197802198E-2</v>
      </c>
      <c r="D37" s="33">
        <v>1.2195121951219513E-2</v>
      </c>
      <c r="E37" s="33">
        <v>2.1276595744680851E-2</v>
      </c>
      <c r="F37" s="33">
        <v>3.4883720930232558E-2</v>
      </c>
      <c r="G37" s="33">
        <v>2.2727272727272728E-2</v>
      </c>
      <c r="H37" s="33">
        <v>9.7087378640776691E-3</v>
      </c>
      <c r="I37" s="33">
        <v>2.6898734177215191E-2</v>
      </c>
      <c r="R37" t="s">
        <v>1430</v>
      </c>
      <c r="S37" s="71">
        <v>1</v>
      </c>
      <c r="T37" s="19">
        <v>97.00623588000002</v>
      </c>
    </row>
    <row r="38" spans="1:20" x14ac:dyDescent="0.25">
      <c r="A38" s="25">
        <v>1</v>
      </c>
      <c r="B38" s="33">
        <v>3.4090909090909088E-2</v>
      </c>
      <c r="C38" s="33">
        <v>6.5934065934065936E-2</v>
      </c>
      <c r="D38" s="33">
        <v>3.6585365853658534E-2</v>
      </c>
      <c r="E38" s="33">
        <v>1.0638297872340425E-2</v>
      </c>
      <c r="F38" s="33">
        <v>2.3255813953488372E-2</v>
      </c>
      <c r="G38" s="33">
        <v>1.1363636363636364E-2</v>
      </c>
      <c r="H38" s="33">
        <v>9.7087378640776691E-3</v>
      </c>
      <c r="I38" s="33">
        <v>2.6898734177215191E-2</v>
      </c>
      <c r="Q38" t="s">
        <v>654</v>
      </c>
      <c r="R38" t="s">
        <v>680</v>
      </c>
      <c r="S38" s="71">
        <v>22</v>
      </c>
      <c r="T38" s="19">
        <v>45460.615311219997</v>
      </c>
    </row>
    <row r="39" spans="1:20" x14ac:dyDescent="0.25">
      <c r="A39" s="25">
        <v>2</v>
      </c>
      <c r="B39" s="33">
        <v>5.6818181818181816E-2</v>
      </c>
      <c r="C39" s="33">
        <v>3.2967032967032968E-2</v>
      </c>
      <c r="D39" s="33">
        <v>1.2195121951219513E-2</v>
      </c>
      <c r="E39" s="33">
        <v>2.1276595744680851E-2</v>
      </c>
      <c r="F39" s="33">
        <v>2.3255813953488372E-2</v>
      </c>
      <c r="G39" s="33">
        <v>2.2727272727272728E-2</v>
      </c>
      <c r="H39" s="33">
        <v>3.8834951456310676E-2</v>
      </c>
      <c r="I39" s="33">
        <v>3.0063291139240507E-2</v>
      </c>
      <c r="R39" t="s">
        <v>668</v>
      </c>
      <c r="S39" s="71">
        <v>16</v>
      </c>
      <c r="T39" s="19">
        <v>39397.703828880003</v>
      </c>
    </row>
    <row r="40" spans="1:20" x14ac:dyDescent="0.25">
      <c r="A40" s="25">
        <v>3</v>
      </c>
      <c r="B40" s="33">
        <v>6.8181818181818177E-2</v>
      </c>
      <c r="C40" s="33">
        <v>1.098901098901099E-2</v>
      </c>
      <c r="D40" s="33">
        <v>3.6585365853658534E-2</v>
      </c>
      <c r="E40" s="33">
        <v>4.2553191489361701E-2</v>
      </c>
      <c r="F40" s="33">
        <v>1.1627906976744186E-2</v>
      </c>
      <c r="G40" s="33">
        <v>1.1363636363636364E-2</v>
      </c>
      <c r="H40" s="33">
        <v>1.9417475728155338E-2</v>
      </c>
      <c r="I40" s="33">
        <v>2.8481012658227847E-2</v>
      </c>
      <c r="K40" s="34"/>
      <c r="L40" s="61" t="s">
        <v>1470</v>
      </c>
      <c r="M40" s="62"/>
      <c r="R40" t="s">
        <v>691</v>
      </c>
      <c r="S40" s="71">
        <v>13</v>
      </c>
      <c r="T40" s="19">
        <v>61192.105745810019</v>
      </c>
    </row>
    <row r="41" spans="1:20" x14ac:dyDescent="0.25">
      <c r="A41" s="25">
        <v>4</v>
      </c>
      <c r="B41" s="33">
        <v>2.2727272727272728E-2</v>
      </c>
      <c r="C41" s="33">
        <v>3.2967032967032968E-2</v>
      </c>
      <c r="D41" s="33">
        <v>3.6585365853658534E-2</v>
      </c>
      <c r="E41" s="33">
        <v>3.1914893617021274E-2</v>
      </c>
      <c r="F41" s="33">
        <v>5.8139534883720929E-2</v>
      </c>
      <c r="G41" s="33">
        <v>2.2727272727272728E-2</v>
      </c>
      <c r="H41" s="33">
        <v>2.9126213592233011E-2</v>
      </c>
      <c r="I41" s="33">
        <v>3.3227848101265819E-2</v>
      </c>
      <c r="K41" s="34"/>
      <c r="L41" s="34" t="s">
        <v>1469</v>
      </c>
      <c r="M41" s="34" t="s">
        <v>1468</v>
      </c>
      <c r="R41" t="s">
        <v>696</v>
      </c>
      <c r="S41" s="71">
        <v>7</v>
      </c>
      <c r="T41" s="19">
        <v>-16749.782017510002</v>
      </c>
    </row>
    <row r="42" spans="1:20" x14ac:dyDescent="0.25">
      <c r="A42" s="25">
        <v>5</v>
      </c>
      <c r="B42" s="33">
        <v>1.1363636363636364E-2</v>
      </c>
      <c r="C42" s="33">
        <v>2.197802197802198E-2</v>
      </c>
      <c r="D42" s="33">
        <v>3.6585365853658534E-2</v>
      </c>
      <c r="E42" s="33">
        <v>1.0638297872340425E-2</v>
      </c>
      <c r="F42" s="33">
        <v>3.4883720930232558E-2</v>
      </c>
      <c r="G42" s="33">
        <v>1.1363636363636364E-2</v>
      </c>
      <c r="H42" s="33">
        <v>2.9126213592233011E-2</v>
      </c>
      <c r="I42" s="33">
        <v>2.2151898734177215E-2</v>
      </c>
      <c r="K42" s="35" t="s">
        <v>733</v>
      </c>
      <c r="L42" s="34">
        <f>ROUND(COUNTIF('Working Data'!$K:$K,Analysis!$K42)*SUM($B$37:$B$44),0)</f>
        <v>28</v>
      </c>
      <c r="M42" s="34">
        <f>ROUND(COUNTIF('Working Data'!$K:$K,Analysis!$K42)*SUM($B$45:$B$68),0)</f>
        <v>60</v>
      </c>
      <c r="N42">
        <f t="shared" ref="N42:N47" si="0">SUM(L42:M42)</f>
        <v>88</v>
      </c>
      <c r="O42" s="69">
        <f>L42/N42</f>
        <v>0.31818181818181818</v>
      </c>
      <c r="R42" t="s">
        <v>1430</v>
      </c>
      <c r="S42" s="71">
        <v>3</v>
      </c>
      <c r="T42" s="19">
        <v>13307.360568419999</v>
      </c>
    </row>
    <row r="43" spans="1:20" x14ac:dyDescent="0.25">
      <c r="A43" s="25">
        <v>6</v>
      </c>
      <c r="B43" s="33">
        <v>3.4090909090909088E-2</v>
      </c>
      <c r="C43" s="33">
        <v>3.2967032967032968E-2</v>
      </c>
      <c r="D43" s="33">
        <v>6.097560975609756E-2</v>
      </c>
      <c r="E43" s="33">
        <v>0</v>
      </c>
      <c r="F43" s="33">
        <v>1.1627906976744186E-2</v>
      </c>
      <c r="G43" s="33">
        <v>4.5454545454545456E-2</v>
      </c>
      <c r="H43" s="33">
        <v>2.9126213592233011E-2</v>
      </c>
      <c r="I43" s="33">
        <v>3.0063291139240507E-2</v>
      </c>
      <c r="K43" s="35" t="s">
        <v>727</v>
      </c>
      <c r="L43" s="34">
        <f>ROUND(COUNTIF('Working Data'!$K:$K,Analysis!$K43)*SUM($B$37:$B$44),0)</f>
        <v>29</v>
      </c>
      <c r="M43" s="34">
        <f>ROUND(COUNTIF('Working Data'!$K:$K,Analysis!$K43)*SUM($B$45:$B$68),0)</f>
        <v>62</v>
      </c>
      <c r="N43">
        <f t="shared" si="0"/>
        <v>91</v>
      </c>
      <c r="O43" s="69">
        <f t="shared" ref="O43:O48" si="1">L43/N43</f>
        <v>0.31868131868131866</v>
      </c>
      <c r="Q43" t="s">
        <v>652</v>
      </c>
      <c r="R43" t="s">
        <v>694</v>
      </c>
      <c r="S43" s="71">
        <v>21</v>
      </c>
      <c r="T43" s="19">
        <v>57320.938221910008</v>
      </c>
    </row>
    <row r="44" spans="1:20" x14ac:dyDescent="0.25">
      <c r="A44" s="25">
        <v>7</v>
      </c>
      <c r="B44" s="33">
        <v>2.2727272727272728E-2</v>
      </c>
      <c r="C44" s="33">
        <v>0</v>
      </c>
      <c r="D44" s="33">
        <v>4.878048780487805E-2</v>
      </c>
      <c r="E44" s="33">
        <v>2.1276595744680851E-2</v>
      </c>
      <c r="F44" s="33">
        <v>0</v>
      </c>
      <c r="G44" s="33">
        <v>2.2727272727272728E-2</v>
      </c>
      <c r="H44" s="33">
        <v>2.9126213592233011E-2</v>
      </c>
      <c r="I44" s="33">
        <v>2.0569620253164556E-2</v>
      </c>
      <c r="K44" s="35" t="s">
        <v>731</v>
      </c>
      <c r="L44" s="34">
        <f>ROUND(COUNTIF('Working Data'!$K:$K,Analysis!$K44)*SUM($B$37:$B$44),0)</f>
        <v>26</v>
      </c>
      <c r="M44" s="34">
        <f>ROUND(COUNTIF('Working Data'!$K:$K,Analysis!$K44)*SUM($B$45:$B$68),0)</f>
        <v>56</v>
      </c>
      <c r="N44">
        <f t="shared" si="0"/>
        <v>82</v>
      </c>
      <c r="O44" s="69">
        <f t="shared" si="1"/>
        <v>0.31707317073170732</v>
      </c>
      <c r="R44" t="s">
        <v>666</v>
      </c>
      <c r="S44" s="71">
        <v>20</v>
      </c>
      <c r="T44" s="19">
        <v>20216.486282449987</v>
      </c>
    </row>
    <row r="45" spans="1:20" x14ac:dyDescent="0.25">
      <c r="A45" s="25">
        <v>8</v>
      </c>
      <c r="B45" s="32">
        <v>2.2727272727272728E-2</v>
      </c>
      <c r="C45" s="32">
        <v>0</v>
      </c>
      <c r="D45" s="32">
        <v>3.6585365853658534E-2</v>
      </c>
      <c r="E45" s="32">
        <v>3.1914893617021274E-2</v>
      </c>
      <c r="F45" s="32">
        <v>2.3255813953488372E-2</v>
      </c>
      <c r="G45" s="32">
        <v>6.8181818181818177E-2</v>
      </c>
      <c r="H45" s="32">
        <v>3.8834951456310676E-2</v>
      </c>
      <c r="I45" s="32">
        <v>3.1645569620253167E-2</v>
      </c>
      <c r="K45" s="35" t="s">
        <v>732</v>
      </c>
      <c r="L45" s="34">
        <f>ROUND(COUNTIF('Working Data'!$K:$K,Analysis!$K45)*SUM($B$37:$B$44),0)</f>
        <v>30</v>
      </c>
      <c r="M45" s="34">
        <f>ROUND(COUNTIF('Working Data'!$K:$K,Analysis!$K45)*SUM($B$45:$B$68),0)</f>
        <v>64</v>
      </c>
      <c r="N45">
        <f t="shared" si="0"/>
        <v>94</v>
      </c>
      <c r="O45" s="69">
        <f t="shared" si="1"/>
        <v>0.31914893617021278</v>
      </c>
      <c r="R45" t="s">
        <v>689</v>
      </c>
      <c r="S45" s="71">
        <v>18</v>
      </c>
      <c r="T45" s="19">
        <v>62405.729483160001</v>
      </c>
    </row>
    <row r="46" spans="1:20" x14ac:dyDescent="0.25">
      <c r="A46" s="25">
        <v>9</v>
      </c>
      <c r="B46" s="32">
        <v>3.4090909090909088E-2</v>
      </c>
      <c r="C46" s="32">
        <v>3.2967032967032968E-2</v>
      </c>
      <c r="D46" s="32">
        <v>2.4390243902439025E-2</v>
      </c>
      <c r="E46" s="32">
        <v>3.1914893617021274E-2</v>
      </c>
      <c r="F46" s="32">
        <v>3.4883720930232558E-2</v>
      </c>
      <c r="G46" s="32">
        <v>3.4090909090909088E-2</v>
      </c>
      <c r="H46" s="32">
        <v>2.9126213592233011E-2</v>
      </c>
      <c r="I46" s="32">
        <v>3.1645569620253167E-2</v>
      </c>
      <c r="K46" s="35" t="s">
        <v>729</v>
      </c>
      <c r="L46" s="34">
        <f>ROUND(COUNTIF('Working Data'!$K:$K,Analysis!$K46)*SUM($B$37:$B$44),0)</f>
        <v>27</v>
      </c>
      <c r="M46" s="34">
        <f>ROUND(COUNTIF('Working Data'!$K:$K,Analysis!$K46)*SUM($B$45:$B$68),0)</f>
        <v>59</v>
      </c>
      <c r="N46">
        <f t="shared" si="0"/>
        <v>86</v>
      </c>
      <c r="O46" s="69">
        <f t="shared" si="1"/>
        <v>0.31395348837209303</v>
      </c>
      <c r="P46" t="s">
        <v>649</v>
      </c>
      <c r="Q46" t="s">
        <v>657</v>
      </c>
      <c r="R46" t="s">
        <v>673</v>
      </c>
      <c r="S46" s="71">
        <v>22</v>
      </c>
      <c r="T46" s="19">
        <v>-23068.536709580003</v>
      </c>
    </row>
    <row r="47" spans="1:20" x14ac:dyDescent="0.25">
      <c r="A47" s="25">
        <v>10</v>
      </c>
      <c r="B47" s="32">
        <v>1.1363636363636364E-2</v>
      </c>
      <c r="C47" s="32">
        <v>2.197802197802198E-2</v>
      </c>
      <c r="D47" s="32">
        <v>6.097560975609756E-2</v>
      </c>
      <c r="E47" s="32">
        <v>3.1914893617021274E-2</v>
      </c>
      <c r="F47" s="32">
        <v>2.3255813953488372E-2</v>
      </c>
      <c r="G47" s="32">
        <v>3.4090909090909088E-2</v>
      </c>
      <c r="H47" s="32">
        <v>1.9417475728155338E-2</v>
      </c>
      <c r="I47" s="32">
        <v>2.8481012658227847E-2</v>
      </c>
      <c r="K47" s="35" t="s">
        <v>730</v>
      </c>
      <c r="L47" s="34">
        <f>ROUND(COUNTIF('Working Data'!$K:$K,Analysis!$K47)*SUM($B$37:$B$44),0)</f>
        <v>28</v>
      </c>
      <c r="M47" s="34">
        <f>ROUND(COUNTIF('Working Data'!$K:$K,Analysis!$K47)*SUM($B$45:$B$68),0)</f>
        <v>60</v>
      </c>
      <c r="N47">
        <f t="shared" si="0"/>
        <v>88</v>
      </c>
      <c r="O47" s="69">
        <f t="shared" si="1"/>
        <v>0.31818181818181818</v>
      </c>
      <c r="R47" t="s">
        <v>679</v>
      </c>
      <c r="S47" s="71">
        <v>19</v>
      </c>
      <c r="T47" s="19">
        <v>76425.176780179987</v>
      </c>
    </row>
    <row r="48" spans="1:20" x14ac:dyDescent="0.25">
      <c r="A48" s="25">
        <v>11</v>
      </c>
      <c r="B48" s="32">
        <v>2.2727272727272728E-2</v>
      </c>
      <c r="C48" s="32">
        <v>2.197802197802198E-2</v>
      </c>
      <c r="D48" s="32">
        <v>4.878048780487805E-2</v>
      </c>
      <c r="E48" s="32">
        <v>1.0638297872340425E-2</v>
      </c>
      <c r="F48" s="32">
        <v>2.3255813953488372E-2</v>
      </c>
      <c r="G48" s="32">
        <v>2.2727272727272728E-2</v>
      </c>
      <c r="H48" s="32">
        <v>4.8543689320388349E-2</v>
      </c>
      <c r="I48" s="32">
        <v>2.8481012658227847E-2</v>
      </c>
      <c r="K48" s="35" t="s">
        <v>728</v>
      </c>
      <c r="L48" s="34">
        <f>ROUND(COUNTIF('Working Data'!$K:$K,Analysis!$K48)*SUM($B$37:$B$44),0)</f>
        <v>33</v>
      </c>
      <c r="M48" s="34">
        <f>ROUND(COUNTIF('Working Data'!$K:$K,Analysis!$K48)*SUM($B$45:$B$68),0)</f>
        <v>70</v>
      </c>
      <c r="N48">
        <f>SUM(L48:M48)</f>
        <v>103</v>
      </c>
      <c r="O48" s="69">
        <f t="shared" si="1"/>
        <v>0.32038834951456313</v>
      </c>
      <c r="R48" t="s">
        <v>690</v>
      </c>
      <c r="S48" s="71">
        <v>13</v>
      </c>
      <c r="T48" s="19">
        <v>33599.224224710008</v>
      </c>
    </row>
    <row r="49" spans="1:20" x14ac:dyDescent="0.25">
      <c r="A49" s="25">
        <v>12</v>
      </c>
      <c r="B49" s="32">
        <v>5.6818181818181816E-2</v>
      </c>
      <c r="C49" s="32">
        <v>1.098901098901099E-2</v>
      </c>
      <c r="D49" s="32">
        <v>0</v>
      </c>
      <c r="E49" s="32">
        <v>3.1914893617021274E-2</v>
      </c>
      <c r="F49" s="32">
        <v>2.3255813953488372E-2</v>
      </c>
      <c r="G49" s="32">
        <v>4.5454545454545456E-2</v>
      </c>
      <c r="H49" s="32">
        <v>1.9417475728155338E-2</v>
      </c>
      <c r="I49" s="32">
        <v>2.6898734177215191E-2</v>
      </c>
      <c r="K49" s="35" t="s">
        <v>1483</v>
      </c>
      <c r="L49" s="34">
        <f>SUM(L42:L48)</f>
        <v>201</v>
      </c>
      <c r="M49" s="34">
        <f>SUM(M42:M48)</f>
        <v>431</v>
      </c>
      <c r="Q49" t="s">
        <v>656</v>
      </c>
      <c r="R49" t="s">
        <v>698</v>
      </c>
      <c r="S49" s="71">
        <v>20</v>
      </c>
      <c r="T49" s="19">
        <v>101028.41640729</v>
      </c>
    </row>
    <row r="50" spans="1:20" x14ac:dyDescent="0.25">
      <c r="A50" s="25">
        <v>13</v>
      </c>
      <c r="B50" s="32">
        <v>3.4090909090909088E-2</v>
      </c>
      <c r="C50" s="32">
        <v>3.2967032967032968E-2</v>
      </c>
      <c r="D50" s="32">
        <v>1.2195121951219513E-2</v>
      </c>
      <c r="E50" s="32">
        <v>3.1914893617021274E-2</v>
      </c>
      <c r="F50" s="32">
        <v>5.8139534883720929E-2</v>
      </c>
      <c r="G50" s="32">
        <v>2.2727272727272728E-2</v>
      </c>
      <c r="H50" s="32">
        <v>3.8834951456310676E-2</v>
      </c>
      <c r="I50" s="32">
        <v>3.3227848101265819E-2</v>
      </c>
      <c r="R50" t="s">
        <v>671</v>
      </c>
      <c r="S50" s="71">
        <v>17</v>
      </c>
      <c r="T50" s="19">
        <v>113456.47803311</v>
      </c>
    </row>
    <row r="51" spans="1:20" x14ac:dyDescent="0.25">
      <c r="A51" s="25">
        <v>14</v>
      </c>
      <c r="B51" s="32">
        <v>2.2727272727272728E-2</v>
      </c>
      <c r="C51" s="32">
        <v>3.2967032967032968E-2</v>
      </c>
      <c r="D51" s="32">
        <v>1.2195121951219513E-2</v>
      </c>
      <c r="E51" s="32">
        <v>4.2553191489361701E-2</v>
      </c>
      <c r="F51" s="32">
        <v>6.9767441860465115E-2</v>
      </c>
      <c r="G51" s="32">
        <v>1.1363636363636364E-2</v>
      </c>
      <c r="H51" s="32">
        <v>4.8543689320388349E-2</v>
      </c>
      <c r="I51" s="32">
        <v>3.4810126582278479E-2</v>
      </c>
      <c r="R51" t="s">
        <v>684</v>
      </c>
      <c r="S51" s="71">
        <v>14</v>
      </c>
      <c r="T51" s="19">
        <v>19474.417496920003</v>
      </c>
    </row>
    <row r="52" spans="1:20" x14ac:dyDescent="0.25">
      <c r="A52" s="25">
        <v>15</v>
      </c>
      <c r="B52" s="32">
        <v>2.2727272727272728E-2</v>
      </c>
      <c r="C52" s="32">
        <v>2.197802197802198E-2</v>
      </c>
      <c r="D52" s="32">
        <v>4.878048780487805E-2</v>
      </c>
      <c r="E52" s="32">
        <v>4.2553191489361701E-2</v>
      </c>
      <c r="F52" s="32">
        <v>3.4883720930232558E-2</v>
      </c>
      <c r="G52" s="32">
        <v>3.4090909090909088E-2</v>
      </c>
      <c r="H52" s="32">
        <v>3.8834951456310676E-2</v>
      </c>
      <c r="I52" s="32">
        <v>3.4810126582278479E-2</v>
      </c>
      <c r="Q52" t="s">
        <v>658</v>
      </c>
      <c r="R52" t="s">
        <v>683</v>
      </c>
      <c r="S52" s="71">
        <v>20</v>
      </c>
      <c r="T52" s="19">
        <v>60200.465083250027</v>
      </c>
    </row>
    <row r="53" spans="1:20" x14ac:dyDescent="0.25">
      <c r="A53" s="25">
        <v>16</v>
      </c>
      <c r="B53" s="32">
        <v>3.4090909090909088E-2</v>
      </c>
      <c r="C53" s="32">
        <v>3.2967032967032968E-2</v>
      </c>
      <c r="D53" s="32">
        <v>1.2195121951219513E-2</v>
      </c>
      <c r="E53" s="32">
        <v>6.3829787234042548E-2</v>
      </c>
      <c r="F53" s="32">
        <v>2.3255813953488372E-2</v>
      </c>
      <c r="G53" s="32">
        <v>4.5454545454545456E-2</v>
      </c>
      <c r="H53" s="32">
        <v>2.9126213592233011E-2</v>
      </c>
      <c r="I53" s="32">
        <v>3.4810126582278479E-2</v>
      </c>
      <c r="R53" t="s">
        <v>693</v>
      </c>
      <c r="S53" s="71">
        <v>19</v>
      </c>
      <c r="T53" s="19">
        <v>34128.98628059998</v>
      </c>
    </row>
    <row r="54" spans="1:20" x14ac:dyDescent="0.25">
      <c r="A54" s="25">
        <v>17</v>
      </c>
      <c r="B54" s="32">
        <v>1.1363636363636364E-2</v>
      </c>
      <c r="C54" s="32">
        <v>5.4945054945054944E-2</v>
      </c>
      <c r="D54" s="32">
        <v>4.878048780487805E-2</v>
      </c>
      <c r="E54" s="32">
        <v>4.2553191489361701E-2</v>
      </c>
      <c r="F54" s="32">
        <v>6.9767441860465115E-2</v>
      </c>
      <c r="G54" s="32">
        <v>4.5454545454545456E-2</v>
      </c>
      <c r="H54" s="32">
        <v>2.9126213592233011E-2</v>
      </c>
      <c r="I54" s="32">
        <v>4.2721518987341771E-2</v>
      </c>
      <c r="R54" t="s">
        <v>674</v>
      </c>
      <c r="S54" s="71">
        <v>14</v>
      </c>
      <c r="T54" s="19">
        <v>130656.00432045998</v>
      </c>
    </row>
    <row r="55" spans="1:20" x14ac:dyDescent="0.25">
      <c r="A55" s="25">
        <v>18</v>
      </c>
      <c r="B55" s="32">
        <v>1.1363636363636364E-2</v>
      </c>
      <c r="C55" s="32">
        <v>4.3956043956043959E-2</v>
      </c>
      <c r="D55" s="32">
        <v>3.6585365853658534E-2</v>
      </c>
      <c r="E55" s="32">
        <v>6.3829787234042548E-2</v>
      </c>
      <c r="F55" s="32">
        <v>5.8139534883720929E-2</v>
      </c>
      <c r="G55" s="32">
        <v>0</v>
      </c>
      <c r="H55" s="32">
        <v>0</v>
      </c>
      <c r="I55" s="32">
        <v>3.0063291139240507E-2</v>
      </c>
      <c r="R55" t="s">
        <v>1430</v>
      </c>
      <c r="S55" s="71">
        <v>1</v>
      </c>
      <c r="T55" s="19">
        <v>16227.717450029999</v>
      </c>
    </row>
    <row r="56" spans="1:20" x14ac:dyDescent="0.25">
      <c r="A56" s="25">
        <v>19</v>
      </c>
      <c r="B56" s="32">
        <v>1.1363636363636364E-2</v>
      </c>
      <c r="C56" s="32">
        <v>9.8901098901098897E-2</v>
      </c>
      <c r="D56" s="32">
        <v>1.2195121951219513E-2</v>
      </c>
      <c r="E56" s="32">
        <v>2.1276595744680851E-2</v>
      </c>
      <c r="F56" s="32">
        <v>2.3255813953488372E-2</v>
      </c>
      <c r="G56" s="32">
        <v>4.5454545454545456E-2</v>
      </c>
      <c r="H56" s="32">
        <v>1.9417475728155338E-2</v>
      </c>
      <c r="I56" s="32">
        <v>3.3227848101265819E-2</v>
      </c>
      <c r="P56" t="s">
        <v>1441</v>
      </c>
      <c r="S56" s="71">
        <v>632</v>
      </c>
      <c r="T56" s="19">
        <v>2111861.3533713776</v>
      </c>
    </row>
    <row r="57" spans="1:20" x14ac:dyDescent="0.25">
      <c r="A57" s="25">
        <v>20</v>
      </c>
      <c r="B57" s="32">
        <v>2.2727272727272728E-2</v>
      </c>
      <c r="C57" s="32">
        <v>2.197802197802198E-2</v>
      </c>
      <c r="D57" s="32">
        <v>9.7560975609756101E-2</v>
      </c>
      <c r="E57" s="32">
        <v>7.4468085106382975E-2</v>
      </c>
      <c r="F57" s="32">
        <v>5.8139534883720929E-2</v>
      </c>
      <c r="G57" s="32">
        <v>9.0909090909090912E-2</v>
      </c>
      <c r="H57" s="32">
        <v>1.9417475728155338E-2</v>
      </c>
      <c r="I57" s="32">
        <v>5.3797468354430382E-2</v>
      </c>
    </row>
    <row r="58" spans="1:20" x14ac:dyDescent="0.25">
      <c r="A58" s="25">
        <v>21</v>
      </c>
      <c r="B58" s="32">
        <v>4.5454545454545456E-2</v>
      </c>
      <c r="C58" s="32">
        <v>2.197802197802198E-2</v>
      </c>
      <c r="D58" s="32">
        <v>2.4390243902439025E-2</v>
      </c>
      <c r="E58" s="32">
        <v>5.3191489361702128E-2</v>
      </c>
      <c r="F58" s="32">
        <v>0</v>
      </c>
      <c r="G58" s="32">
        <v>6.8181818181818177E-2</v>
      </c>
      <c r="H58" s="32">
        <v>2.9126213592233011E-2</v>
      </c>
      <c r="I58" s="32">
        <v>3.4810126582278479E-2</v>
      </c>
    </row>
    <row r="59" spans="1:20" x14ac:dyDescent="0.25">
      <c r="A59" s="25">
        <v>22</v>
      </c>
      <c r="B59" s="32">
        <v>2.2727272727272728E-2</v>
      </c>
      <c r="C59" s="32">
        <v>4.3956043956043959E-2</v>
      </c>
      <c r="D59" s="32">
        <v>1.2195121951219513E-2</v>
      </c>
      <c r="E59" s="32">
        <v>2.1276595744680851E-2</v>
      </c>
      <c r="F59" s="32">
        <v>4.6511627906976744E-2</v>
      </c>
      <c r="G59" s="32">
        <v>3.4090909090909088E-2</v>
      </c>
      <c r="H59" s="32">
        <v>4.8543689320388349E-2</v>
      </c>
      <c r="I59" s="32">
        <v>3.3227848101265819E-2</v>
      </c>
    </row>
    <row r="60" spans="1:20" x14ac:dyDescent="0.25">
      <c r="A60" s="25">
        <v>23</v>
      </c>
      <c r="B60" s="32">
        <v>3.4090909090909088E-2</v>
      </c>
      <c r="C60" s="32">
        <v>4.3956043956043959E-2</v>
      </c>
      <c r="D60" s="32">
        <v>2.4390243902439025E-2</v>
      </c>
      <c r="E60" s="32">
        <v>1.0638297872340425E-2</v>
      </c>
      <c r="F60" s="32">
        <v>4.6511627906976744E-2</v>
      </c>
      <c r="G60" s="32">
        <v>4.5454545454545456E-2</v>
      </c>
      <c r="H60" s="32">
        <v>2.9126213592233011E-2</v>
      </c>
      <c r="I60" s="32">
        <v>3.3227848101265819E-2</v>
      </c>
    </row>
    <row r="61" spans="1:20" x14ac:dyDescent="0.25">
      <c r="A61" s="25">
        <v>24</v>
      </c>
      <c r="B61" s="32">
        <v>2.2727272727272728E-2</v>
      </c>
      <c r="C61" s="32">
        <v>1.098901098901099E-2</v>
      </c>
      <c r="D61" s="32">
        <v>0</v>
      </c>
      <c r="E61" s="32">
        <v>4.2553191489361701E-2</v>
      </c>
      <c r="F61" s="32">
        <v>0</v>
      </c>
      <c r="G61" s="32">
        <v>0</v>
      </c>
      <c r="H61" s="32">
        <v>1.9417475728155338E-2</v>
      </c>
      <c r="I61" s="32">
        <v>1.4240506329113924E-2</v>
      </c>
    </row>
    <row r="62" spans="1:20" x14ac:dyDescent="0.25">
      <c r="A62" s="25">
        <v>25</v>
      </c>
      <c r="B62" s="32">
        <v>1.1363636363636364E-2</v>
      </c>
      <c r="C62" s="32">
        <v>4.3956043956043959E-2</v>
      </c>
      <c r="D62" s="32">
        <v>3.6585365853658534E-2</v>
      </c>
      <c r="E62" s="32">
        <v>3.1914893617021274E-2</v>
      </c>
      <c r="F62" s="32">
        <v>3.4883720930232558E-2</v>
      </c>
      <c r="G62" s="32">
        <v>3.4090909090909088E-2</v>
      </c>
      <c r="H62" s="32">
        <v>7.7669902912621352E-2</v>
      </c>
      <c r="I62" s="32">
        <v>3.9556962025316458E-2</v>
      </c>
    </row>
    <row r="63" spans="1:20" x14ac:dyDescent="0.25">
      <c r="A63" s="25">
        <v>26</v>
      </c>
      <c r="B63" s="32">
        <v>2.2727272727272728E-2</v>
      </c>
      <c r="C63" s="32">
        <v>2.197802197802198E-2</v>
      </c>
      <c r="D63" s="32">
        <v>2.4390243902439025E-2</v>
      </c>
      <c r="E63" s="32">
        <v>3.1914893617021274E-2</v>
      </c>
      <c r="F63" s="32">
        <v>1.1627906976744186E-2</v>
      </c>
      <c r="G63" s="32">
        <v>1.1363636363636364E-2</v>
      </c>
      <c r="H63" s="32">
        <v>1.9417475728155338E-2</v>
      </c>
      <c r="I63" s="32">
        <v>2.0569620253164556E-2</v>
      </c>
    </row>
    <row r="64" spans="1:20" x14ac:dyDescent="0.25">
      <c r="A64" s="25">
        <v>27</v>
      </c>
      <c r="B64" s="32">
        <v>3.4090909090909088E-2</v>
      </c>
      <c r="C64" s="32">
        <v>0</v>
      </c>
      <c r="D64" s="32">
        <v>2.4390243902439025E-2</v>
      </c>
      <c r="E64" s="32">
        <v>2.1276595744680851E-2</v>
      </c>
      <c r="F64" s="32">
        <v>4.6511627906976744E-2</v>
      </c>
      <c r="G64" s="32">
        <v>2.2727272727272728E-2</v>
      </c>
      <c r="H64" s="32">
        <v>3.8834951456310676E-2</v>
      </c>
      <c r="I64" s="32">
        <v>2.6898734177215191E-2</v>
      </c>
    </row>
    <row r="65" spans="1:11" x14ac:dyDescent="0.25">
      <c r="A65" s="25">
        <v>28</v>
      </c>
      <c r="B65" s="32">
        <v>2.2727272727272728E-2</v>
      </c>
      <c r="C65" s="32">
        <v>2.197802197802198E-2</v>
      </c>
      <c r="D65" s="32">
        <v>2.4390243902439025E-2</v>
      </c>
      <c r="E65" s="32">
        <v>2.1276595744680851E-2</v>
      </c>
      <c r="F65" s="32">
        <v>0</v>
      </c>
      <c r="G65" s="32">
        <v>3.4090909090909088E-2</v>
      </c>
      <c r="H65" s="32">
        <v>2.9126213592233011E-2</v>
      </c>
      <c r="I65" s="32">
        <v>2.2151898734177215E-2</v>
      </c>
    </row>
    <row r="66" spans="1:11" x14ac:dyDescent="0.25">
      <c r="A66" s="25">
        <v>29</v>
      </c>
      <c r="B66" s="32">
        <v>5.6818181818181816E-2</v>
      </c>
      <c r="C66" s="32">
        <v>2.197802197802198E-2</v>
      </c>
      <c r="D66" s="32">
        <v>0</v>
      </c>
      <c r="E66" s="32">
        <v>1.0638297872340425E-2</v>
      </c>
      <c r="F66" s="32">
        <v>0</v>
      </c>
      <c r="G66" s="32">
        <v>0</v>
      </c>
      <c r="H66" s="32">
        <v>4.8543689320388349E-2</v>
      </c>
      <c r="I66" s="32">
        <v>2.0569620253164556E-2</v>
      </c>
    </row>
    <row r="67" spans="1:11" x14ac:dyDescent="0.25">
      <c r="A67" s="25">
        <v>30</v>
      </c>
      <c r="B67" s="32">
        <v>4.5454545454545456E-2</v>
      </c>
      <c r="C67" s="32">
        <v>5.4945054945054944E-2</v>
      </c>
      <c r="D67" s="32">
        <v>2.4390243902439025E-2</v>
      </c>
      <c r="E67" s="32">
        <v>3.1914893617021274E-2</v>
      </c>
      <c r="F67" s="32">
        <v>2.3255813953488372E-2</v>
      </c>
      <c r="G67" s="32">
        <v>5.6818181818181816E-2</v>
      </c>
      <c r="H67" s="32">
        <v>2.9126213592233011E-2</v>
      </c>
      <c r="I67" s="32">
        <v>3.7974683544303799E-2</v>
      </c>
    </row>
    <row r="68" spans="1:11" x14ac:dyDescent="0.25">
      <c r="A68" s="25"/>
      <c r="B68" s="32">
        <v>4.5454545454545456E-2</v>
      </c>
      <c r="C68" s="32">
        <v>6.5934065934065936E-2</v>
      </c>
      <c r="D68" s="32">
        <v>7.3170731707317069E-2</v>
      </c>
      <c r="E68" s="32">
        <v>4.2553191489361701E-2</v>
      </c>
      <c r="F68" s="32">
        <v>6.9767441860465115E-2</v>
      </c>
      <c r="G68" s="32">
        <v>2.2727272727272728E-2</v>
      </c>
      <c r="H68" s="32">
        <v>5.8252427184466021E-2</v>
      </c>
      <c r="I68" s="32">
        <v>5.3797468354430382E-2</v>
      </c>
    </row>
    <row r="69" spans="1:11" x14ac:dyDescent="0.25">
      <c r="A69" s="25" t="s">
        <v>1441</v>
      </c>
      <c r="B69" s="32">
        <v>1</v>
      </c>
      <c r="C69" s="32">
        <v>1</v>
      </c>
      <c r="D69" s="32">
        <v>1</v>
      </c>
      <c r="E69" s="32">
        <v>1</v>
      </c>
      <c r="F69" s="32">
        <v>1</v>
      </c>
      <c r="G69" s="32">
        <v>1</v>
      </c>
      <c r="H69" s="32">
        <v>1</v>
      </c>
      <c r="I69" s="32">
        <v>1</v>
      </c>
    </row>
    <row r="73" spans="1:11" x14ac:dyDescent="0.25">
      <c r="A73" s="60" t="s">
        <v>1478</v>
      </c>
      <c r="B73" s="60"/>
    </row>
    <row r="74" spans="1:11" x14ac:dyDescent="0.25">
      <c r="A74" s="60"/>
      <c r="B74" s="60"/>
    </row>
    <row r="75" spans="1:11" x14ac:dyDescent="0.25">
      <c r="A75" s="24" t="s">
        <v>1440</v>
      </c>
      <c r="B75" t="s">
        <v>1455</v>
      </c>
    </row>
    <row r="76" spans="1:11" x14ac:dyDescent="0.25">
      <c r="A76" s="25" t="s">
        <v>729</v>
      </c>
      <c r="B76" s="32">
        <v>0.16399554398116528</v>
      </c>
      <c r="D76" s="37" t="s">
        <v>1509</v>
      </c>
      <c r="E76" s="37" t="s">
        <v>729</v>
      </c>
      <c r="F76" s="37" t="s">
        <v>731</v>
      </c>
      <c r="G76" s="37" t="s">
        <v>728</v>
      </c>
      <c r="H76" s="37" t="s">
        <v>732</v>
      </c>
      <c r="I76" s="37" t="s">
        <v>727</v>
      </c>
      <c r="J76" s="37" t="s">
        <v>730</v>
      </c>
      <c r="K76" s="37" t="s">
        <v>733</v>
      </c>
    </row>
    <row r="77" spans="1:11" x14ac:dyDescent="0.25">
      <c r="A77" s="25" t="s">
        <v>731</v>
      </c>
      <c r="B77" s="32">
        <v>0.15671002418612726</v>
      </c>
      <c r="D77" s="41">
        <v>0.8</v>
      </c>
      <c r="E77" s="38">
        <f>ROUND((86*0.8),0)</f>
        <v>69</v>
      </c>
      <c r="F77" s="38">
        <f>ROUND((81*0.8),0)</f>
        <v>65</v>
      </c>
      <c r="G77" s="38">
        <f>ROUND((103*D77),0)</f>
        <v>82</v>
      </c>
      <c r="H77" s="38">
        <f>ROUND((94*D77),0)</f>
        <v>75</v>
      </c>
      <c r="I77" s="38">
        <f>ROUND((90*D77),0)</f>
        <v>72</v>
      </c>
      <c r="J77" s="38">
        <f>ROUND((88*D77),0)</f>
        <v>70</v>
      </c>
      <c r="K77" s="38">
        <f>ROUND((88*D77),0)</f>
        <v>70</v>
      </c>
    </row>
    <row r="78" spans="1:11" x14ac:dyDescent="0.25">
      <c r="A78" s="25" t="s">
        <v>728</v>
      </c>
      <c r="B78" s="32">
        <v>0.1474613140014987</v>
      </c>
      <c r="D78" s="41">
        <v>0.15</v>
      </c>
      <c r="E78" s="39">
        <f>ROUND((86*0.15),0)</f>
        <v>13</v>
      </c>
      <c r="F78" s="39">
        <f>ROUND((81*0.15),0)</f>
        <v>12</v>
      </c>
      <c r="G78" s="39">
        <f t="shared" ref="G78:G79" si="2">ROUND((103*D78),0)</f>
        <v>15</v>
      </c>
      <c r="H78" s="39">
        <f t="shared" ref="H78:H79" si="3">ROUND((94*D78),0)</f>
        <v>14</v>
      </c>
      <c r="I78" s="39">
        <f t="shared" ref="I78:I79" si="4">ROUND((90*D78),0)</f>
        <v>14</v>
      </c>
      <c r="J78" s="39">
        <f t="shared" ref="J78:J79" si="5">ROUND((88*D78),0)</f>
        <v>13</v>
      </c>
      <c r="K78" s="39">
        <f t="shared" ref="K78:K79" si="6">ROUND((88*D78),0)</f>
        <v>13</v>
      </c>
    </row>
    <row r="79" spans="1:11" x14ac:dyDescent="0.25">
      <c r="A79" s="25" t="s">
        <v>727</v>
      </c>
      <c r="B79" s="32">
        <v>0.14092924318290703</v>
      </c>
      <c r="D79" s="41">
        <v>0.05</v>
      </c>
      <c r="E79" s="40">
        <f>ROUND((86*0.05),0)</f>
        <v>4</v>
      </c>
      <c r="F79" s="40">
        <f>ROUND((81*0.05),0)</f>
        <v>4</v>
      </c>
      <c r="G79" s="40">
        <f t="shared" si="2"/>
        <v>5</v>
      </c>
      <c r="H79" s="40">
        <f t="shared" si="3"/>
        <v>5</v>
      </c>
      <c r="I79" s="40">
        <f t="shared" si="4"/>
        <v>5</v>
      </c>
      <c r="J79" s="40">
        <f t="shared" si="5"/>
        <v>4</v>
      </c>
      <c r="K79" s="40">
        <f t="shared" si="6"/>
        <v>4</v>
      </c>
    </row>
    <row r="80" spans="1:11" x14ac:dyDescent="0.25">
      <c r="A80" s="25" t="s">
        <v>732</v>
      </c>
      <c r="B80" s="32">
        <v>0.13937810020524766</v>
      </c>
      <c r="D80" s="34"/>
      <c r="E80" s="70">
        <v>0.16399554398116528</v>
      </c>
      <c r="F80" s="70">
        <v>0.15671002418612726</v>
      </c>
      <c r="G80" s="70">
        <v>0.1474613140014987</v>
      </c>
      <c r="H80" s="70">
        <v>0.14092924318290703</v>
      </c>
      <c r="I80" s="70">
        <v>0.13937810020524766</v>
      </c>
      <c r="J80" s="70">
        <v>0.1287075557049549</v>
      </c>
      <c r="K80" s="70">
        <v>0.12281821873809927</v>
      </c>
    </row>
    <row r="81" spans="1:2" x14ac:dyDescent="0.25">
      <c r="A81" s="25" t="s">
        <v>730</v>
      </c>
      <c r="B81" s="32">
        <v>0.1287075557049549</v>
      </c>
    </row>
    <row r="82" spans="1:2" x14ac:dyDescent="0.25">
      <c r="A82" s="25" t="s">
        <v>733</v>
      </c>
      <c r="B82" s="32">
        <v>0.12281821873809927</v>
      </c>
    </row>
    <row r="83" spans="1:2" x14ac:dyDescent="0.25">
      <c r="A83" s="25" t="s">
        <v>1441</v>
      </c>
      <c r="B83" s="32">
        <v>1</v>
      </c>
    </row>
  </sheetData>
  <mergeCells count="6">
    <mergeCell ref="P7:S7"/>
    <mergeCell ref="G7:H8"/>
    <mergeCell ref="L40:M40"/>
    <mergeCell ref="A31:B32"/>
    <mergeCell ref="A73:B74"/>
    <mergeCell ref="A7:B8"/>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E9928-FB12-4109-BA2C-EB41387B6108}">
  <dimension ref="A1:AC633"/>
  <sheetViews>
    <sheetView tabSelected="1" workbookViewId="0">
      <pane ySplit="1" topLeftCell="A2" activePane="bottomLeft" state="frozen"/>
      <selection pane="bottomLeft" activeCell="T2" sqref="T2"/>
    </sheetView>
  </sheetViews>
  <sheetFormatPr defaultRowHeight="15" x14ac:dyDescent="0.25"/>
  <cols>
    <col min="1" max="1" width="16" style="4" customWidth="1"/>
    <col min="2" max="2" width="14.42578125" style="14" customWidth="1"/>
    <col min="3" max="3" width="14.5703125" style="14" customWidth="1"/>
    <col min="4" max="4" width="14.5703125" style="9" customWidth="1"/>
    <col min="5" max="5" width="11.7109375" style="4" customWidth="1"/>
    <col min="6" max="6" width="16" style="4" customWidth="1"/>
    <col min="7" max="7" width="9.140625" style="4"/>
    <col min="8" max="8" width="16.85546875" style="4" customWidth="1"/>
    <col min="9" max="9" width="12.42578125" style="4" customWidth="1"/>
    <col min="10" max="10" width="13.28515625" style="4" customWidth="1"/>
    <col min="11" max="11" width="9.140625" style="4"/>
    <col min="12" max="12" width="11.28515625" style="4" customWidth="1"/>
    <col min="13" max="13" width="9.140625" style="9"/>
    <col min="14" max="14" width="13.28515625" style="9" customWidth="1"/>
    <col min="15" max="15" width="9.5703125" style="19" bestFit="1" customWidth="1"/>
    <col min="16" max="16" width="13.140625" customWidth="1"/>
    <col min="17" max="17" width="9.5703125" style="19" bestFit="1" customWidth="1"/>
    <col min="18" max="18" width="9.5703125" style="19" customWidth="1"/>
    <col min="19" max="19" width="9.140625" style="11"/>
    <col min="21" max="21" width="14.140625" style="19" customWidth="1"/>
    <col min="22" max="22" width="13.5703125" style="19" customWidth="1"/>
    <col min="24" max="24" width="9.140625" style="27"/>
    <col min="26" max="26" width="14.7109375" customWidth="1"/>
  </cols>
  <sheetData>
    <row r="1" spans="1:29" s="6" customFormat="1" ht="60" x14ac:dyDescent="0.25">
      <c r="A1" s="5" t="s">
        <v>1427</v>
      </c>
      <c r="B1" s="13" t="s">
        <v>1426</v>
      </c>
      <c r="C1" s="13" t="s">
        <v>1425</v>
      </c>
      <c r="D1" s="15" t="s">
        <v>1431</v>
      </c>
      <c r="E1" s="5" t="s">
        <v>3</v>
      </c>
      <c r="F1" s="5" t="s">
        <v>4</v>
      </c>
      <c r="G1" s="5" t="s">
        <v>5</v>
      </c>
      <c r="H1" s="5" t="s">
        <v>1423</v>
      </c>
      <c r="I1" s="5" t="s">
        <v>7</v>
      </c>
      <c r="J1" s="5" t="s">
        <v>8</v>
      </c>
      <c r="K1" s="5" t="s">
        <v>1424</v>
      </c>
      <c r="L1" s="5" t="s">
        <v>10</v>
      </c>
      <c r="M1" s="8" t="s">
        <v>14</v>
      </c>
      <c r="N1" s="15" t="s">
        <v>1463</v>
      </c>
      <c r="O1" s="18" t="s">
        <v>1428</v>
      </c>
      <c r="P1" s="17" t="s">
        <v>1434</v>
      </c>
      <c r="Q1" s="18" t="s">
        <v>1429</v>
      </c>
      <c r="R1" s="23" t="s">
        <v>1433</v>
      </c>
      <c r="S1" s="10" t="s">
        <v>1422</v>
      </c>
      <c r="T1" s="21" t="s">
        <v>1432</v>
      </c>
      <c r="U1" s="31" t="s">
        <v>1435</v>
      </c>
      <c r="V1" s="31" t="s">
        <v>1436</v>
      </c>
      <c r="W1" s="21" t="s">
        <v>1437</v>
      </c>
      <c r="X1" s="29" t="s">
        <v>1438</v>
      </c>
      <c r="Y1" s="21" t="s">
        <v>1439</v>
      </c>
      <c r="Z1" s="21" t="s">
        <v>1480</v>
      </c>
      <c r="AA1" s="21" t="s">
        <v>1439</v>
      </c>
      <c r="AB1" s="29" t="s">
        <v>1442</v>
      </c>
      <c r="AC1" s="26" t="s">
        <v>1456</v>
      </c>
    </row>
    <row r="2" spans="1:29" x14ac:dyDescent="0.25">
      <c r="A2" s="4" t="s">
        <v>15</v>
      </c>
      <c r="B2" s="14">
        <v>45362</v>
      </c>
      <c r="C2" s="14">
        <v>45388</v>
      </c>
      <c r="D2" s="16">
        <f>IFERROR(DATEDIF(B2,C2,"D"),"")</f>
        <v>26</v>
      </c>
      <c r="E2" s="4" t="s">
        <v>646</v>
      </c>
      <c r="F2" s="4" t="s">
        <v>650</v>
      </c>
      <c r="G2" s="4" t="s">
        <v>662</v>
      </c>
      <c r="H2" s="4" t="s">
        <v>701</v>
      </c>
      <c r="I2" s="4" t="s">
        <v>707</v>
      </c>
      <c r="J2" s="4" t="s">
        <v>712</v>
      </c>
      <c r="K2" s="4" t="s">
        <v>727</v>
      </c>
      <c r="L2" s="4" t="s">
        <v>734</v>
      </c>
      <c r="M2" s="9">
        <v>9</v>
      </c>
      <c r="N2" s="16">
        <f>ROUND(IF('Dashboard Visualization'!$U$3="",'Working Data'!M2,(('Dashboard Visualization'!U3+100%)*'Working Data'!M2)),0)</f>
        <v>9</v>
      </c>
      <c r="O2" s="19">
        <v>279.24</v>
      </c>
      <c r="P2" s="20">
        <f>IF('Dashboard Visualization'!$U$2="",'Working Data'!$O2*'Working Data'!$N2,'Working Data'!$O2*'Working Data'!$N2*(100%+'Dashboard Visualization'!$U$2))</f>
        <v>2513.16</v>
      </c>
      <c r="Q2" s="19">
        <v>608.9</v>
      </c>
      <c r="R2" s="20">
        <f>(1-T2)*Q2</f>
        <v>540.70320000000004</v>
      </c>
      <c r="S2" s="11">
        <v>0.112</v>
      </c>
      <c r="T2" s="22">
        <f>IF('Dashboard Visualization'!$U$1="",$S2,IF(S2&gt;'Dashboard Visualization'!$U$1,'Dashboard Visualization'!$U$1,S2))</f>
        <v>0.112</v>
      </c>
      <c r="U2" s="20">
        <f t="shared" ref="U2" si="0">IFERROR(R2*(1-T2)*N2,"-")</f>
        <v>4321.2999744000008</v>
      </c>
      <c r="V2" s="20">
        <f t="shared" ref="V2" si="1">IFERROR(U2-P2,"-")</f>
        <v>1808.1399744000009</v>
      </c>
      <c r="W2" s="22">
        <f t="shared" ref="W2:W65" si="2">IFERROR(IF(V2&lt;=0,0,V2/U2),0)</f>
        <v>0.41842500754672918</v>
      </c>
      <c r="X2" s="28" t="str">
        <f>TEXT(B2,"MMM-YYYY")</f>
        <v>Mar-2024</v>
      </c>
      <c r="Y2" s="7" t="str">
        <f>"Q" &amp; ROUNDUP(MONTH(X2)/3,0) &amp; "-" &amp; TEXT(X2,"YYYY")</f>
        <v>Q1-2024</v>
      </c>
      <c r="Z2" s="7" t="str">
        <f>IF(R2&lt;QUARTILE(R:R,1), "Low Price", IF(R2&lt;QUARTILE(R:R,3), "High Price", "Medium Price"))</f>
        <v>High Price</v>
      </c>
      <c r="AA2" s="7" t="str">
        <f>"Q"&amp;ROUNDUP(MONTH(X2)/3,0)</f>
        <v>Q1</v>
      </c>
      <c r="AB2" s="28" t="str">
        <f>TEXT(X2,"MMM")</f>
        <v>Mar</v>
      </c>
      <c r="AC2" s="28" t="str">
        <f>TEXT(X2,"YYYY")</f>
        <v>2024</v>
      </c>
    </row>
    <row r="3" spans="1:29" x14ac:dyDescent="0.25">
      <c r="A3" s="4" t="s">
        <v>16</v>
      </c>
      <c r="B3" s="14">
        <v>45588</v>
      </c>
      <c r="C3" s="14">
        <v>45587</v>
      </c>
      <c r="D3" s="16" t="str">
        <f t="shared" ref="D3:D66" si="3">IFERROR(DATEDIF(B3,C3,"D"),"")</f>
        <v/>
      </c>
      <c r="E3" s="4" t="s">
        <v>646</v>
      </c>
      <c r="F3" s="4" t="s">
        <v>651</v>
      </c>
      <c r="G3" s="4" t="s">
        <v>663</v>
      </c>
      <c r="H3" s="4" t="s">
        <v>702</v>
      </c>
      <c r="I3" s="4" t="s">
        <v>708</v>
      </c>
      <c r="J3" s="4" t="s">
        <v>713</v>
      </c>
      <c r="K3" s="4" t="s">
        <v>728</v>
      </c>
      <c r="L3" s="4" t="s">
        <v>735</v>
      </c>
      <c r="M3" s="9">
        <v>31</v>
      </c>
      <c r="N3" s="16">
        <f>ROUND(IF('Dashboard Visualization'!$U$3="",'Working Data'!$M3,'Working Data'!$M3*(100% +'Dashboard Visualization'!$U$3)),0)</f>
        <v>31</v>
      </c>
      <c r="O3" s="19">
        <v>1084.3900000000001</v>
      </c>
      <c r="P3" s="20">
        <f>IF('Dashboard Visualization'!$U$2="",'Working Data'!$O3*'Working Data'!$N3,'Working Data'!$O3*'Working Data'!$N3*(100%+'Dashboard Visualization'!$U$2))</f>
        <v>33616.090000000004</v>
      </c>
      <c r="Q3" s="19">
        <v>759.33</v>
      </c>
      <c r="R3" s="20">
        <f t="shared" ref="R3:R66" si="4">(1-T3)*Q3</f>
        <v>579.36878999999999</v>
      </c>
      <c r="S3" s="11">
        <v>0.23699999999999999</v>
      </c>
      <c r="T3" s="22">
        <f>IF('Dashboard Visualization'!$U$1="",$S3,IF(S3&gt;'Dashboard Visualization'!$U$1,'Dashboard Visualization'!$U$1,S3))</f>
        <v>0.23699999999999999</v>
      </c>
      <c r="U3" s="20">
        <f t="shared" ref="U3:U66" si="5">IFERROR(R3*(1-T3)*N3,"-")</f>
        <v>13703.80998987</v>
      </c>
      <c r="V3" s="20">
        <f t="shared" ref="V3:V66" si="6">IFERROR(U3-P3,"-")</f>
        <v>-19912.280010130002</v>
      </c>
      <c r="W3" s="22">
        <f t="shared" si="2"/>
        <v>0</v>
      </c>
      <c r="X3" s="28" t="str">
        <f>TEXT(B3,"MMM-YYYY")</f>
        <v>Oct-2024</v>
      </c>
      <c r="Y3" s="7" t="str">
        <f t="shared" ref="Y3:Y66" si="7">"Q" &amp; ROUNDUP(MONTH(X3)/3,0) &amp; "-" &amp; TEXT(X3,"YYYY")</f>
        <v>Q4-2024</v>
      </c>
      <c r="Z3" s="7" t="str">
        <f t="shared" ref="Z3:Z66" si="8">IF(R3&lt;QUARTILE(R:R,1), "Low Price", IF(R3&lt;QUARTILE(R:R,3), "High Price", "Medium Price"))</f>
        <v>High Price</v>
      </c>
      <c r="AA3" s="7" t="str">
        <f t="shared" ref="AA3:AA66" si="9">"Q"&amp;ROUNDUP(MONTH(X3)/3,0)</f>
        <v>Q4</v>
      </c>
      <c r="AB3" s="28" t="str">
        <f t="shared" ref="AB3:AB66" si="10">TEXT(X3,"MMM")</f>
        <v>Oct</v>
      </c>
      <c r="AC3" s="28" t="str">
        <f t="shared" ref="AC3:AC66" si="11">TEXT(X3,"YYYY")</f>
        <v>2024</v>
      </c>
    </row>
    <row r="4" spans="1:29" x14ac:dyDescent="0.25">
      <c r="A4" s="4" t="s">
        <v>17</v>
      </c>
      <c r="B4" s="14">
        <v>44985</v>
      </c>
      <c r="C4" s="14">
        <v>45010</v>
      </c>
      <c r="D4" s="16">
        <f t="shared" si="3"/>
        <v>25</v>
      </c>
      <c r="E4" s="4" t="s">
        <v>646</v>
      </c>
      <c r="F4" s="4" t="s">
        <v>650</v>
      </c>
      <c r="G4" s="4" t="s">
        <v>664</v>
      </c>
      <c r="H4" s="4" t="s">
        <v>701</v>
      </c>
      <c r="I4" s="4" t="s">
        <v>707</v>
      </c>
      <c r="J4" s="4" t="s">
        <v>714</v>
      </c>
      <c r="K4" s="4" t="s">
        <v>729</v>
      </c>
      <c r="L4" s="4" t="s">
        <v>736</v>
      </c>
      <c r="M4" s="9">
        <v>12</v>
      </c>
      <c r="N4" s="16">
        <f>ROUND(IF('Dashboard Visualization'!$U$3="",'Working Data'!$M4,'Working Data'!$M4*(100% +'Dashboard Visualization'!$U$3)),0)</f>
        <v>12</v>
      </c>
      <c r="O4" s="19">
        <v>1460.76</v>
      </c>
      <c r="P4" s="20">
        <f>IF('Dashboard Visualization'!$U$2="",'Working Data'!$O4*'Working Data'!$N4,'Working Data'!$O4*'Working Data'!$N4*(100%+'Dashboard Visualization'!$U$2))</f>
        <v>17529.12</v>
      </c>
      <c r="Q4" s="19">
        <v>-30.66</v>
      </c>
      <c r="R4" s="20">
        <f t="shared" si="4"/>
        <v>-26.643540000000002</v>
      </c>
      <c r="S4" s="11">
        <v>0.13100000000000001</v>
      </c>
      <c r="T4" s="22">
        <f>IF('Dashboard Visualization'!$U$1="",$S4,IF(S4&gt;'Dashboard Visualization'!$U$1,'Dashboard Visualization'!$U$1,S4))</f>
        <v>0.13100000000000001</v>
      </c>
      <c r="U4" s="20">
        <f t="shared" si="5"/>
        <v>-277.83883512</v>
      </c>
      <c r="V4" s="20">
        <f t="shared" si="6"/>
        <v>-17806.95883512</v>
      </c>
      <c r="W4" s="22">
        <f t="shared" si="2"/>
        <v>0</v>
      </c>
      <c r="X4" s="28" t="str">
        <f>TEXT(B4,"MMM-YYYY")</f>
        <v>Feb-2023</v>
      </c>
      <c r="Y4" s="7" t="str">
        <f t="shared" si="7"/>
        <v>Q1-2023</v>
      </c>
      <c r="Z4" s="7" t="str">
        <f t="shared" si="8"/>
        <v>Low Price</v>
      </c>
      <c r="AA4" s="7" t="str">
        <f t="shared" si="9"/>
        <v>Q1</v>
      </c>
      <c r="AB4" s="28" t="str">
        <f t="shared" si="10"/>
        <v>Feb</v>
      </c>
      <c r="AC4" s="28" t="str">
        <f t="shared" si="11"/>
        <v>2023</v>
      </c>
    </row>
    <row r="5" spans="1:29" x14ac:dyDescent="0.25">
      <c r="A5" s="4" t="s">
        <v>18</v>
      </c>
      <c r="B5" s="14">
        <v>45745</v>
      </c>
      <c r="C5" s="14">
        <v>45749</v>
      </c>
      <c r="D5" s="16">
        <f t="shared" si="3"/>
        <v>4</v>
      </c>
      <c r="E5" s="4" t="s">
        <v>646</v>
      </c>
      <c r="F5" s="4" t="s">
        <v>651</v>
      </c>
      <c r="G5" s="4" t="s">
        <v>665</v>
      </c>
      <c r="H5" s="4" t="s">
        <v>703</v>
      </c>
      <c r="I5" s="4" t="s">
        <v>709</v>
      </c>
      <c r="J5" s="4" t="s">
        <v>715</v>
      </c>
      <c r="K5" s="4" t="s">
        <v>730</v>
      </c>
      <c r="L5" s="4" t="s">
        <v>737</v>
      </c>
      <c r="M5" s="9">
        <v>22</v>
      </c>
      <c r="N5" s="16">
        <f>ROUND(IF('Dashboard Visualization'!$U$3="",'Working Data'!$M5,'Working Data'!$M5*(100% +'Dashboard Visualization'!$U$3)),0)</f>
        <v>22</v>
      </c>
      <c r="O5" s="19">
        <v>259.93</v>
      </c>
      <c r="P5" s="20">
        <f>IF('Dashboard Visualization'!$U$2="",'Working Data'!$O5*'Working Data'!$N5,'Working Data'!$O5*'Working Data'!$N5*(100%+'Dashboard Visualization'!$U$2))</f>
        <v>5718.46</v>
      </c>
      <c r="Q5" s="19">
        <v>255.94</v>
      </c>
      <c r="R5" s="20">
        <f t="shared" si="4"/>
        <v>237.51232000000002</v>
      </c>
      <c r="S5" s="11">
        <v>7.1999999999999995E-2</v>
      </c>
      <c r="T5" s="22">
        <f>IF('Dashboard Visualization'!$U$1="",$S5,IF(S5&gt;'Dashboard Visualization'!$U$1,'Dashboard Visualization'!$U$1,S5))</f>
        <v>7.1999999999999995E-2</v>
      </c>
      <c r="U5" s="20">
        <f t="shared" si="5"/>
        <v>4849.0515251200004</v>
      </c>
      <c r="V5" s="20">
        <f t="shared" si="6"/>
        <v>-869.40847487999963</v>
      </c>
      <c r="W5" s="22">
        <f t="shared" si="2"/>
        <v>0</v>
      </c>
      <c r="X5" s="28" t="str">
        <f>TEXT(B5,"MMM-YYYY")</f>
        <v>Mar-2025</v>
      </c>
      <c r="Y5" s="7" t="str">
        <f t="shared" si="7"/>
        <v>Q1-2025</v>
      </c>
      <c r="Z5" s="7" t="str">
        <f t="shared" si="8"/>
        <v>Low Price</v>
      </c>
      <c r="AA5" s="7" t="str">
        <f t="shared" si="9"/>
        <v>Q1</v>
      </c>
      <c r="AB5" s="28" t="str">
        <f t="shared" si="10"/>
        <v>Mar</v>
      </c>
      <c r="AC5" s="28" t="str">
        <f t="shared" si="11"/>
        <v>2025</v>
      </c>
    </row>
    <row r="6" spans="1:29" x14ac:dyDescent="0.25">
      <c r="A6" s="4" t="s">
        <v>19</v>
      </c>
      <c r="B6" s="14">
        <v>45266</v>
      </c>
      <c r="C6" s="14">
        <v>45291</v>
      </c>
      <c r="D6" s="16">
        <f t="shared" si="3"/>
        <v>25</v>
      </c>
      <c r="E6" s="4" t="s">
        <v>647</v>
      </c>
      <c r="F6" s="4" t="s">
        <v>652</v>
      </c>
      <c r="G6" s="4" t="s">
        <v>666</v>
      </c>
      <c r="H6" s="4" t="s">
        <v>704</v>
      </c>
      <c r="I6" s="4" t="s">
        <v>707</v>
      </c>
      <c r="J6" s="4" t="s">
        <v>716</v>
      </c>
      <c r="K6" s="4" t="s">
        <v>728</v>
      </c>
      <c r="L6" s="4" t="s">
        <v>738</v>
      </c>
      <c r="M6" s="9">
        <v>15</v>
      </c>
      <c r="N6" s="16">
        <f>ROUND(IF('Dashboard Visualization'!$U$3="",'Working Data'!$M6,'Working Data'!$M6*(100% +'Dashboard Visualization'!$U$3)),0)</f>
        <v>15</v>
      </c>
      <c r="O6" s="19">
        <v>663.03</v>
      </c>
      <c r="P6" s="20">
        <f>IF('Dashboard Visualization'!$U$2="",'Working Data'!$O6*'Working Data'!$N6,'Working Data'!$O6*'Working Data'!$N6*(100%+'Dashboard Visualization'!$U$2))</f>
        <v>9945.4499999999989</v>
      </c>
      <c r="Q6" s="19">
        <v>813.51</v>
      </c>
      <c r="R6" s="20">
        <f t="shared" si="4"/>
        <v>730.53197999999998</v>
      </c>
      <c r="S6" s="11">
        <v>0.10199999999999999</v>
      </c>
      <c r="T6" s="22">
        <f>IF('Dashboard Visualization'!$U$1="",$S6,IF(S6&gt;'Dashboard Visualization'!$U$1,'Dashboard Visualization'!$U$1,S6))</f>
        <v>0.10199999999999999</v>
      </c>
      <c r="U6" s="20">
        <f t="shared" si="5"/>
        <v>9840.2657705999991</v>
      </c>
      <c r="V6" s="20">
        <f t="shared" si="6"/>
        <v>-105.18422939999982</v>
      </c>
      <c r="W6" s="22">
        <f t="shared" si="2"/>
        <v>0</v>
      </c>
      <c r="X6" s="28" t="str">
        <f>TEXT(B6,"MMM-YYYY")</f>
        <v>Dec-2023</v>
      </c>
      <c r="Y6" s="7" t="str">
        <f t="shared" si="7"/>
        <v>Q4-2023</v>
      </c>
      <c r="Z6" s="7" t="str">
        <f t="shared" si="8"/>
        <v>High Price</v>
      </c>
      <c r="AA6" s="7" t="str">
        <f t="shared" si="9"/>
        <v>Q4</v>
      </c>
      <c r="AB6" s="28" t="str">
        <f t="shared" si="10"/>
        <v>Dec</v>
      </c>
      <c r="AC6" s="28" t="str">
        <f t="shared" si="11"/>
        <v>2023</v>
      </c>
    </row>
    <row r="7" spans="1:29" x14ac:dyDescent="0.25">
      <c r="A7" s="4" t="s">
        <v>20</v>
      </c>
      <c r="B7" s="14">
        <v>44928</v>
      </c>
      <c r="C7" s="14">
        <v>44931</v>
      </c>
      <c r="D7" s="16">
        <f t="shared" si="3"/>
        <v>3</v>
      </c>
      <c r="E7" s="4" t="s">
        <v>648</v>
      </c>
      <c r="F7" s="4" t="s">
        <v>653</v>
      </c>
      <c r="G7" s="4" t="s">
        <v>667</v>
      </c>
      <c r="H7" s="4" t="s">
        <v>701</v>
      </c>
      <c r="I7" s="4" t="s">
        <v>710</v>
      </c>
      <c r="J7" s="4" t="s">
        <v>717</v>
      </c>
      <c r="K7" s="4" t="s">
        <v>731</v>
      </c>
      <c r="L7" s="4" t="s">
        <v>739</v>
      </c>
      <c r="M7" s="9">
        <v>7</v>
      </c>
      <c r="N7" s="16">
        <f>ROUND(IF('Dashboard Visualization'!$U$3="",'Working Data'!$M7,'Working Data'!$M7*(100% +'Dashboard Visualization'!$U$3)),0)</f>
        <v>7</v>
      </c>
      <c r="O7" s="19">
        <v>315.87</v>
      </c>
      <c r="P7" s="20">
        <f>IF('Dashboard Visualization'!$U$2="",'Working Data'!$O7*'Working Data'!$N7,'Working Data'!$O7*'Working Data'!$N7*(100%+'Dashboard Visualization'!$U$2))</f>
        <v>2211.09</v>
      </c>
      <c r="Q7" s="19">
        <v>591.67999999999995</v>
      </c>
      <c r="R7" s="20">
        <f t="shared" si="4"/>
        <v>591.67999999999995</v>
      </c>
      <c r="S7" s="11">
        <v>0</v>
      </c>
      <c r="T7" s="22">
        <f>IF('Dashboard Visualization'!$U$1="",$S7,IF(S7&gt;'Dashboard Visualization'!$U$1,'Dashboard Visualization'!$U$1,S7))</f>
        <v>0</v>
      </c>
      <c r="U7" s="20">
        <f t="shared" si="5"/>
        <v>4141.7599999999993</v>
      </c>
      <c r="V7" s="20">
        <f t="shared" si="6"/>
        <v>1930.6699999999992</v>
      </c>
      <c r="W7" s="22">
        <f t="shared" si="2"/>
        <v>0.46614724175229844</v>
      </c>
      <c r="X7" s="28" t="str">
        <f>TEXT(B7,"MMM-YYYY")</f>
        <v>Jan-2023</v>
      </c>
      <c r="Y7" s="7" t="str">
        <f t="shared" si="7"/>
        <v>Q1-2023</v>
      </c>
      <c r="Z7" s="7" t="str">
        <f t="shared" si="8"/>
        <v>High Price</v>
      </c>
      <c r="AA7" s="7" t="str">
        <f t="shared" si="9"/>
        <v>Q1</v>
      </c>
      <c r="AB7" s="28" t="str">
        <f t="shared" si="10"/>
        <v>Jan</v>
      </c>
      <c r="AC7" s="28" t="str">
        <f t="shared" si="11"/>
        <v>2023</v>
      </c>
    </row>
    <row r="8" spans="1:29" x14ac:dyDescent="0.25">
      <c r="A8" s="4" t="s">
        <v>21</v>
      </c>
      <c r="B8" s="14">
        <v>45653</v>
      </c>
      <c r="C8" s="14">
        <v>45671</v>
      </c>
      <c r="D8" s="16">
        <f t="shared" si="3"/>
        <v>18</v>
      </c>
      <c r="E8" s="4" t="s">
        <v>647</v>
      </c>
      <c r="F8" s="4" t="s">
        <v>654</v>
      </c>
      <c r="G8" s="4" t="s">
        <v>668</v>
      </c>
      <c r="H8" s="4" t="s">
        <v>705</v>
      </c>
      <c r="I8" s="4" t="s">
        <v>709</v>
      </c>
      <c r="J8" s="4" t="s">
        <v>718</v>
      </c>
      <c r="K8" s="4" t="s">
        <v>732</v>
      </c>
      <c r="L8" s="4" t="s">
        <v>740</v>
      </c>
      <c r="M8" s="9">
        <v>4</v>
      </c>
      <c r="N8" s="16">
        <f>ROUND(IF('Dashboard Visualization'!$U$3="",'Working Data'!$M8,'Working Data'!$M8*(100% +'Dashboard Visualization'!$U$3)),0)</f>
        <v>4</v>
      </c>
      <c r="O8" s="19">
        <v>586.07000000000005</v>
      </c>
      <c r="P8" s="20">
        <f>IF('Dashboard Visualization'!$U$2="",'Working Data'!$O8*'Working Data'!$N8,'Working Data'!$O8*'Working Data'!$N8*(100%+'Dashboard Visualization'!$U$2))</f>
        <v>2344.2800000000002</v>
      </c>
      <c r="Q8" s="19">
        <v>845.97</v>
      </c>
      <c r="R8" s="20">
        <f t="shared" si="4"/>
        <v>721.61240999999995</v>
      </c>
      <c r="S8" s="11">
        <v>0.14699999999999999</v>
      </c>
      <c r="T8" s="22">
        <f>IF('Dashboard Visualization'!$U$1="",$S8,IF(S8&gt;'Dashboard Visualization'!$U$1,'Dashboard Visualization'!$U$1,S8))</f>
        <v>0.14699999999999999</v>
      </c>
      <c r="U8" s="20">
        <f t="shared" si="5"/>
        <v>2462.1415429199997</v>
      </c>
      <c r="V8" s="20">
        <f t="shared" si="6"/>
        <v>117.86154291999947</v>
      </c>
      <c r="W8" s="22">
        <f t="shared" si="2"/>
        <v>4.7869523691241762E-2</v>
      </c>
      <c r="X8" s="28" t="str">
        <f>TEXT(B8,"MMM-YYYY")</f>
        <v>Dec-2024</v>
      </c>
      <c r="Y8" s="7" t="str">
        <f t="shared" si="7"/>
        <v>Q4-2024</v>
      </c>
      <c r="Z8" s="7" t="str">
        <f t="shared" si="8"/>
        <v>High Price</v>
      </c>
      <c r="AA8" s="7" t="str">
        <f t="shared" si="9"/>
        <v>Q4</v>
      </c>
      <c r="AB8" s="28" t="str">
        <f t="shared" si="10"/>
        <v>Dec</v>
      </c>
      <c r="AC8" s="28" t="str">
        <f t="shared" si="11"/>
        <v>2024</v>
      </c>
    </row>
    <row r="9" spans="1:29" x14ac:dyDescent="0.25">
      <c r="A9" s="4" t="s">
        <v>22</v>
      </c>
      <c r="B9" s="14">
        <v>44941</v>
      </c>
      <c r="C9" s="14">
        <v>44939</v>
      </c>
      <c r="D9" s="16" t="str">
        <f t="shared" si="3"/>
        <v/>
      </c>
      <c r="E9" s="4" t="s">
        <v>646</v>
      </c>
      <c r="F9" s="4" t="s">
        <v>651</v>
      </c>
      <c r="G9" s="4" t="s">
        <v>669</v>
      </c>
      <c r="H9" s="4" t="s">
        <v>702</v>
      </c>
      <c r="I9" s="4" t="s">
        <v>708</v>
      </c>
      <c r="J9" s="4" t="s">
        <v>719</v>
      </c>
      <c r="K9" s="4" t="s">
        <v>728</v>
      </c>
      <c r="L9" s="4" t="s">
        <v>741</v>
      </c>
      <c r="M9" s="9">
        <v>18</v>
      </c>
      <c r="N9" s="16">
        <f>ROUND(IF('Dashboard Visualization'!$U$3="",'Working Data'!$M9,'Working Data'!$M9*(100% +'Dashboard Visualization'!$U$3)),0)</f>
        <v>18</v>
      </c>
      <c r="O9" s="19">
        <v>28.38</v>
      </c>
      <c r="P9" s="20">
        <f>IF('Dashboard Visualization'!$U$2="",'Working Data'!$O9*'Working Data'!$N9,'Working Data'!$O9*'Working Data'!$N9*(100%+'Dashboard Visualization'!$U$2))</f>
        <v>510.84</v>
      </c>
      <c r="Q9" s="19">
        <v>47.22</v>
      </c>
      <c r="R9" s="20">
        <f t="shared" si="4"/>
        <v>38.05932</v>
      </c>
      <c r="S9" s="11">
        <v>0.19400000000000001</v>
      </c>
      <c r="T9" s="22">
        <f>IF('Dashboard Visualization'!$U$1="",$S9,IF(S9&gt;'Dashboard Visualization'!$U$1,'Dashboard Visualization'!$U$1,S9))</f>
        <v>0.19400000000000001</v>
      </c>
      <c r="U9" s="20">
        <f t="shared" si="5"/>
        <v>552.16461456000002</v>
      </c>
      <c r="V9" s="20">
        <f t="shared" si="6"/>
        <v>41.324614560000043</v>
      </c>
      <c r="W9" s="22">
        <f t="shared" si="2"/>
        <v>7.4841113447536176E-2</v>
      </c>
      <c r="X9" s="28" t="str">
        <f>TEXT(B9,"MMM-YYYY")</f>
        <v>Jan-2023</v>
      </c>
      <c r="Y9" s="7" t="str">
        <f t="shared" si="7"/>
        <v>Q1-2023</v>
      </c>
      <c r="Z9" s="7" t="str">
        <f t="shared" si="8"/>
        <v>Low Price</v>
      </c>
      <c r="AA9" s="7" t="str">
        <f t="shared" si="9"/>
        <v>Q1</v>
      </c>
      <c r="AB9" s="28" t="str">
        <f t="shared" si="10"/>
        <v>Jan</v>
      </c>
      <c r="AC9" s="28" t="str">
        <f t="shared" si="11"/>
        <v>2023</v>
      </c>
    </row>
    <row r="10" spans="1:29" x14ac:dyDescent="0.25">
      <c r="A10" s="4" t="s">
        <v>23</v>
      </c>
      <c r="B10" s="14">
        <v>45416</v>
      </c>
      <c r="C10" s="14">
        <v>45441</v>
      </c>
      <c r="D10" s="16">
        <f t="shared" si="3"/>
        <v>25</v>
      </c>
      <c r="E10" s="4" t="s">
        <v>646</v>
      </c>
      <c r="F10" s="4" t="s">
        <v>651</v>
      </c>
      <c r="G10" s="4" t="s">
        <v>669</v>
      </c>
      <c r="H10" s="4" t="s">
        <v>703</v>
      </c>
      <c r="I10" s="4" t="s">
        <v>709</v>
      </c>
      <c r="J10" s="4" t="s">
        <v>719</v>
      </c>
      <c r="K10" s="4" t="s">
        <v>732</v>
      </c>
      <c r="L10" s="4" t="s">
        <v>742</v>
      </c>
      <c r="M10" s="9">
        <v>6</v>
      </c>
      <c r="N10" s="16">
        <f>ROUND(IF('Dashboard Visualization'!$U$3="",'Working Data'!$M10,'Working Data'!$M10*(100% +'Dashboard Visualization'!$U$3)),0)</f>
        <v>6</v>
      </c>
      <c r="O10" s="19">
        <v>1295.3399999999999</v>
      </c>
      <c r="P10" s="20">
        <f>IF('Dashboard Visualization'!$U$2="",'Working Data'!$O10*'Working Data'!$N10,'Working Data'!$O10*'Working Data'!$N10*(100%+'Dashboard Visualization'!$U$2))</f>
        <v>7772.0399999999991</v>
      </c>
      <c r="Q10" s="19">
        <v>2530.81</v>
      </c>
      <c r="R10" s="20">
        <f t="shared" si="4"/>
        <v>2452.3548900000001</v>
      </c>
      <c r="S10" s="11">
        <v>3.1E-2</v>
      </c>
      <c r="T10" s="22">
        <f>IF('Dashboard Visualization'!$U$1="",$S10,IF(S10&gt;'Dashboard Visualization'!$U$1,'Dashboard Visualization'!$U$1,S10))</f>
        <v>3.1E-2</v>
      </c>
      <c r="U10" s="20">
        <f t="shared" si="5"/>
        <v>14257.99133046</v>
      </c>
      <c r="V10" s="20">
        <f t="shared" si="6"/>
        <v>6485.9513304600005</v>
      </c>
      <c r="W10" s="22">
        <f t="shared" si="2"/>
        <v>0.45489937398150648</v>
      </c>
      <c r="X10" s="28" t="str">
        <f>TEXT(B10,"MMM-YYYY")</f>
        <v>May-2024</v>
      </c>
      <c r="Y10" s="7" t="str">
        <f t="shared" si="7"/>
        <v>Q2-2024</v>
      </c>
      <c r="Z10" s="7" t="str">
        <f t="shared" si="8"/>
        <v>Medium Price</v>
      </c>
      <c r="AA10" s="7" t="str">
        <f t="shared" si="9"/>
        <v>Q2</v>
      </c>
      <c r="AB10" s="28" t="str">
        <f t="shared" si="10"/>
        <v>May</v>
      </c>
      <c r="AC10" s="28" t="str">
        <f t="shared" si="11"/>
        <v>2024</v>
      </c>
    </row>
    <row r="11" spans="1:29" x14ac:dyDescent="0.25">
      <c r="A11" s="4" t="s">
        <v>24</v>
      </c>
      <c r="B11" s="14">
        <v>45798</v>
      </c>
      <c r="C11" s="14">
        <v>45817</v>
      </c>
      <c r="D11" s="16">
        <f t="shared" si="3"/>
        <v>19</v>
      </c>
      <c r="E11" s="4" t="s">
        <v>648</v>
      </c>
      <c r="F11" s="4" t="s">
        <v>655</v>
      </c>
      <c r="G11" s="4" t="s">
        <v>670</v>
      </c>
      <c r="H11" s="4" t="s">
        <v>703</v>
      </c>
      <c r="I11" s="4" t="s">
        <v>708</v>
      </c>
      <c r="J11" s="4" t="s">
        <v>720</v>
      </c>
      <c r="K11" s="4" t="s">
        <v>727</v>
      </c>
      <c r="L11" s="4" t="s">
        <v>743</v>
      </c>
      <c r="M11" s="9">
        <v>31</v>
      </c>
      <c r="N11" s="16">
        <f>ROUND(IF('Dashboard Visualization'!$U$3="",'Working Data'!$M11,'Working Data'!$M11*(100% +'Dashboard Visualization'!$U$3)),0)</f>
        <v>31</v>
      </c>
      <c r="O11" s="19">
        <v>1331.38</v>
      </c>
      <c r="P11" s="20">
        <f>IF('Dashboard Visualization'!$U$2="",'Working Data'!$O11*'Working Data'!$N11,'Working Data'!$O11*'Working Data'!$N11*(100%+'Dashboard Visualization'!$U$2))</f>
        <v>41272.780000000006</v>
      </c>
      <c r="Q11" s="19">
        <v>2309.56</v>
      </c>
      <c r="R11" s="20">
        <f t="shared" si="4"/>
        <v>1965.4355599999999</v>
      </c>
      <c r="S11" s="11">
        <v>0.14899999999999999</v>
      </c>
      <c r="T11" s="22">
        <f>IF('Dashboard Visualization'!$U$1="",$S11,IF(S11&gt;'Dashboard Visualization'!$U$1,'Dashboard Visualization'!$U$1,S11))</f>
        <v>0.14899999999999999</v>
      </c>
      <c r="U11" s="20">
        <f t="shared" si="5"/>
        <v>51850.155508359996</v>
      </c>
      <c r="V11" s="20">
        <f t="shared" si="6"/>
        <v>10577.37550835999</v>
      </c>
      <c r="W11" s="22">
        <f t="shared" si="2"/>
        <v>0.20399891581143975</v>
      </c>
      <c r="X11" s="28" t="str">
        <f>TEXT(B11,"MMM-YYYY")</f>
        <v>May-2025</v>
      </c>
      <c r="Y11" s="7" t="str">
        <f t="shared" si="7"/>
        <v>Q2-2025</v>
      </c>
      <c r="Z11" s="7" t="str">
        <f t="shared" si="8"/>
        <v>Medium Price</v>
      </c>
      <c r="AA11" s="7" t="str">
        <f t="shared" si="9"/>
        <v>Q2</v>
      </c>
      <c r="AB11" s="28" t="str">
        <f t="shared" si="10"/>
        <v>May</v>
      </c>
      <c r="AC11" s="28" t="str">
        <f t="shared" si="11"/>
        <v>2025</v>
      </c>
    </row>
    <row r="12" spans="1:29" x14ac:dyDescent="0.25">
      <c r="A12" s="4" t="s">
        <v>25</v>
      </c>
      <c r="B12" s="14">
        <v>45319</v>
      </c>
      <c r="C12" s="14">
        <v>45331</v>
      </c>
      <c r="D12" s="16">
        <f t="shared" si="3"/>
        <v>12</v>
      </c>
      <c r="E12" s="4" t="s">
        <v>649</v>
      </c>
      <c r="F12" s="4" t="s">
        <v>656</v>
      </c>
      <c r="G12" s="4" t="s">
        <v>671</v>
      </c>
      <c r="H12" s="4" t="s">
        <v>701</v>
      </c>
      <c r="I12" s="4" t="s">
        <v>708</v>
      </c>
      <c r="J12" s="4" t="s">
        <v>715</v>
      </c>
      <c r="K12" s="4" t="s">
        <v>733</v>
      </c>
      <c r="L12" s="4" t="s">
        <v>744</v>
      </c>
      <c r="M12" s="9">
        <v>23</v>
      </c>
      <c r="N12" s="16">
        <f>ROUND(IF('Dashboard Visualization'!$U$3="",'Working Data'!$M12,'Working Data'!$M12*(100% +'Dashboard Visualization'!$U$3)),0)</f>
        <v>23</v>
      </c>
      <c r="O12" s="19">
        <v>644.16999999999996</v>
      </c>
      <c r="P12" s="20">
        <f>IF('Dashboard Visualization'!$U$2="",'Working Data'!$O12*'Working Data'!$N12,'Working Data'!$O12*'Working Data'!$N12*(100%+'Dashboard Visualization'!$U$2))</f>
        <v>14815.91</v>
      </c>
      <c r="Q12" s="19">
        <v>700.12</v>
      </c>
      <c r="R12" s="20">
        <f t="shared" si="4"/>
        <v>695.91927999999996</v>
      </c>
      <c r="S12" s="11">
        <v>6.0000000000000001E-3</v>
      </c>
      <c r="T12" s="22">
        <f>IF('Dashboard Visualization'!$U$1="",$S12,IF(S12&gt;'Dashboard Visualization'!$U$1,'Dashboard Visualization'!$U$1,S12))</f>
        <v>6.0000000000000001E-3</v>
      </c>
      <c r="U12" s="20">
        <f t="shared" si="5"/>
        <v>15910.106579359999</v>
      </c>
      <c r="V12" s="20">
        <f t="shared" si="6"/>
        <v>1094.1965793599993</v>
      </c>
      <c r="W12" s="22">
        <f t="shared" si="2"/>
        <v>6.8773680044324034E-2</v>
      </c>
      <c r="X12" s="28" t="str">
        <f>TEXT(B12,"MMM-YYYY")</f>
        <v>Jan-2024</v>
      </c>
      <c r="Y12" s="7" t="str">
        <f t="shared" si="7"/>
        <v>Q1-2024</v>
      </c>
      <c r="Z12" s="7" t="str">
        <f t="shared" si="8"/>
        <v>High Price</v>
      </c>
      <c r="AA12" s="7" t="str">
        <f t="shared" si="9"/>
        <v>Q1</v>
      </c>
      <c r="AB12" s="28" t="str">
        <f t="shared" si="10"/>
        <v>Jan</v>
      </c>
      <c r="AC12" s="28" t="str">
        <f t="shared" si="11"/>
        <v>2024</v>
      </c>
    </row>
    <row r="13" spans="1:29" x14ac:dyDescent="0.25">
      <c r="A13" s="4" t="s">
        <v>26</v>
      </c>
      <c r="B13" s="14">
        <v>45660</v>
      </c>
      <c r="C13" s="14">
        <v>45680</v>
      </c>
      <c r="D13" s="16">
        <f t="shared" si="3"/>
        <v>20</v>
      </c>
      <c r="E13" s="4" t="s">
        <v>647</v>
      </c>
      <c r="F13" s="4" t="s">
        <v>652</v>
      </c>
      <c r="G13" s="4" t="s">
        <v>666</v>
      </c>
      <c r="H13" s="4" t="s">
        <v>701</v>
      </c>
      <c r="I13" s="4" t="s">
        <v>710</v>
      </c>
      <c r="J13" s="4" t="s">
        <v>721</v>
      </c>
      <c r="K13" s="4" t="s">
        <v>730</v>
      </c>
      <c r="L13" s="4" t="s">
        <v>745</v>
      </c>
      <c r="M13" s="9">
        <v>20</v>
      </c>
      <c r="N13" s="16">
        <f>ROUND(IF('Dashboard Visualization'!$U$3="",'Working Data'!$M13,'Working Data'!$M13*(100% +'Dashboard Visualization'!$U$3)),0)</f>
        <v>20</v>
      </c>
      <c r="O13" s="19">
        <v>908.6</v>
      </c>
      <c r="P13" s="20">
        <f>IF('Dashboard Visualization'!$U$2="",'Working Data'!$O13*'Working Data'!$N13,'Working Data'!$O13*'Working Data'!$N13*(100%+'Dashboard Visualization'!$U$2))</f>
        <v>18172</v>
      </c>
      <c r="Q13" s="19">
        <v>691.37</v>
      </c>
      <c r="R13" s="20">
        <f t="shared" si="4"/>
        <v>518.52750000000003</v>
      </c>
      <c r="S13" s="11">
        <v>0.25</v>
      </c>
      <c r="T13" s="22">
        <f>IF('Dashboard Visualization'!$U$1="",$S13,IF(S13&gt;'Dashboard Visualization'!$U$1,'Dashboard Visualization'!$U$1,S13))</f>
        <v>0.25</v>
      </c>
      <c r="U13" s="20">
        <f t="shared" si="5"/>
        <v>7777.9125000000004</v>
      </c>
      <c r="V13" s="20">
        <f t="shared" si="6"/>
        <v>-10394.0875</v>
      </c>
      <c r="W13" s="22">
        <f t="shared" si="2"/>
        <v>0</v>
      </c>
      <c r="X13" s="28" t="str">
        <f>TEXT(B13,"MMM-YYYY")</f>
        <v>Jan-2025</v>
      </c>
      <c r="Y13" s="7" t="str">
        <f t="shared" si="7"/>
        <v>Q1-2025</v>
      </c>
      <c r="Z13" s="7" t="str">
        <f t="shared" si="8"/>
        <v>Low Price</v>
      </c>
      <c r="AA13" s="7" t="str">
        <f t="shared" si="9"/>
        <v>Q1</v>
      </c>
      <c r="AB13" s="28" t="str">
        <f t="shared" si="10"/>
        <v>Jan</v>
      </c>
      <c r="AC13" s="28" t="str">
        <f t="shared" si="11"/>
        <v>2025</v>
      </c>
    </row>
    <row r="14" spans="1:29" x14ac:dyDescent="0.25">
      <c r="A14" s="4" t="s">
        <v>27</v>
      </c>
      <c r="B14" s="14">
        <v>45722</v>
      </c>
      <c r="C14" s="14">
        <v>45747</v>
      </c>
      <c r="D14" s="16">
        <f t="shared" si="3"/>
        <v>25</v>
      </c>
      <c r="E14" s="4" t="s">
        <v>648</v>
      </c>
      <c r="F14" s="4" t="s">
        <v>655</v>
      </c>
      <c r="G14" s="4" t="s">
        <v>672</v>
      </c>
      <c r="H14" s="4" t="s">
        <v>703</v>
      </c>
      <c r="I14" s="4" t="s">
        <v>708</v>
      </c>
      <c r="J14" s="4" t="s">
        <v>713</v>
      </c>
      <c r="K14" s="4" t="s">
        <v>727</v>
      </c>
      <c r="L14" s="4" t="s">
        <v>746</v>
      </c>
      <c r="M14" s="9">
        <v>10</v>
      </c>
      <c r="N14" s="16">
        <f>ROUND(IF('Dashboard Visualization'!$U$3="",'Working Data'!$M14,'Working Data'!$M14*(100% +'Dashboard Visualization'!$U$3)),0)</f>
        <v>10</v>
      </c>
      <c r="O14" s="19">
        <v>331.57</v>
      </c>
      <c r="P14" s="20">
        <f>IF('Dashboard Visualization'!$U$2="",'Working Data'!$O14*'Working Data'!$N14,'Working Data'!$O14*'Working Data'!$N14*(100%+'Dashboard Visualization'!$U$2))</f>
        <v>3315.7</v>
      </c>
      <c r="Q14" s="19">
        <v>548.4</v>
      </c>
      <c r="R14" s="20">
        <f t="shared" si="4"/>
        <v>496.85039999999998</v>
      </c>
      <c r="S14" s="11">
        <v>9.4E-2</v>
      </c>
      <c r="T14" s="22">
        <f>IF('Dashboard Visualization'!$U$1="",$S14,IF(S14&gt;'Dashboard Visualization'!$U$1,'Dashboard Visualization'!$U$1,S14))</f>
        <v>9.4E-2</v>
      </c>
      <c r="U14" s="20">
        <f t="shared" si="5"/>
        <v>4501.4646240000002</v>
      </c>
      <c r="V14" s="20">
        <f t="shared" si="6"/>
        <v>1185.7646240000004</v>
      </c>
      <c r="W14" s="22">
        <f t="shared" si="2"/>
        <v>0.26341751475241637</v>
      </c>
      <c r="X14" s="28" t="str">
        <f>TEXT(B14,"MMM-YYYY")</f>
        <v>Mar-2025</v>
      </c>
      <c r="Y14" s="7" t="str">
        <f t="shared" si="7"/>
        <v>Q1-2025</v>
      </c>
      <c r="Z14" s="7" t="str">
        <f t="shared" si="8"/>
        <v>Low Price</v>
      </c>
      <c r="AA14" s="7" t="str">
        <f t="shared" si="9"/>
        <v>Q1</v>
      </c>
      <c r="AB14" s="28" t="str">
        <f t="shared" si="10"/>
        <v>Mar</v>
      </c>
      <c r="AC14" s="28" t="str">
        <f t="shared" si="11"/>
        <v>2025</v>
      </c>
    </row>
    <row r="15" spans="1:29" x14ac:dyDescent="0.25">
      <c r="A15" s="4" t="s">
        <v>28</v>
      </c>
      <c r="B15" s="14">
        <v>45311</v>
      </c>
      <c r="C15" s="14">
        <v>45335</v>
      </c>
      <c r="D15" s="16">
        <f t="shared" si="3"/>
        <v>24</v>
      </c>
      <c r="E15" s="4" t="s">
        <v>649</v>
      </c>
      <c r="F15" s="4" t="s">
        <v>657</v>
      </c>
      <c r="G15" s="4" t="s">
        <v>673</v>
      </c>
      <c r="H15" s="4" t="s">
        <v>701</v>
      </c>
      <c r="I15" s="4" t="s">
        <v>707</v>
      </c>
      <c r="J15" s="4" t="s">
        <v>722</v>
      </c>
      <c r="K15" s="4" t="s">
        <v>728</v>
      </c>
      <c r="L15" s="4" t="s">
        <v>747</v>
      </c>
      <c r="M15" s="9">
        <v>15</v>
      </c>
      <c r="N15" s="16">
        <f>ROUND(IF('Dashboard Visualization'!$U$3="",'Working Data'!$M15,'Working Data'!$M15*(100% +'Dashboard Visualization'!$U$3)),0)</f>
        <v>15</v>
      </c>
      <c r="O15" s="19">
        <v>643.53</v>
      </c>
      <c r="P15" s="20">
        <f>IF('Dashboard Visualization'!$U$2="",'Working Data'!$O15*'Working Data'!$N15,'Working Data'!$O15*'Working Data'!$N15*(100%+'Dashboard Visualization'!$U$2))</f>
        <v>9652.9499999999989</v>
      </c>
      <c r="Q15" s="19">
        <v>1439.01</v>
      </c>
      <c r="R15" s="20">
        <f t="shared" si="4"/>
        <v>1439.01</v>
      </c>
      <c r="S15" s="11">
        <v>0</v>
      </c>
      <c r="T15" s="22">
        <f>IF('Dashboard Visualization'!$U$1="",$S15,IF(S15&gt;'Dashboard Visualization'!$U$1,'Dashboard Visualization'!$U$1,S15))</f>
        <v>0</v>
      </c>
      <c r="U15" s="20">
        <f t="shared" si="5"/>
        <v>21585.15</v>
      </c>
      <c r="V15" s="20">
        <f t="shared" si="6"/>
        <v>11932.200000000003</v>
      </c>
      <c r="W15" s="22">
        <f t="shared" si="2"/>
        <v>0.55279671440782208</v>
      </c>
      <c r="X15" s="28" t="str">
        <f>TEXT(B15,"MMM-YYYY")</f>
        <v>Jan-2024</v>
      </c>
      <c r="Y15" s="7" t="str">
        <f t="shared" si="7"/>
        <v>Q1-2024</v>
      </c>
      <c r="Z15" s="7" t="str">
        <f t="shared" si="8"/>
        <v>High Price</v>
      </c>
      <c r="AA15" s="7" t="str">
        <f t="shared" si="9"/>
        <v>Q1</v>
      </c>
      <c r="AB15" s="28" t="str">
        <f t="shared" si="10"/>
        <v>Jan</v>
      </c>
      <c r="AC15" s="28" t="str">
        <f t="shared" si="11"/>
        <v>2024</v>
      </c>
    </row>
    <row r="16" spans="1:29" x14ac:dyDescent="0.25">
      <c r="A16" s="4" t="s">
        <v>29</v>
      </c>
      <c r="B16" s="14">
        <v>45901</v>
      </c>
      <c r="C16" s="14">
        <v>45930</v>
      </c>
      <c r="D16" s="16">
        <f t="shared" si="3"/>
        <v>29</v>
      </c>
      <c r="E16" s="4" t="s">
        <v>648</v>
      </c>
      <c r="F16" s="4" t="s">
        <v>655</v>
      </c>
      <c r="G16" s="4" t="s">
        <v>672</v>
      </c>
      <c r="H16" s="4" t="s">
        <v>702</v>
      </c>
      <c r="I16" s="4" t="s">
        <v>707</v>
      </c>
      <c r="J16" s="4" t="s">
        <v>723</v>
      </c>
      <c r="K16" s="4" t="s">
        <v>733</v>
      </c>
      <c r="L16" s="4" t="s">
        <v>748</v>
      </c>
      <c r="M16" s="9">
        <v>12</v>
      </c>
      <c r="N16" s="16">
        <f>ROUND(IF('Dashboard Visualization'!$U$3="",'Working Data'!$M16,'Working Data'!$M16*(100% +'Dashboard Visualization'!$U$3)),0)</f>
        <v>12</v>
      </c>
      <c r="O16" s="19">
        <v>780.59</v>
      </c>
      <c r="P16" s="20">
        <f>IF('Dashboard Visualization'!$U$2="",'Working Data'!$O16*'Working Data'!$N16,'Working Data'!$O16*'Working Data'!$N16*(100%+'Dashboard Visualization'!$U$2))</f>
        <v>9367.08</v>
      </c>
      <c r="Q16" s="19">
        <v>631.57000000000005</v>
      </c>
      <c r="R16" s="20">
        <f t="shared" si="4"/>
        <v>631.57000000000005</v>
      </c>
      <c r="S16" s="11">
        <v>0</v>
      </c>
      <c r="T16" s="22">
        <f>IF('Dashboard Visualization'!$U$1="",$S16,IF(S16&gt;'Dashboard Visualization'!$U$1,'Dashboard Visualization'!$U$1,S16))</f>
        <v>0</v>
      </c>
      <c r="U16" s="20">
        <f t="shared" si="5"/>
        <v>7578.84</v>
      </c>
      <c r="V16" s="20">
        <f t="shared" si="6"/>
        <v>-1788.2399999999998</v>
      </c>
      <c r="W16" s="22">
        <f t="shared" si="2"/>
        <v>0</v>
      </c>
      <c r="X16" s="28" t="str">
        <f>TEXT(B16,"MMM-YYYY")</f>
        <v>Sep-2025</v>
      </c>
      <c r="Y16" s="7" t="str">
        <f t="shared" si="7"/>
        <v>Q3-2025</v>
      </c>
      <c r="Z16" s="7" t="str">
        <f t="shared" si="8"/>
        <v>High Price</v>
      </c>
      <c r="AA16" s="7" t="str">
        <f t="shared" si="9"/>
        <v>Q3</v>
      </c>
      <c r="AB16" s="28" t="str">
        <f t="shared" si="10"/>
        <v>Sep</v>
      </c>
      <c r="AC16" s="28" t="str">
        <f t="shared" si="11"/>
        <v>2025</v>
      </c>
    </row>
    <row r="17" spans="1:29" x14ac:dyDescent="0.25">
      <c r="A17" s="4" t="s">
        <v>30</v>
      </c>
      <c r="B17" s="14">
        <v>45039</v>
      </c>
      <c r="C17" s="14">
        <v>45038</v>
      </c>
      <c r="D17" s="16" t="str">
        <f t="shared" si="3"/>
        <v/>
      </c>
      <c r="E17" s="4" t="s">
        <v>646</v>
      </c>
      <c r="F17" s="4" t="s">
        <v>650</v>
      </c>
      <c r="G17" s="4" t="s">
        <v>664</v>
      </c>
      <c r="H17" s="4" t="s">
        <v>705</v>
      </c>
      <c r="I17" s="4" t="s">
        <v>711</v>
      </c>
      <c r="J17" s="4" t="s">
        <v>718</v>
      </c>
      <c r="K17" s="4" t="s">
        <v>731</v>
      </c>
      <c r="L17" s="4" t="s">
        <v>749</v>
      </c>
      <c r="M17" s="9">
        <v>9</v>
      </c>
      <c r="N17" s="16">
        <f>ROUND(IF('Dashboard Visualization'!$U$3="",'Working Data'!$M17,'Working Data'!$M17*(100% +'Dashboard Visualization'!$U$3)),0)</f>
        <v>9</v>
      </c>
      <c r="O17" s="19">
        <v>756.51</v>
      </c>
      <c r="P17" s="20">
        <f>IF('Dashboard Visualization'!$U$2="",'Working Data'!$O17*'Working Data'!$N17,'Working Data'!$O17*'Working Data'!$N17*(100%+'Dashboard Visualization'!$U$2))</f>
        <v>6808.59</v>
      </c>
      <c r="Q17" s="19">
        <v>850.8</v>
      </c>
      <c r="R17" s="20">
        <f t="shared" si="4"/>
        <v>787.84079999999994</v>
      </c>
      <c r="S17" s="11">
        <v>7.3999999999999996E-2</v>
      </c>
      <c r="T17" s="22">
        <f>IF('Dashboard Visualization'!$U$1="",$S17,IF(S17&gt;'Dashboard Visualization'!$U$1,'Dashboard Visualization'!$U$1,S17))</f>
        <v>7.3999999999999996E-2</v>
      </c>
      <c r="U17" s="20">
        <f t="shared" si="5"/>
        <v>6565.865227199999</v>
      </c>
      <c r="V17" s="20">
        <f t="shared" si="6"/>
        <v>-242.72477280000112</v>
      </c>
      <c r="W17" s="22">
        <f t="shared" si="2"/>
        <v>0</v>
      </c>
      <c r="X17" s="28" t="str">
        <f>TEXT(B17,"MMM-YYYY")</f>
        <v>Apr-2023</v>
      </c>
      <c r="Y17" s="7" t="str">
        <f t="shared" si="7"/>
        <v>Q2-2023</v>
      </c>
      <c r="Z17" s="7" t="str">
        <f t="shared" si="8"/>
        <v>High Price</v>
      </c>
      <c r="AA17" s="7" t="str">
        <f t="shared" si="9"/>
        <v>Q2</v>
      </c>
      <c r="AB17" s="28" t="str">
        <f t="shared" si="10"/>
        <v>Apr</v>
      </c>
      <c r="AC17" s="28" t="str">
        <f t="shared" si="11"/>
        <v>2023</v>
      </c>
    </row>
    <row r="18" spans="1:29" x14ac:dyDescent="0.25">
      <c r="A18" s="4" t="s">
        <v>31</v>
      </c>
      <c r="B18" s="14">
        <v>45636</v>
      </c>
      <c r="C18" s="14">
        <v>45665</v>
      </c>
      <c r="D18" s="16">
        <f t="shared" si="3"/>
        <v>29</v>
      </c>
      <c r="E18" s="4" t="s">
        <v>649</v>
      </c>
      <c r="F18" s="4" t="s">
        <v>657</v>
      </c>
      <c r="G18" s="4" t="s">
        <v>673</v>
      </c>
      <c r="H18" s="4" t="s">
        <v>705</v>
      </c>
      <c r="I18" s="4" t="s">
        <v>707</v>
      </c>
      <c r="J18" s="4" t="s">
        <v>723</v>
      </c>
      <c r="K18" s="4" t="s">
        <v>728</v>
      </c>
      <c r="L18" s="4" t="s">
        <v>750</v>
      </c>
      <c r="M18" s="9">
        <v>28</v>
      </c>
      <c r="N18" s="16">
        <f>ROUND(IF('Dashboard Visualization'!$U$3="",'Working Data'!$M18,'Working Data'!$M18*(100% +'Dashboard Visualization'!$U$3)),0)</f>
        <v>28</v>
      </c>
      <c r="O18" s="19">
        <v>891.08</v>
      </c>
      <c r="P18" s="20">
        <f>IF('Dashboard Visualization'!$U$2="",'Working Data'!$O18*'Working Data'!$N18,'Working Data'!$O18*'Working Data'!$N18*(100%+'Dashboard Visualization'!$U$2))</f>
        <v>24950.240000000002</v>
      </c>
      <c r="Q18" s="19">
        <v>1040.0999999999999</v>
      </c>
      <c r="R18" s="20">
        <f t="shared" si="4"/>
        <v>926.7290999999999</v>
      </c>
      <c r="S18" s="11">
        <v>0.109</v>
      </c>
      <c r="T18" s="22">
        <f>IF('Dashboard Visualization'!$U$1="",$S18,IF(S18&gt;'Dashboard Visualization'!$U$1,'Dashboard Visualization'!$U$1,S18))</f>
        <v>0.109</v>
      </c>
      <c r="U18" s="20">
        <f t="shared" si="5"/>
        <v>23120.037586799997</v>
      </c>
      <c r="V18" s="20">
        <f t="shared" si="6"/>
        <v>-1830.2024132000042</v>
      </c>
      <c r="W18" s="22">
        <f t="shared" si="2"/>
        <v>0</v>
      </c>
      <c r="X18" s="28" t="str">
        <f>TEXT(B18,"MMM-YYYY")</f>
        <v>Dec-2024</v>
      </c>
      <c r="Y18" s="7" t="str">
        <f t="shared" si="7"/>
        <v>Q4-2024</v>
      </c>
      <c r="Z18" s="7" t="str">
        <f t="shared" si="8"/>
        <v>High Price</v>
      </c>
      <c r="AA18" s="7" t="str">
        <f t="shared" si="9"/>
        <v>Q4</v>
      </c>
      <c r="AB18" s="28" t="str">
        <f t="shared" si="10"/>
        <v>Dec</v>
      </c>
      <c r="AC18" s="28" t="str">
        <f t="shared" si="11"/>
        <v>2024</v>
      </c>
    </row>
    <row r="19" spans="1:29" x14ac:dyDescent="0.25">
      <c r="A19" s="4" t="s">
        <v>32</v>
      </c>
      <c r="B19" s="14">
        <v>45908</v>
      </c>
      <c r="C19" s="14">
        <v>45916</v>
      </c>
      <c r="D19" s="16">
        <f t="shared" si="3"/>
        <v>8</v>
      </c>
      <c r="E19" s="4" t="s">
        <v>647</v>
      </c>
      <c r="F19" s="4" t="s">
        <v>652</v>
      </c>
      <c r="G19" s="4" t="s">
        <v>666</v>
      </c>
      <c r="H19" s="4" t="s">
        <v>701</v>
      </c>
      <c r="I19" s="4" t="s">
        <v>710</v>
      </c>
      <c r="J19" s="4" t="s">
        <v>712</v>
      </c>
      <c r="K19" s="4" t="s">
        <v>730</v>
      </c>
      <c r="L19" s="4" t="s">
        <v>751</v>
      </c>
      <c r="M19" s="9">
        <v>16</v>
      </c>
      <c r="N19" s="16">
        <f>ROUND(IF('Dashboard Visualization'!$U$3="",'Working Data'!$M19,'Working Data'!$M19*(100% +'Dashboard Visualization'!$U$3)),0)</f>
        <v>16</v>
      </c>
      <c r="O19" s="19">
        <v>1225.57</v>
      </c>
      <c r="P19" s="20">
        <f>IF('Dashboard Visualization'!$U$2="",'Working Data'!$O19*'Working Data'!$N19,'Working Data'!$O19*'Working Data'!$N19*(100%+'Dashboard Visualization'!$U$2))</f>
        <v>19609.12</v>
      </c>
      <c r="Q19" s="19">
        <v>2705.57</v>
      </c>
      <c r="R19" s="20">
        <f t="shared" si="4"/>
        <v>2210.4506900000001</v>
      </c>
      <c r="S19" s="11">
        <v>0.183</v>
      </c>
      <c r="T19" s="22">
        <f>IF('Dashboard Visualization'!$U$1="",$S19,IF(S19&gt;'Dashboard Visualization'!$U$1,'Dashboard Visualization'!$U$1,S19))</f>
        <v>0.183</v>
      </c>
      <c r="U19" s="20">
        <f t="shared" si="5"/>
        <v>28895.011419679999</v>
      </c>
      <c r="V19" s="20">
        <f t="shared" si="6"/>
        <v>9285.8914196799997</v>
      </c>
      <c r="W19" s="22">
        <f t="shared" si="2"/>
        <v>0.32136659455879313</v>
      </c>
      <c r="X19" s="28" t="str">
        <f>TEXT(B19,"MMM-YYYY")</f>
        <v>Sep-2025</v>
      </c>
      <c r="Y19" s="7" t="str">
        <f t="shared" si="7"/>
        <v>Q3-2025</v>
      </c>
      <c r="Z19" s="7" t="str">
        <f t="shared" si="8"/>
        <v>Medium Price</v>
      </c>
      <c r="AA19" s="7" t="str">
        <f t="shared" si="9"/>
        <v>Q3</v>
      </c>
      <c r="AB19" s="28" t="str">
        <f t="shared" si="10"/>
        <v>Sep</v>
      </c>
      <c r="AC19" s="28" t="str">
        <f t="shared" si="11"/>
        <v>2025</v>
      </c>
    </row>
    <row r="20" spans="1:29" x14ac:dyDescent="0.25">
      <c r="A20" s="4" t="s">
        <v>33</v>
      </c>
      <c r="B20" s="14">
        <v>45858</v>
      </c>
      <c r="C20" s="14">
        <v>45874</v>
      </c>
      <c r="D20" s="16">
        <f t="shared" si="3"/>
        <v>16</v>
      </c>
      <c r="E20" s="4" t="s">
        <v>648</v>
      </c>
      <c r="F20" s="4" t="s">
        <v>655</v>
      </c>
      <c r="G20" s="4" t="s">
        <v>672</v>
      </c>
      <c r="H20" s="4" t="s">
        <v>706</v>
      </c>
      <c r="I20" s="4" t="s">
        <v>709</v>
      </c>
      <c r="J20" s="4" t="s">
        <v>715</v>
      </c>
      <c r="K20" s="4" t="s">
        <v>733</v>
      </c>
      <c r="L20" s="4" t="s">
        <v>752</v>
      </c>
      <c r="M20" s="9">
        <v>18</v>
      </c>
      <c r="N20" s="16">
        <f>ROUND(IF('Dashboard Visualization'!$U$3="",'Working Data'!$M20,'Working Data'!$M20*(100% +'Dashboard Visualization'!$U$3)),0)</f>
        <v>18</v>
      </c>
      <c r="O20" s="19">
        <v>1068.17</v>
      </c>
      <c r="P20" s="20">
        <f>IF('Dashboard Visualization'!$U$2="",'Working Data'!$O20*'Working Data'!$N20,'Working Data'!$O20*'Working Data'!$N20*(100%+'Dashboard Visualization'!$U$2))</f>
        <v>19227.060000000001</v>
      </c>
      <c r="Q20" s="19">
        <v>2375.37</v>
      </c>
      <c r="R20" s="20">
        <f t="shared" si="4"/>
        <v>2116.4546700000001</v>
      </c>
      <c r="S20" s="11">
        <v>0.109</v>
      </c>
      <c r="T20" s="22">
        <f>IF('Dashboard Visualization'!$U$1="",$S20,IF(S20&gt;'Dashboard Visualization'!$U$1,'Dashboard Visualization'!$U$1,S20))</f>
        <v>0.109</v>
      </c>
      <c r="U20" s="20">
        <f t="shared" si="5"/>
        <v>33943.699997460004</v>
      </c>
      <c r="V20" s="20">
        <f t="shared" si="6"/>
        <v>14716.639997460003</v>
      </c>
      <c r="W20" s="22">
        <f t="shared" si="2"/>
        <v>0.43356027771165911</v>
      </c>
      <c r="X20" s="28" t="str">
        <f>TEXT(B20,"MMM-YYYY")</f>
        <v>Jul-2025</v>
      </c>
      <c r="Y20" s="7" t="str">
        <f t="shared" si="7"/>
        <v>Q3-2025</v>
      </c>
      <c r="Z20" s="7" t="str">
        <f t="shared" si="8"/>
        <v>Medium Price</v>
      </c>
      <c r="AA20" s="7" t="str">
        <f t="shared" si="9"/>
        <v>Q3</v>
      </c>
      <c r="AB20" s="28" t="str">
        <f t="shared" si="10"/>
        <v>Jul</v>
      </c>
      <c r="AC20" s="28" t="str">
        <f t="shared" si="11"/>
        <v>2025</v>
      </c>
    </row>
    <row r="21" spans="1:29" x14ac:dyDescent="0.25">
      <c r="A21" s="4" t="s">
        <v>34</v>
      </c>
      <c r="B21" s="14">
        <v>45798</v>
      </c>
      <c r="C21" s="14">
        <v>45796</v>
      </c>
      <c r="D21" s="16" t="str">
        <f t="shared" si="3"/>
        <v/>
      </c>
      <c r="E21" s="4" t="s">
        <v>649</v>
      </c>
      <c r="F21" s="4" t="s">
        <v>658</v>
      </c>
      <c r="G21" s="4" t="s">
        <v>674</v>
      </c>
      <c r="H21" s="4" t="s">
        <v>706</v>
      </c>
      <c r="I21" s="4" t="s">
        <v>708</v>
      </c>
      <c r="J21" s="4" t="s">
        <v>724</v>
      </c>
      <c r="K21" s="4" t="s">
        <v>731</v>
      </c>
      <c r="L21" s="4" t="s">
        <v>753</v>
      </c>
      <c r="M21" s="9">
        <v>19</v>
      </c>
      <c r="N21" s="16">
        <f>ROUND(IF('Dashboard Visualization'!$U$3="",'Working Data'!$M21,'Working Data'!$M21*(100% +'Dashboard Visualization'!$U$3)),0)</f>
        <v>19</v>
      </c>
      <c r="O21" s="19">
        <v>1015.16</v>
      </c>
      <c r="P21" s="20">
        <f>IF('Dashboard Visualization'!$U$2="",'Working Data'!$O21*'Working Data'!$N21,'Working Data'!$O21*'Working Data'!$N21*(100%+'Dashboard Visualization'!$U$2))</f>
        <v>19288.04</v>
      </c>
      <c r="Q21" s="19">
        <v>2148.14</v>
      </c>
      <c r="R21" s="20">
        <f t="shared" si="4"/>
        <v>2066.5106799999999</v>
      </c>
      <c r="S21" s="11">
        <v>3.7999999999999999E-2</v>
      </c>
      <c r="T21" s="22">
        <f>IF('Dashboard Visualization'!$U$1="",$S21,IF(S21&gt;'Dashboard Visualization'!$U$1,'Dashboard Visualization'!$U$1,S21))</f>
        <v>3.7999999999999999E-2</v>
      </c>
      <c r="U21" s="20">
        <f t="shared" si="5"/>
        <v>37771.682209039995</v>
      </c>
      <c r="V21" s="20">
        <f t="shared" si="6"/>
        <v>18483.642209039994</v>
      </c>
      <c r="W21" s="22">
        <f t="shared" si="2"/>
        <v>0.48935184053349512</v>
      </c>
      <c r="X21" s="28" t="str">
        <f>TEXT(B21,"MMM-YYYY")</f>
        <v>May-2025</v>
      </c>
      <c r="Y21" s="7" t="str">
        <f t="shared" si="7"/>
        <v>Q2-2025</v>
      </c>
      <c r="Z21" s="7" t="str">
        <f t="shared" si="8"/>
        <v>Medium Price</v>
      </c>
      <c r="AA21" s="7" t="str">
        <f t="shared" si="9"/>
        <v>Q2</v>
      </c>
      <c r="AB21" s="28" t="str">
        <f t="shared" si="10"/>
        <v>May</v>
      </c>
      <c r="AC21" s="28" t="str">
        <f t="shared" si="11"/>
        <v>2025</v>
      </c>
    </row>
    <row r="22" spans="1:29" x14ac:dyDescent="0.25">
      <c r="A22" s="4" t="s">
        <v>35</v>
      </c>
      <c r="B22" s="14">
        <v>45498</v>
      </c>
      <c r="C22" s="14">
        <v>45497</v>
      </c>
      <c r="D22" s="16" t="str">
        <f t="shared" si="3"/>
        <v/>
      </c>
      <c r="E22" s="4" t="s">
        <v>646</v>
      </c>
      <c r="F22" s="4" t="s">
        <v>650</v>
      </c>
      <c r="G22" s="4" t="s">
        <v>675</v>
      </c>
      <c r="H22" s="4" t="s">
        <v>703</v>
      </c>
      <c r="I22" s="4" t="s">
        <v>711</v>
      </c>
      <c r="J22" s="4" t="s">
        <v>713</v>
      </c>
      <c r="K22" s="4" t="s">
        <v>731</v>
      </c>
      <c r="L22" s="4" t="s">
        <v>754</v>
      </c>
      <c r="M22" s="9">
        <v>7</v>
      </c>
      <c r="N22" s="16">
        <f>ROUND(IF('Dashboard Visualization'!$U$3="",'Working Data'!$M22,'Working Data'!$M22*(100% +'Dashboard Visualization'!$U$3)),0)</f>
        <v>7</v>
      </c>
      <c r="O22" s="19">
        <v>1494.4</v>
      </c>
      <c r="P22" s="20">
        <f>IF('Dashboard Visualization'!$U$2="",'Working Data'!$O22*'Working Data'!$N22,'Working Data'!$O22*'Working Data'!$N22*(100%+'Dashboard Visualization'!$U$2))</f>
        <v>10460.800000000001</v>
      </c>
      <c r="Q22" s="19">
        <v>3661.07</v>
      </c>
      <c r="R22" s="20">
        <f t="shared" si="4"/>
        <v>3397.4729600000005</v>
      </c>
      <c r="S22" s="11">
        <v>7.1999999999999995E-2</v>
      </c>
      <c r="T22" s="22">
        <f>IF('Dashboard Visualization'!$U$1="",$S22,IF(S22&gt;'Dashboard Visualization'!$U$1,'Dashboard Visualization'!$U$1,S22))</f>
        <v>7.1999999999999995E-2</v>
      </c>
      <c r="U22" s="20">
        <f t="shared" si="5"/>
        <v>22069.984348160004</v>
      </c>
      <c r="V22" s="20">
        <f t="shared" si="6"/>
        <v>11609.184348160003</v>
      </c>
      <c r="W22" s="22">
        <f t="shared" si="2"/>
        <v>0.52601688179846273</v>
      </c>
      <c r="X22" s="28" t="str">
        <f>TEXT(B22,"MMM-YYYY")</f>
        <v>Jul-2024</v>
      </c>
      <c r="Y22" s="7" t="str">
        <f t="shared" si="7"/>
        <v>Q3-2024</v>
      </c>
      <c r="Z22" s="7" t="str">
        <f t="shared" si="8"/>
        <v>Medium Price</v>
      </c>
      <c r="AA22" s="7" t="str">
        <f t="shared" si="9"/>
        <v>Q3</v>
      </c>
      <c r="AB22" s="28" t="str">
        <f t="shared" si="10"/>
        <v>Jul</v>
      </c>
      <c r="AC22" s="28" t="str">
        <f t="shared" si="11"/>
        <v>2024</v>
      </c>
    </row>
    <row r="23" spans="1:29" x14ac:dyDescent="0.25">
      <c r="A23" s="4" t="s">
        <v>36</v>
      </c>
      <c r="B23" s="14">
        <v>45057</v>
      </c>
      <c r="C23" s="14">
        <v>45074</v>
      </c>
      <c r="D23" s="16">
        <f t="shared" si="3"/>
        <v>17</v>
      </c>
      <c r="E23" s="4" t="s">
        <v>647</v>
      </c>
      <c r="F23" s="4" t="s">
        <v>659</v>
      </c>
      <c r="G23" s="4" t="s">
        <v>676</v>
      </c>
      <c r="H23" s="4" t="s">
        <v>706</v>
      </c>
      <c r="I23" s="4" t="s">
        <v>709</v>
      </c>
      <c r="J23" s="4" t="s">
        <v>718</v>
      </c>
      <c r="K23" s="4" t="s">
        <v>729</v>
      </c>
      <c r="L23" s="4" t="s">
        <v>755</v>
      </c>
      <c r="M23" s="9">
        <v>8</v>
      </c>
      <c r="N23" s="16">
        <f>ROUND(IF('Dashboard Visualization'!$U$3="",'Working Data'!$M23,'Working Data'!$M23*(100% +'Dashboard Visualization'!$U$3)),0)</f>
        <v>8</v>
      </c>
      <c r="O23" s="19">
        <v>1331.19</v>
      </c>
      <c r="P23" s="20">
        <f>IF('Dashboard Visualization'!$U$2="",'Working Data'!$O23*'Working Data'!$N23,'Working Data'!$O23*'Working Data'!$N23*(100%+'Dashboard Visualization'!$U$2))</f>
        <v>10649.52</v>
      </c>
      <c r="Q23" s="19">
        <v>2903.09</v>
      </c>
      <c r="R23" s="20">
        <f t="shared" si="4"/>
        <v>2487.9481300000002</v>
      </c>
      <c r="S23" s="11">
        <v>0.14299999999999999</v>
      </c>
      <c r="T23" s="22">
        <f>IF('Dashboard Visualization'!$U$1="",$S23,IF(S23&gt;'Dashboard Visualization'!$U$1,'Dashboard Visualization'!$U$1,S23))</f>
        <v>0.14299999999999999</v>
      </c>
      <c r="U23" s="20">
        <f t="shared" si="5"/>
        <v>17057.372379280001</v>
      </c>
      <c r="V23" s="20">
        <f t="shared" si="6"/>
        <v>6407.8523792800006</v>
      </c>
      <c r="W23" s="22">
        <f t="shared" si="2"/>
        <v>0.37566468250782709</v>
      </c>
      <c r="X23" s="28" t="str">
        <f>TEXT(B23,"MMM-YYYY")</f>
        <v>May-2023</v>
      </c>
      <c r="Y23" s="7" t="str">
        <f t="shared" si="7"/>
        <v>Q2-2023</v>
      </c>
      <c r="Z23" s="7" t="str">
        <f t="shared" si="8"/>
        <v>Medium Price</v>
      </c>
      <c r="AA23" s="7" t="str">
        <f t="shared" si="9"/>
        <v>Q2</v>
      </c>
      <c r="AB23" s="28" t="str">
        <f t="shared" si="10"/>
        <v>May</v>
      </c>
      <c r="AC23" s="28" t="str">
        <f t="shared" si="11"/>
        <v>2023</v>
      </c>
    </row>
    <row r="24" spans="1:29" x14ac:dyDescent="0.25">
      <c r="A24" s="4" t="s">
        <v>37</v>
      </c>
      <c r="B24" s="14">
        <v>45822</v>
      </c>
      <c r="C24" s="14">
        <v>45837</v>
      </c>
      <c r="D24" s="16">
        <f t="shared" si="3"/>
        <v>15</v>
      </c>
      <c r="E24" s="4" t="s">
        <v>646</v>
      </c>
      <c r="F24" s="4" t="s">
        <v>651</v>
      </c>
      <c r="G24" s="4" t="s">
        <v>663</v>
      </c>
      <c r="H24" s="4" t="s">
        <v>704</v>
      </c>
      <c r="I24" s="4" t="s">
        <v>709</v>
      </c>
      <c r="J24" s="4" t="s">
        <v>724</v>
      </c>
      <c r="K24" s="4" t="s">
        <v>733</v>
      </c>
      <c r="L24" s="4" t="s">
        <v>756</v>
      </c>
      <c r="M24" s="9">
        <v>10</v>
      </c>
      <c r="N24" s="16">
        <f>ROUND(IF('Dashboard Visualization'!$U$3="",'Working Data'!$M24,'Working Data'!$M24*(100% +'Dashboard Visualization'!$U$3)),0)</f>
        <v>10</v>
      </c>
      <c r="O24" s="19">
        <v>730.99</v>
      </c>
      <c r="P24" s="20">
        <f>IF('Dashboard Visualization'!$U$2="",'Working Data'!$O24*'Working Data'!$N24,'Working Data'!$O24*'Working Data'!$N24*(100%+'Dashboard Visualization'!$U$2))</f>
        <v>7309.9</v>
      </c>
      <c r="Q24" s="19">
        <v>1242.8399999999999</v>
      </c>
      <c r="R24" s="20">
        <f t="shared" si="4"/>
        <v>1093.6992</v>
      </c>
      <c r="S24" s="11">
        <v>0.12</v>
      </c>
      <c r="T24" s="22">
        <f>IF('Dashboard Visualization'!$U$1="",$S24,IF(S24&gt;'Dashboard Visualization'!$U$1,'Dashboard Visualization'!$U$1,S24))</f>
        <v>0.12</v>
      </c>
      <c r="U24" s="20">
        <f t="shared" si="5"/>
        <v>9624.5529599999991</v>
      </c>
      <c r="V24" s="20">
        <f t="shared" si="6"/>
        <v>2314.6529599999994</v>
      </c>
      <c r="W24" s="22">
        <f t="shared" si="2"/>
        <v>0.24049459435880122</v>
      </c>
      <c r="X24" s="28" t="str">
        <f>TEXT(B24,"MMM-YYYY")</f>
        <v>Jun-2025</v>
      </c>
      <c r="Y24" s="7" t="str">
        <f t="shared" si="7"/>
        <v>Q2-2025</v>
      </c>
      <c r="Z24" s="7" t="str">
        <f t="shared" si="8"/>
        <v>High Price</v>
      </c>
      <c r="AA24" s="7" t="str">
        <f t="shared" si="9"/>
        <v>Q2</v>
      </c>
      <c r="AB24" s="28" t="str">
        <f t="shared" si="10"/>
        <v>Jun</v>
      </c>
      <c r="AC24" s="28" t="str">
        <f t="shared" si="11"/>
        <v>2025</v>
      </c>
    </row>
    <row r="25" spans="1:29" x14ac:dyDescent="0.25">
      <c r="A25" s="4" t="s">
        <v>38</v>
      </c>
      <c r="B25" s="14">
        <v>45430</v>
      </c>
      <c r="C25" s="14">
        <v>45435</v>
      </c>
      <c r="D25" s="16">
        <f t="shared" si="3"/>
        <v>5</v>
      </c>
      <c r="E25" s="4" t="s">
        <v>648</v>
      </c>
      <c r="F25" s="4" t="s">
        <v>660</v>
      </c>
      <c r="G25" s="4" t="s">
        <v>677</v>
      </c>
      <c r="H25" s="4" t="s">
        <v>706</v>
      </c>
      <c r="I25" s="4" t="s">
        <v>707</v>
      </c>
      <c r="J25" s="4" t="s">
        <v>722</v>
      </c>
      <c r="K25" s="4" t="s">
        <v>731</v>
      </c>
      <c r="L25" s="4" t="s">
        <v>757</v>
      </c>
      <c r="M25" s="9">
        <v>8</v>
      </c>
      <c r="N25" s="16">
        <f>ROUND(IF('Dashboard Visualization'!$U$3="",'Working Data'!$M25,'Working Data'!$M25*(100% +'Dashboard Visualization'!$U$3)),0)</f>
        <v>8</v>
      </c>
      <c r="O25" s="19">
        <v>1274.5899999999999</v>
      </c>
      <c r="P25" s="20">
        <f>IF('Dashboard Visualization'!$U$2="",'Working Data'!$O25*'Working Data'!$N25,'Working Data'!$O25*'Working Data'!$N25*(100%+'Dashboard Visualization'!$U$2))</f>
        <v>10196.719999999999</v>
      </c>
      <c r="Q25" s="19">
        <v>2553.69</v>
      </c>
      <c r="R25" s="20">
        <f t="shared" si="4"/>
        <v>2528.1531</v>
      </c>
      <c r="S25" s="11">
        <v>0.01</v>
      </c>
      <c r="T25" s="22">
        <f>IF('Dashboard Visualization'!$U$1="",$S25,IF(S25&gt;'Dashboard Visualization'!$U$1,'Dashboard Visualization'!$U$1,S25))</f>
        <v>0.01</v>
      </c>
      <c r="U25" s="20">
        <f t="shared" si="5"/>
        <v>20022.972551999999</v>
      </c>
      <c r="V25" s="20">
        <f t="shared" si="6"/>
        <v>9826.2525519999999</v>
      </c>
      <c r="W25" s="22">
        <f t="shared" si="2"/>
        <v>0.49074893982304851</v>
      </c>
      <c r="X25" s="28" t="str">
        <f>TEXT(B25,"MMM-YYYY")</f>
        <v>May-2024</v>
      </c>
      <c r="Y25" s="7" t="str">
        <f t="shared" si="7"/>
        <v>Q2-2024</v>
      </c>
      <c r="Z25" s="7" t="str">
        <f t="shared" si="8"/>
        <v>Medium Price</v>
      </c>
      <c r="AA25" s="7" t="str">
        <f t="shared" si="9"/>
        <v>Q2</v>
      </c>
      <c r="AB25" s="28" t="str">
        <f t="shared" si="10"/>
        <v>May</v>
      </c>
      <c r="AC25" s="28" t="str">
        <f t="shared" si="11"/>
        <v>2024</v>
      </c>
    </row>
    <row r="26" spans="1:29" x14ac:dyDescent="0.25">
      <c r="A26" s="4" t="s">
        <v>39</v>
      </c>
      <c r="B26" s="14">
        <v>44964</v>
      </c>
      <c r="C26" s="14">
        <v>44969</v>
      </c>
      <c r="D26" s="16">
        <f t="shared" si="3"/>
        <v>5</v>
      </c>
      <c r="E26" s="4" t="s">
        <v>648</v>
      </c>
      <c r="F26" s="4" t="s">
        <v>655</v>
      </c>
      <c r="G26" s="4" t="s">
        <v>670</v>
      </c>
      <c r="H26" s="4" t="s">
        <v>702</v>
      </c>
      <c r="I26" s="4" t="s">
        <v>708</v>
      </c>
      <c r="J26" s="4" t="s">
        <v>725</v>
      </c>
      <c r="K26" s="4" t="s">
        <v>727</v>
      </c>
      <c r="L26" s="4" t="s">
        <v>758</v>
      </c>
      <c r="M26" s="9">
        <v>12</v>
      </c>
      <c r="N26" s="16">
        <f>ROUND(IF('Dashboard Visualization'!$U$3="",'Working Data'!$M26,'Working Data'!$M26*(100% +'Dashboard Visualization'!$U$3)),0)</f>
        <v>12</v>
      </c>
      <c r="O26" s="19">
        <v>948.55</v>
      </c>
      <c r="P26" s="20">
        <f>IF('Dashboard Visualization'!$U$2="",'Working Data'!$O26*'Working Data'!$N26,'Working Data'!$O26*'Working Data'!$N26*(100%+'Dashboard Visualization'!$U$2))</f>
        <v>11382.599999999999</v>
      </c>
      <c r="Q26" s="19">
        <v>2089.16</v>
      </c>
      <c r="R26" s="20">
        <f t="shared" si="4"/>
        <v>2074.5358799999999</v>
      </c>
      <c r="S26" s="11">
        <v>7.0000000000000001E-3</v>
      </c>
      <c r="T26" s="22">
        <f>IF('Dashboard Visualization'!$U$1="",$S26,IF(S26&gt;'Dashboard Visualization'!$U$1,'Dashboard Visualization'!$U$1,S26))</f>
        <v>7.0000000000000001E-3</v>
      </c>
      <c r="U26" s="20">
        <f t="shared" si="5"/>
        <v>24720.16954608</v>
      </c>
      <c r="V26" s="20">
        <f t="shared" si="6"/>
        <v>13337.569546080002</v>
      </c>
      <c r="W26" s="22">
        <f t="shared" si="2"/>
        <v>0.53954199307645956</v>
      </c>
      <c r="X26" s="28" t="str">
        <f>TEXT(B26,"MMM-YYYY")</f>
        <v>Feb-2023</v>
      </c>
      <c r="Y26" s="7" t="str">
        <f t="shared" si="7"/>
        <v>Q1-2023</v>
      </c>
      <c r="Z26" s="7" t="str">
        <f t="shared" si="8"/>
        <v>Medium Price</v>
      </c>
      <c r="AA26" s="7" t="str">
        <f t="shared" si="9"/>
        <v>Q1</v>
      </c>
      <c r="AB26" s="28" t="str">
        <f t="shared" si="10"/>
        <v>Feb</v>
      </c>
      <c r="AC26" s="28" t="str">
        <f t="shared" si="11"/>
        <v>2023</v>
      </c>
    </row>
    <row r="27" spans="1:29" x14ac:dyDescent="0.25">
      <c r="A27" s="4" t="s">
        <v>40</v>
      </c>
      <c r="B27" s="14">
        <v>45473</v>
      </c>
      <c r="C27" s="14">
        <v>45487</v>
      </c>
      <c r="D27" s="16">
        <f t="shared" si="3"/>
        <v>14</v>
      </c>
      <c r="E27" s="4" t="s">
        <v>648</v>
      </c>
      <c r="F27" s="4" t="s">
        <v>655</v>
      </c>
      <c r="G27" s="4" t="s">
        <v>672</v>
      </c>
      <c r="H27" s="4" t="s">
        <v>702</v>
      </c>
      <c r="I27" s="4" t="s">
        <v>707</v>
      </c>
      <c r="J27" s="4" t="s">
        <v>712</v>
      </c>
      <c r="K27" s="4" t="s">
        <v>733</v>
      </c>
      <c r="L27" s="4" t="s">
        <v>759</v>
      </c>
      <c r="M27" s="9">
        <v>4</v>
      </c>
      <c r="N27" s="16">
        <f>ROUND(IF('Dashboard Visualization'!$U$3="",'Working Data'!$M27,'Working Data'!$M27*(100% +'Dashboard Visualization'!$U$3)),0)</f>
        <v>4</v>
      </c>
      <c r="O27" s="19">
        <v>1491.85</v>
      </c>
      <c r="P27" s="20">
        <f>IF('Dashboard Visualization'!$U$2="",'Working Data'!$O27*'Working Data'!$N27,'Working Data'!$O27*'Working Data'!$N27*(100%+'Dashboard Visualization'!$U$2))</f>
        <v>5967.4</v>
      </c>
      <c r="Q27" s="19">
        <v>2583.02</v>
      </c>
      <c r="R27" s="20">
        <f t="shared" si="4"/>
        <v>2149.0726399999999</v>
      </c>
      <c r="S27" s="11">
        <v>0.16800000000000001</v>
      </c>
      <c r="T27" s="22">
        <f>IF('Dashboard Visualization'!$U$1="",$S27,IF(S27&gt;'Dashboard Visualization'!$U$1,'Dashboard Visualization'!$U$1,S27))</f>
        <v>0.16800000000000001</v>
      </c>
      <c r="U27" s="20">
        <f t="shared" si="5"/>
        <v>7152.113745919999</v>
      </c>
      <c r="V27" s="20">
        <f t="shared" si="6"/>
        <v>1184.7137459199994</v>
      </c>
      <c r="W27" s="22">
        <f t="shared" si="2"/>
        <v>0.16564526068895818</v>
      </c>
      <c r="X27" s="28" t="str">
        <f>TEXT(B27,"MMM-YYYY")</f>
        <v>Jun-2024</v>
      </c>
      <c r="Y27" s="7" t="str">
        <f t="shared" si="7"/>
        <v>Q2-2024</v>
      </c>
      <c r="Z27" s="7" t="str">
        <f t="shared" si="8"/>
        <v>Medium Price</v>
      </c>
      <c r="AA27" s="7" t="str">
        <f t="shared" si="9"/>
        <v>Q2</v>
      </c>
      <c r="AB27" s="28" t="str">
        <f t="shared" si="10"/>
        <v>Jun</v>
      </c>
      <c r="AC27" s="28" t="str">
        <f t="shared" si="11"/>
        <v>2024</v>
      </c>
    </row>
    <row r="28" spans="1:29" x14ac:dyDescent="0.25">
      <c r="A28" s="4" t="s">
        <v>41</v>
      </c>
      <c r="B28" s="14">
        <v>45626</v>
      </c>
      <c r="C28" s="14">
        <v>45656</v>
      </c>
      <c r="D28" s="16">
        <f t="shared" si="3"/>
        <v>30</v>
      </c>
      <c r="E28" s="4" t="s">
        <v>649</v>
      </c>
      <c r="F28" s="4" t="s">
        <v>657</v>
      </c>
      <c r="G28" s="4" t="s">
        <v>673</v>
      </c>
      <c r="H28" s="4" t="s">
        <v>704</v>
      </c>
      <c r="I28" s="4" t="s">
        <v>709</v>
      </c>
      <c r="J28" s="4" t="s">
        <v>721</v>
      </c>
      <c r="K28" s="4" t="s">
        <v>728</v>
      </c>
      <c r="L28" s="4" t="s">
        <v>760</v>
      </c>
      <c r="M28" s="9">
        <v>10</v>
      </c>
      <c r="N28" s="16">
        <f>ROUND(IF('Dashboard Visualization'!$U$3="",'Working Data'!$M28,'Working Data'!$M28*(100% +'Dashboard Visualization'!$U$3)),0)</f>
        <v>10</v>
      </c>
      <c r="O28" s="19">
        <v>117.64</v>
      </c>
      <c r="P28" s="20">
        <f>IF('Dashboard Visualization'!$U$2="",'Working Data'!$O28*'Working Data'!$N28,'Working Data'!$O28*'Working Data'!$N28*(100%+'Dashboard Visualization'!$U$2))</f>
        <v>1176.4000000000001</v>
      </c>
      <c r="Q28" s="19">
        <v>175.67</v>
      </c>
      <c r="R28" s="20">
        <f t="shared" si="4"/>
        <v>175.67</v>
      </c>
      <c r="S28" s="11">
        <v>0</v>
      </c>
      <c r="T28" s="22">
        <f>IF('Dashboard Visualization'!$U$1="",$S28,IF(S28&gt;'Dashboard Visualization'!$U$1,'Dashboard Visualization'!$U$1,S28))</f>
        <v>0</v>
      </c>
      <c r="U28" s="20">
        <f t="shared" si="5"/>
        <v>1756.6999999999998</v>
      </c>
      <c r="V28" s="20">
        <f t="shared" si="6"/>
        <v>580.29999999999973</v>
      </c>
      <c r="W28" s="22">
        <f t="shared" si="2"/>
        <v>0.33033528775545046</v>
      </c>
      <c r="X28" s="28" t="str">
        <f>TEXT(B28,"MMM-YYYY")</f>
        <v>Nov-2024</v>
      </c>
      <c r="Y28" s="7" t="str">
        <f t="shared" si="7"/>
        <v>Q4-2024</v>
      </c>
      <c r="Z28" s="7" t="str">
        <f t="shared" si="8"/>
        <v>Low Price</v>
      </c>
      <c r="AA28" s="7" t="str">
        <f t="shared" si="9"/>
        <v>Q4</v>
      </c>
      <c r="AB28" s="28" t="str">
        <f t="shared" si="10"/>
        <v>Nov</v>
      </c>
      <c r="AC28" s="28" t="str">
        <f t="shared" si="11"/>
        <v>2024</v>
      </c>
    </row>
    <row r="29" spans="1:29" x14ac:dyDescent="0.25">
      <c r="A29" s="4" t="s">
        <v>42</v>
      </c>
      <c r="B29" s="14">
        <v>45492</v>
      </c>
      <c r="C29" s="14">
        <v>45492</v>
      </c>
      <c r="D29" s="16">
        <f t="shared" si="3"/>
        <v>0</v>
      </c>
      <c r="E29" s="4" t="s">
        <v>646</v>
      </c>
      <c r="F29" s="4" t="s">
        <v>650</v>
      </c>
      <c r="G29" s="4" t="s">
        <v>662</v>
      </c>
      <c r="H29" s="4" t="s">
        <v>705</v>
      </c>
      <c r="I29" s="4" t="s">
        <v>707</v>
      </c>
      <c r="J29" s="4" t="s">
        <v>720</v>
      </c>
      <c r="K29" s="4" t="s">
        <v>730</v>
      </c>
      <c r="L29" s="4" t="s">
        <v>761</v>
      </c>
      <c r="M29" s="9">
        <v>6</v>
      </c>
      <c r="N29" s="16">
        <f>ROUND(IF('Dashboard Visualization'!$U$3="",'Working Data'!$M29,'Working Data'!$M29*(100% +'Dashboard Visualization'!$U$3)),0)</f>
        <v>6</v>
      </c>
      <c r="O29" s="19">
        <v>857.24</v>
      </c>
      <c r="P29" s="20">
        <f>IF('Dashboard Visualization'!$U$2="",'Working Data'!$O29*'Working Data'!$N29,'Working Data'!$O29*'Working Data'!$N29*(100%+'Dashboard Visualization'!$U$2))</f>
        <v>5143.4400000000005</v>
      </c>
      <c r="Q29" s="19">
        <v>758.23</v>
      </c>
      <c r="R29" s="20">
        <f t="shared" si="4"/>
        <v>663.45125000000007</v>
      </c>
      <c r="S29" s="11">
        <v>0.125</v>
      </c>
      <c r="T29" s="22">
        <f>IF('Dashboard Visualization'!$U$1="",$S29,IF(S29&gt;'Dashboard Visualization'!$U$1,'Dashboard Visualization'!$U$1,S29))</f>
        <v>0.125</v>
      </c>
      <c r="U29" s="20">
        <f t="shared" si="5"/>
        <v>3483.1190625000004</v>
      </c>
      <c r="V29" s="20">
        <f t="shared" si="6"/>
        <v>-1660.3209375000001</v>
      </c>
      <c r="W29" s="22">
        <f t="shared" si="2"/>
        <v>0</v>
      </c>
      <c r="X29" s="28" t="str">
        <f>TEXT(B29,"MMM-YYYY")</f>
        <v>Jul-2024</v>
      </c>
      <c r="Y29" s="7" t="str">
        <f t="shared" si="7"/>
        <v>Q3-2024</v>
      </c>
      <c r="Z29" s="7" t="str">
        <f t="shared" si="8"/>
        <v>High Price</v>
      </c>
      <c r="AA29" s="7" t="str">
        <f t="shared" si="9"/>
        <v>Q3</v>
      </c>
      <c r="AB29" s="28" t="str">
        <f t="shared" si="10"/>
        <v>Jul</v>
      </c>
      <c r="AC29" s="28" t="str">
        <f t="shared" si="11"/>
        <v>2024</v>
      </c>
    </row>
    <row r="30" spans="1:29" x14ac:dyDescent="0.25">
      <c r="A30" s="4" t="s">
        <v>43</v>
      </c>
      <c r="B30" s="14">
        <v>45030</v>
      </c>
      <c r="C30" s="14">
        <v>45060</v>
      </c>
      <c r="D30" s="16">
        <f t="shared" si="3"/>
        <v>30</v>
      </c>
      <c r="E30" s="4" t="s">
        <v>646</v>
      </c>
      <c r="F30" s="4" t="s">
        <v>650</v>
      </c>
      <c r="G30" s="4" t="s">
        <v>678</v>
      </c>
      <c r="H30" s="4" t="s">
        <v>704</v>
      </c>
      <c r="I30" s="4" t="s">
        <v>709</v>
      </c>
      <c r="J30" s="4" t="s">
        <v>724</v>
      </c>
      <c r="K30" s="4" t="s">
        <v>730</v>
      </c>
      <c r="L30" s="4" t="s">
        <v>762</v>
      </c>
      <c r="M30" s="9">
        <v>9</v>
      </c>
      <c r="N30" s="16">
        <f>ROUND(IF('Dashboard Visualization'!$U$3="",'Working Data'!$M30,'Working Data'!$M30*(100% +'Dashboard Visualization'!$U$3)),0)</f>
        <v>9</v>
      </c>
      <c r="O30" s="19">
        <v>209.25</v>
      </c>
      <c r="P30" s="20">
        <f>IF('Dashboard Visualization'!$U$2="",'Working Data'!$O30*'Working Data'!$N30,'Working Data'!$O30*'Working Data'!$N30*(100%+'Dashboard Visualization'!$U$2))</f>
        <v>1883.25</v>
      </c>
      <c r="Q30" s="19">
        <v>434.8</v>
      </c>
      <c r="R30" s="20">
        <f t="shared" si="4"/>
        <v>434.8</v>
      </c>
      <c r="S30" s="11">
        <v>0</v>
      </c>
      <c r="T30" s="22">
        <f>IF('Dashboard Visualization'!$U$1="",$S30,IF(S30&gt;'Dashboard Visualization'!$U$1,'Dashboard Visualization'!$U$1,S30))</f>
        <v>0</v>
      </c>
      <c r="U30" s="20">
        <f t="shared" si="5"/>
        <v>3913.2000000000003</v>
      </c>
      <c r="V30" s="20">
        <f t="shared" si="6"/>
        <v>2029.9500000000003</v>
      </c>
      <c r="W30" s="22">
        <f t="shared" si="2"/>
        <v>0.51874425022999082</v>
      </c>
      <c r="X30" s="28" t="str">
        <f>TEXT(B30,"MMM-YYYY")</f>
        <v>Apr-2023</v>
      </c>
      <c r="Y30" s="7" t="str">
        <f t="shared" si="7"/>
        <v>Q2-2023</v>
      </c>
      <c r="Z30" s="7" t="str">
        <f t="shared" si="8"/>
        <v>Low Price</v>
      </c>
      <c r="AA30" s="7" t="str">
        <f t="shared" si="9"/>
        <v>Q2</v>
      </c>
      <c r="AB30" s="28" t="str">
        <f t="shared" si="10"/>
        <v>Apr</v>
      </c>
      <c r="AC30" s="28" t="str">
        <f t="shared" si="11"/>
        <v>2023</v>
      </c>
    </row>
    <row r="31" spans="1:29" x14ac:dyDescent="0.25">
      <c r="A31" s="4" t="s">
        <v>44</v>
      </c>
      <c r="B31" s="14">
        <v>45754</v>
      </c>
      <c r="C31" s="14">
        <v>45758</v>
      </c>
      <c r="D31" s="16">
        <f t="shared" si="3"/>
        <v>4</v>
      </c>
      <c r="E31" s="4" t="s">
        <v>649</v>
      </c>
      <c r="F31" s="4" t="s">
        <v>657</v>
      </c>
      <c r="G31" s="4" t="s">
        <v>679</v>
      </c>
      <c r="H31" s="4" t="s">
        <v>702</v>
      </c>
      <c r="I31" s="4" t="s">
        <v>707</v>
      </c>
      <c r="J31" s="4" t="s">
        <v>718</v>
      </c>
      <c r="K31" s="4" t="s">
        <v>729</v>
      </c>
      <c r="L31" s="4" t="s">
        <v>763</v>
      </c>
      <c r="M31" s="9">
        <v>14</v>
      </c>
      <c r="N31" s="16">
        <f>ROUND(IF('Dashboard Visualization'!$U$3="",'Working Data'!$M31,'Working Data'!$M31*(100% +'Dashboard Visualization'!$U$3)),0)</f>
        <v>14</v>
      </c>
      <c r="O31" s="19">
        <v>754.77</v>
      </c>
      <c r="P31" s="20">
        <f>IF('Dashboard Visualization'!$U$2="",'Working Data'!$O31*'Working Data'!$N31,'Working Data'!$O31*'Working Data'!$N31*(100%+'Dashboard Visualization'!$U$2))</f>
        <v>10566.779999999999</v>
      </c>
      <c r="Q31" s="19">
        <v>1666.18</v>
      </c>
      <c r="R31" s="20">
        <f t="shared" si="4"/>
        <v>1434.58098</v>
      </c>
      <c r="S31" s="11">
        <v>0.13900000000000001</v>
      </c>
      <c r="T31" s="22">
        <f>IF('Dashboard Visualization'!$U$1="",$S31,IF(S31&gt;'Dashboard Visualization'!$U$1,'Dashboard Visualization'!$U$1,S31))</f>
        <v>0.13900000000000001</v>
      </c>
      <c r="U31" s="20">
        <f t="shared" si="5"/>
        <v>17292.439132920001</v>
      </c>
      <c r="V31" s="20">
        <f t="shared" si="6"/>
        <v>6725.6591329200019</v>
      </c>
      <c r="W31" s="22">
        <f t="shared" si="2"/>
        <v>0.38893640632316673</v>
      </c>
      <c r="X31" s="28" t="str">
        <f>TEXT(B31,"MMM-YYYY")</f>
        <v>Apr-2025</v>
      </c>
      <c r="Y31" s="7" t="str">
        <f t="shared" si="7"/>
        <v>Q2-2025</v>
      </c>
      <c r="Z31" s="7" t="str">
        <f t="shared" si="8"/>
        <v>High Price</v>
      </c>
      <c r="AA31" s="7" t="str">
        <f t="shared" si="9"/>
        <v>Q2</v>
      </c>
      <c r="AB31" s="28" t="str">
        <f t="shared" si="10"/>
        <v>Apr</v>
      </c>
      <c r="AC31" s="28" t="str">
        <f t="shared" si="11"/>
        <v>2025</v>
      </c>
    </row>
    <row r="32" spans="1:29" x14ac:dyDescent="0.25">
      <c r="A32" s="4" t="s">
        <v>45</v>
      </c>
      <c r="B32" s="14">
        <v>45653</v>
      </c>
      <c r="C32" s="14">
        <v>45672</v>
      </c>
      <c r="D32" s="16">
        <f t="shared" si="3"/>
        <v>19</v>
      </c>
      <c r="E32" s="4" t="s">
        <v>647</v>
      </c>
      <c r="F32" s="4" t="s">
        <v>654</v>
      </c>
      <c r="G32" s="4" t="s">
        <v>680</v>
      </c>
      <c r="H32" s="4" t="s">
        <v>703</v>
      </c>
      <c r="I32" s="4" t="s">
        <v>710</v>
      </c>
      <c r="J32" s="4" t="s">
        <v>715</v>
      </c>
      <c r="K32" s="4" t="s">
        <v>727</v>
      </c>
      <c r="L32" s="4" t="s">
        <v>764</v>
      </c>
      <c r="M32" s="9">
        <v>17</v>
      </c>
      <c r="N32" s="16">
        <f>ROUND(IF('Dashboard Visualization'!$U$3="",'Working Data'!$M32,'Working Data'!$M32*(100% +'Dashboard Visualization'!$U$3)),0)</f>
        <v>17</v>
      </c>
      <c r="O32" s="19">
        <v>495.59</v>
      </c>
      <c r="P32" s="20">
        <f>IF('Dashboard Visualization'!$U$2="",'Working Data'!$O32*'Working Data'!$N32,'Working Data'!$O32*'Working Data'!$N32*(100%+'Dashboard Visualization'!$U$2))</f>
        <v>8425.0299999999988</v>
      </c>
      <c r="Q32" s="19">
        <v>631.78</v>
      </c>
      <c r="R32" s="20">
        <f t="shared" si="4"/>
        <v>576.81514000000004</v>
      </c>
      <c r="S32" s="11">
        <v>8.6999999999999994E-2</v>
      </c>
      <c r="T32" s="22">
        <f>IF('Dashboard Visualization'!$U$1="",$S32,IF(S32&gt;'Dashboard Visualization'!$U$1,'Dashboard Visualization'!$U$1,S32))</f>
        <v>8.6999999999999994E-2</v>
      </c>
      <c r="U32" s="20">
        <f t="shared" si="5"/>
        <v>8952.7477879400012</v>
      </c>
      <c r="V32" s="20">
        <f t="shared" si="6"/>
        <v>527.71778794000238</v>
      </c>
      <c r="W32" s="22">
        <f t="shared" si="2"/>
        <v>5.8944784376800653E-2</v>
      </c>
      <c r="X32" s="28" t="str">
        <f>TEXT(B32,"MMM-YYYY")</f>
        <v>Dec-2024</v>
      </c>
      <c r="Y32" s="7" t="str">
        <f t="shared" si="7"/>
        <v>Q4-2024</v>
      </c>
      <c r="Z32" s="7" t="str">
        <f t="shared" si="8"/>
        <v>High Price</v>
      </c>
      <c r="AA32" s="7" t="str">
        <f t="shared" si="9"/>
        <v>Q4</v>
      </c>
      <c r="AB32" s="28" t="str">
        <f t="shared" si="10"/>
        <v>Dec</v>
      </c>
      <c r="AC32" s="28" t="str">
        <f t="shared" si="11"/>
        <v>2024</v>
      </c>
    </row>
    <row r="33" spans="1:29" x14ac:dyDescent="0.25">
      <c r="A33" s="4" t="s">
        <v>46</v>
      </c>
      <c r="B33" s="14">
        <v>44980</v>
      </c>
      <c r="C33" s="14">
        <v>45010</v>
      </c>
      <c r="D33" s="16">
        <f t="shared" si="3"/>
        <v>30</v>
      </c>
      <c r="E33" s="4" t="s">
        <v>648</v>
      </c>
      <c r="F33" s="4" t="s">
        <v>653</v>
      </c>
      <c r="G33" s="4" t="s">
        <v>681</v>
      </c>
      <c r="H33" s="4" t="s">
        <v>706</v>
      </c>
      <c r="I33" s="4" t="s">
        <v>708</v>
      </c>
      <c r="J33" s="4" t="s">
        <v>726</v>
      </c>
      <c r="K33" s="4" t="s">
        <v>730</v>
      </c>
      <c r="L33" s="4" t="s">
        <v>765</v>
      </c>
      <c r="M33" s="9">
        <v>16</v>
      </c>
      <c r="N33" s="16">
        <f>ROUND(IF('Dashboard Visualization'!$U$3="",'Working Data'!$M33,'Working Data'!$M33*(100% +'Dashboard Visualization'!$U$3)),0)</f>
        <v>16</v>
      </c>
      <c r="O33" s="19">
        <v>1242.6600000000001</v>
      </c>
      <c r="P33" s="20">
        <f>IF('Dashboard Visualization'!$U$2="",'Working Data'!$O33*'Working Data'!$N33,'Working Data'!$O33*'Working Data'!$N33*(100%+'Dashboard Visualization'!$U$2))</f>
        <v>19882.560000000001</v>
      </c>
      <c r="Q33" s="19">
        <v>1794.07</v>
      </c>
      <c r="R33" s="20">
        <f t="shared" si="4"/>
        <v>1634.39777</v>
      </c>
      <c r="S33" s="11">
        <v>8.8999999999999996E-2</v>
      </c>
      <c r="T33" s="22">
        <f>IF('Dashboard Visualization'!$U$1="",$S33,IF(S33&gt;'Dashboard Visualization'!$U$1,'Dashboard Visualization'!$U$1,S33))</f>
        <v>8.8999999999999996E-2</v>
      </c>
      <c r="U33" s="20">
        <f t="shared" si="5"/>
        <v>23822.981895520003</v>
      </c>
      <c r="V33" s="20">
        <f t="shared" si="6"/>
        <v>3940.4218955200013</v>
      </c>
      <c r="W33" s="22">
        <f t="shared" si="2"/>
        <v>0.16540422659100504</v>
      </c>
      <c r="X33" s="28" t="str">
        <f>TEXT(B33,"MMM-YYYY")</f>
        <v>Feb-2023</v>
      </c>
      <c r="Y33" s="7" t="str">
        <f t="shared" si="7"/>
        <v>Q1-2023</v>
      </c>
      <c r="Z33" s="7" t="str">
        <f t="shared" si="8"/>
        <v>High Price</v>
      </c>
      <c r="AA33" s="7" t="str">
        <f t="shared" si="9"/>
        <v>Q1</v>
      </c>
      <c r="AB33" s="28" t="str">
        <f t="shared" si="10"/>
        <v>Feb</v>
      </c>
      <c r="AC33" s="28" t="str">
        <f t="shared" si="11"/>
        <v>2023</v>
      </c>
    </row>
    <row r="34" spans="1:29" x14ac:dyDescent="0.25">
      <c r="A34" s="4" t="s">
        <v>47</v>
      </c>
      <c r="B34" s="14">
        <v>45862</v>
      </c>
      <c r="C34" s="14">
        <v>45875</v>
      </c>
      <c r="D34" s="16">
        <f t="shared" si="3"/>
        <v>13</v>
      </c>
      <c r="E34" s="4" t="s">
        <v>646</v>
      </c>
      <c r="F34" s="4" t="s">
        <v>661</v>
      </c>
      <c r="G34" s="4" t="s">
        <v>682</v>
      </c>
      <c r="H34" s="4" t="s">
        <v>702</v>
      </c>
      <c r="I34" s="4" t="s">
        <v>709</v>
      </c>
      <c r="J34" s="4" t="s">
        <v>726</v>
      </c>
      <c r="K34" s="4" t="s">
        <v>729</v>
      </c>
      <c r="L34" s="4" t="s">
        <v>766</v>
      </c>
      <c r="M34" s="9">
        <v>4</v>
      </c>
      <c r="N34" s="16">
        <f>ROUND(IF('Dashboard Visualization'!$U$3="",'Working Data'!$M34,'Working Data'!$M34*(100% +'Dashboard Visualization'!$U$3)),0)</f>
        <v>4</v>
      </c>
      <c r="O34" s="19">
        <v>1463.9</v>
      </c>
      <c r="P34" s="20">
        <f>IF('Dashboard Visualization'!$U$2="",'Working Data'!$O34*'Working Data'!$N34,'Working Data'!$O34*'Working Data'!$N34*(100%+'Dashboard Visualization'!$U$2))</f>
        <v>5855.6</v>
      </c>
      <c r="Q34" s="19">
        <v>2633.02</v>
      </c>
      <c r="R34" s="20">
        <f t="shared" si="4"/>
        <v>2411.8463200000001</v>
      </c>
      <c r="S34" s="11">
        <v>8.4000000000000005E-2</v>
      </c>
      <c r="T34" s="22">
        <f>IF('Dashboard Visualization'!$U$1="",$S34,IF(S34&gt;'Dashboard Visualization'!$U$1,'Dashboard Visualization'!$U$1,S34))</f>
        <v>8.4000000000000005E-2</v>
      </c>
      <c r="U34" s="20">
        <f t="shared" si="5"/>
        <v>8837.0049164800002</v>
      </c>
      <c r="V34" s="20">
        <f t="shared" si="6"/>
        <v>2981.4049164799999</v>
      </c>
      <c r="W34" s="22">
        <f t="shared" si="2"/>
        <v>0.33737730652610837</v>
      </c>
      <c r="X34" s="28" t="str">
        <f>TEXT(B34,"MMM-YYYY")</f>
        <v>Jul-2025</v>
      </c>
      <c r="Y34" s="7" t="str">
        <f t="shared" si="7"/>
        <v>Q3-2025</v>
      </c>
      <c r="Z34" s="7" t="str">
        <f t="shared" si="8"/>
        <v>Medium Price</v>
      </c>
      <c r="AA34" s="7" t="str">
        <f t="shared" si="9"/>
        <v>Q3</v>
      </c>
      <c r="AB34" s="28" t="str">
        <f t="shared" si="10"/>
        <v>Jul</v>
      </c>
      <c r="AC34" s="28" t="str">
        <f t="shared" si="11"/>
        <v>2025</v>
      </c>
    </row>
    <row r="35" spans="1:29" x14ac:dyDescent="0.25">
      <c r="A35" s="4" t="s">
        <v>48</v>
      </c>
      <c r="B35" s="14">
        <v>45400</v>
      </c>
      <c r="C35" s="14">
        <v>45420</v>
      </c>
      <c r="D35" s="16">
        <f t="shared" si="3"/>
        <v>20</v>
      </c>
      <c r="E35" s="4" t="s">
        <v>649</v>
      </c>
      <c r="F35" s="4" t="s">
        <v>658</v>
      </c>
      <c r="G35" s="4" t="s">
        <v>683</v>
      </c>
      <c r="H35" s="4" t="s">
        <v>703</v>
      </c>
      <c r="I35" s="4" t="s">
        <v>1430</v>
      </c>
      <c r="J35" s="4" t="s">
        <v>726</v>
      </c>
      <c r="K35" s="4" t="s">
        <v>731</v>
      </c>
      <c r="L35" s="4" t="s">
        <v>767</v>
      </c>
      <c r="M35" s="9">
        <v>10</v>
      </c>
      <c r="N35" s="16">
        <f>ROUND(IF('Dashboard Visualization'!$U$3="",'Working Data'!$M35,'Working Data'!$M35*(100% +'Dashboard Visualization'!$U$3)),0)</f>
        <v>10</v>
      </c>
      <c r="O35" s="19">
        <v>645.33000000000004</v>
      </c>
      <c r="P35" s="20">
        <f>IF('Dashboard Visualization'!$U$2="",'Working Data'!$O35*'Working Data'!$N35,'Working Data'!$O35*'Working Data'!$N35*(100%+'Dashboard Visualization'!$U$2))</f>
        <v>6453.3</v>
      </c>
      <c r="Q35" s="19">
        <v>1321.85</v>
      </c>
      <c r="R35" s="20">
        <f t="shared" si="4"/>
        <v>1321.85</v>
      </c>
      <c r="S35" s="11">
        <v>0</v>
      </c>
      <c r="T35" s="22">
        <f>IF('Dashboard Visualization'!$U$1="",$S35,IF(S35&gt;'Dashboard Visualization'!$U$1,'Dashboard Visualization'!$U$1,S35))</f>
        <v>0</v>
      </c>
      <c r="U35" s="20">
        <f t="shared" si="5"/>
        <v>13218.5</v>
      </c>
      <c r="V35" s="20">
        <f t="shared" si="6"/>
        <v>6765.2</v>
      </c>
      <c r="W35" s="22">
        <f t="shared" si="2"/>
        <v>0.51179785906116426</v>
      </c>
      <c r="X35" s="28" t="str">
        <f>TEXT(B35,"MMM-YYYY")</f>
        <v>Apr-2024</v>
      </c>
      <c r="Y35" s="7" t="str">
        <f t="shared" si="7"/>
        <v>Q2-2024</v>
      </c>
      <c r="Z35" s="7" t="str">
        <f t="shared" si="8"/>
        <v>High Price</v>
      </c>
      <c r="AA35" s="7" t="str">
        <f t="shared" si="9"/>
        <v>Q2</v>
      </c>
      <c r="AB35" s="28" t="str">
        <f t="shared" si="10"/>
        <v>Apr</v>
      </c>
      <c r="AC35" s="28" t="str">
        <f t="shared" si="11"/>
        <v>2024</v>
      </c>
    </row>
    <row r="36" spans="1:29" x14ac:dyDescent="0.25">
      <c r="A36" s="4" t="s">
        <v>49</v>
      </c>
      <c r="B36" s="14">
        <v>45527</v>
      </c>
      <c r="C36" s="14">
        <v>45525</v>
      </c>
      <c r="D36" s="16" t="str">
        <f t="shared" si="3"/>
        <v/>
      </c>
      <c r="E36" s="4" t="s">
        <v>646</v>
      </c>
      <c r="F36" s="4" t="s">
        <v>661</v>
      </c>
      <c r="G36" s="4" t="s">
        <v>682</v>
      </c>
      <c r="H36" s="4" t="s">
        <v>702</v>
      </c>
      <c r="I36" s="4" t="s">
        <v>707</v>
      </c>
      <c r="J36" s="4" t="s">
        <v>718</v>
      </c>
      <c r="K36" s="4" t="s">
        <v>727</v>
      </c>
      <c r="L36" s="4" t="s">
        <v>768</v>
      </c>
      <c r="M36" s="9">
        <v>9</v>
      </c>
      <c r="N36" s="16">
        <f>ROUND(IF('Dashboard Visualization'!$U$3="",'Working Data'!$M36,'Working Data'!$M36*(100% +'Dashboard Visualization'!$U$3)),0)</f>
        <v>9</v>
      </c>
      <c r="O36" s="19">
        <v>1432.52</v>
      </c>
      <c r="P36" s="20">
        <f>IF('Dashboard Visualization'!$U$2="",'Working Data'!$O36*'Working Data'!$N36,'Working Data'!$O36*'Working Data'!$N36*(100%+'Dashboard Visualization'!$U$2))</f>
        <v>12892.68</v>
      </c>
      <c r="Q36" s="19">
        <v>3036.87</v>
      </c>
      <c r="R36" s="20">
        <f t="shared" si="4"/>
        <v>3036.87</v>
      </c>
      <c r="S36" s="11">
        <v>0</v>
      </c>
      <c r="T36" s="22">
        <f>IF('Dashboard Visualization'!$U$1="",$S36,IF(S36&gt;'Dashboard Visualization'!$U$1,'Dashboard Visualization'!$U$1,S36))</f>
        <v>0</v>
      </c>
      <c r="U36" s="20">
        <f t="shared" si="5"/>
        <v>27331.829999999998</v>
      </c>
      <c r="V36" s="20">
        <f t="shared" si="6"/>
        <v>14439.149999999998</v>
      </c>
      <c r="W36" s="22">
        <f t="shared" si="2"/>
        <v>0.52829064135112791</v>
      </c>
      <c r="X36" s="28" t="str">
        <f>TEXT(B36,"MMM-YYYY")</f>
        <v>Aug-2024</v>
      </c>
      <c r="Y36" s="7" t="str">
        <f t="shared" si="7"/>
        <v>Q3-2024</v>
      </c>
      <c r="Z36" s="7" t="str">
        <f t="shared" si="8"/>
        <v>Medium Price</v>
      </c>
      <c r="AA36" s="7" t="str">
        <f t="shared" si="9"/>
        <v>Q3</v>
      </c>
      <c r="AB36" s="28" t="str">
        <f t="shared" si="10"/>
        <v>Aug</v>
      </c>
      <c r="AC36" s="28" t="str">
        <f t="shared" si="11"/>
        <v>2024</v>
      </c>
    </row>
    <row r="37" spans="1:29" x14ac:dyDescent="0.25">
      <c r="A37" s="4" t="s">
        <v>50</v>
      </c>
      <c r="B37" s="14">
        <v>45012</v>
      </c>
      <c r="C37" s="14">
        <v>45038</v>
      </c>
      <c r="D37" s="16">
        <f t="shared" si="3"/>
        <v>26</v>
      </c>
      <c r="E37" s="4" t="s">
        <v>647</v>
      </c>
      <c r="F37" s="4" t="s">
        <v>654</v>
      </c>
      <c r="G37" s="4" t="s">
        <v>680</v>
      </c>
      <c r="H37" s="4" t="s">
        <v>703</v>
      </c>
      <c r="I37" s="4" t="s">
        <v>709</v>
      </c>
      <c r="J37" s="4" t="s">
        <v>713</v>
      </c>
      <c r="K37" s="4" t="s">
        <v>728</v>
      </c>
      <c r="L37" s="4" t="s">
        <v>769</v>
      </c>
      <c r="M37" s="9">
        <v>37</v>
      </c>
      <c r="N37" s="16">
        <f>ROUND(IF('Dashboard Visualization'!$U$3="",'Working Data'!$M37,'Working Data'!$M37*(100% +'Dashboard Visualization'!$U$3)),0)</f>
        <v>37</v>
      </c>
      <c r="O37" s="19">
        <v>178.53</v>
      </c>
      <c r="P37" s="20">
        <f>IF('Dashboard Visualization'!$U$2="",'Working Data'!$O37*'Working Data'!$N37,'Working Data'!$O37*'Working Data'!$N37*(100%+'Dashboard Visualization'!$U$2))</f>
        <v>6605.61</v>
      </c>
      <c r="Q37" s="19">
        <v>199.37</v>
      </c>
      <c r="R37" s="20">
        <f t="shared" si="4"/>
        <v>179.23363000000001</v>
      </c>
      <c r="S37" s="11">
        <v>0.10100000000000001</v>
      </c>
      <c r="T37" s="22">
        <f>IF('Dashboard Visualization'!$U$1="",$S37,IF(S37&gt;'Dashboard Visualization'!$U$1,'Dashboard Visualization'!$U$1,S37))</f>
        <v>0.10100000000000001</v>
      </c>
      <c r="U37" s="20">
        <f t="shared" si="5"/>
        <v>5961.84823469</v>
      </c>
      <c r="V37" s="20">
        <f t="shared" si="6"/>
        <v>-643.76176530999965</v>
      </c>
      <c r="W37" s="22">
        <f t="shared" si="2"/>
        <v>0</v>
      </c>
      <c r="X37" s="28" t="str">
        <f>TEXT(B37,"MMM-YYYY")</f>
        <v>Mar-2023</v>
      </c>
      <c r="Y37" s="7" t="str">
        <f t="shared" si="7"/>
        <v>Q1-2023</v>
      </c>
      <c r="Z37" s="7" t="str">
        <f t="shared" si="8"/>
        <v>Low Price</v>
      </c>
      <c r="AA37" s="7" t="str">
        <f t="shared" si="9"/>
        <v>Q1</v>
      </c>
      <c r="AB37" s="28" t="str">
        <f t="shared" si="10"/>
        <v>Mar</v>
      </c>
      <c r="AC37" s="28" t="str">
        <f t="shared" si="11"/>
        <v>2023</v>
      </c>
    </row>
    <row r="38" spans="1:29" x14ac:dyDescent="0.25">
      <c r="A38" s="4" t="s">
        <v>51</v>
      </c>
      <c r="B38" s="14">
        <v>45358</v>
      </c>
      <c r="C38" s="14">
        <v>45376</v>
      </c>
      <c r="D38" s="16">
        <f t="shared" si="3"/>
        <v>18</v>
      </c>
      <c r="E38" s="4" t="s">
        <v>649</v>
      </c>
      <c r="F38" s="4" t="s">
        <v>656</v>
      </c>
      <c r="G38" s="4" t="s">
        <v>684</v>
      </c>
      <c r="H38" s="4" t="s">
        <v>701</v>
      </c>
      <c r="I38" s="4" t="s">
        <v>708</v>
      </c>
      <c r="J38" s="4" t="s">
        <v>717</v>
      </c>
      <c r="K38" s="4" t="s">
        <v>727</v>
      </c>
      <c r="L38" s="4" t="s">
        <v>770</v>
      </c>
      <c r="M38" s="9">
        <v>27</v>
      </c>
      <c r="N38" s="16">
        <f>ROUND(IF('Dashboard Visualization'!$U$3="",'Working Data'!$M38,'Working Data'!$M38*(100% +'Dashboard Visualization'!$U$3)),0)</f>
        <v>27</v>
      </c>
      <c r="O38" s="19">
        <v>712.84</v>
      </c>
      <c r="P38" s="20">
        <f>IF('Dashboard Visualization'!$U$2="",'Working Data'!$O38*'Working Data'!$N38,'Working Data'!$O38*'Working Data'!$N38*(100%+'Dashboard Visualization'!$U$2))</f>
        <v>19246.68</v>
      </c>
      <c r="Q38" s="19">
        <v>927.51</v>
      </c>
      <c r="R38" s="20">
        <f t="shared" si="4"/>
        <v>702.12507000000005</v>
      </c>
      <c r="S38" s="11">
        <v>0.24299999999999999</v>
      </c>
      <c r="T38" s="22">
        <f>IF('Dashboard Visualization'!$U$1="",$S38,IF(S38&gt;'Dashboard Visualization'!$U$1,'Dashboard Visualization'!$U$1,S38))</f>
        <v>0.24299999999999999</v>
      </c>
      <c r="U38" s="20">
        <f t="shared" si="5"/>
        <v>14350.73430573</v>
      </c>
      <c r="V38" s="20">
        <f t="shared" si="6"/>
        <v>-4895.9456942699999</v>
      </c>
      <c r="W38" s="22">
        <f t="shared" si="2"/>
        <v>0</v>
      </c>
      <c r="X38" s="28" t="str">
        <f>TEXT(B38,"MMM-YYYY")</f>
        <v>Mar-2024</v>
      </c>
      <c r="Y38" s="7" t="str">
        <f t="shared" si="7"/>
        <v>Q1-2024</v>
      </c>
      <c r="Z38" s="7" t="str">
        <f t="shared" si="8"/>
        <v>High Price</v>
      </c>
      <c r="AA38" s="7" t="str">
        <f t="shared" si="9"/>
        <v>Q1</v>
      </c>
      <c r="AB38" s="28" t="str">
        <f t="shared" si="10"/>
        <v>Mar</v>
      </c>
      <c r="AC38" s="28" t="str">
        <f t="shared" si="11"/>
        <v>2024</v>
      </c>
    </row>
    <row r="39" spans="1:29" x14ac:dyDescent="0.25">
      <c r="A39" s="4" t="s">
        <v>52</v>
      </c>
      <c r="B39" s="14">
        <v>45832</v>
      </c>
      <c r="C39" s="14">
        <v>45848</v>
      </c>
      <c r="D39" s="16">
        <f t="shared" si="3"/>
        <v>16</v>
      </c>
      <c r="E39" s="4" t="s">
        <v>647</v>
      </c>
      <c r="F39" s="4" t="s">
        <v>659</v>
      </c>
      <c r="G39" s="4" t="s">
        <v>685</v>
      </c>
      <c r="H39" s="4" t="s">
        <v>706</v>
      </c>
      <c r="I39" s="4" t="s">
        <v>711</v>
      </c>
      <c r="J39" s="4" t="s">
        <v>725</v>
      </c>
      <c r="K39" s="4" t="s">
        <v>727</v>
      </c>
      <c r="L39" s="4" t="s">
        <v>771</v>
      </c>
      <c r="M39" s="9">
        <v>8</v>
      </c>
      <c r="N39" s="16">
        <f>ROUND(IF('Dashboard Visualization'!$U$3="",'Working Data'!$M39,'Working Data'!$M39*(100% +'Dashboard Visualization'!$U$3)),0)</f>
        <v>8</v>
      </c>
      <c r="O39" s="19">
        <v>757.19</v>
      </c>
      <c r="P39" s="20">
        <f>IF('Dashboard Visualization'!$U$2="",'Working Data'!$O39*'Working Data'!$N39,'Working Data'!$O39*'Working Data'!$N39*(100%+'Dashboard Visualization'!$U$2))</f>
        <v>6057.52</v>
      </c>
      <c r="Q39" s="19">
        <v>1735.41</v>
      </c>
      <c r="R39" s="20">
        <f t="shared" si="4"/>
        <v>1499.3942400000001</v>
      </c>
      <c r="S39" s="11">
        <v>0.13600000000000001</v>
      </c>
      <c r="T39" s="22">
        <f>IF('Dashboard Visualization'!$U$1="",$S39,IF(S39&gt;'Dashboard Visualization'!$U$1,'Dashboard Visualization'!$U$1,S39))</f>
        <v>0.13600000000000001</v>
      </c>
      <c r="U39" s="20">
        <f t="shared" si="5"/>
        <v>10363.812986880001</v>
      </c>
      <c r="V39" s="20">
        <f t="shared" si="6"/>
        <v>4306.2929868800002</v>
      </c>
      <c r="W39" s="22">
        <f t="shared" si="2"/>
        <v>0.41551241732473587</v>
      </c>
      <c r="X39" s="28" t="str">
        <f>TEXT(B39,"MMM-YYYY")</f>
        <v>Jun-2025</v>
      </c>
      <c r="Y39" s="7" t="str">
        <f t="shared" si="7"/>
        <v>Q2-2025</v>
      </c>
      <c r="Z39" s="7" t="str">
        <f t="shared" si="8"/>
        <v>High Price</v>
      </c>
      <c r="AA39" s="7" t="str">
        <f t="shared" si="9"/>
        <v>Q2</v>
      </c>
      <c r="AB39" s="28" t="str">
        <f t="shared" si="10"/>
        <v>Jun</v>
      </c>
      <c r="AC39" s="28" t="str">
        <f t="shared" si="11"/>
        <v>2025</v>
      </c>
    </row>
    <row r="40" spans="1:29" x14ac:dyDescent="0.25">
      <c r="A40" s="4" t="s">
        <v>53</v>
      </c>
      <c r="B40" s="14">
        <v>45401</v>
      </c>
      <c r="C40" s="14">
        <v>45418</v>
      </c>
      <c r="D40" s="16">
        <f t="shared" si="3"/>
        <v>17</v>
      </c>
      <c r="E40" s="4" t="s">
        <v>646</v>
      </c>
      <c r="F40" s="4" t="s">
        <v>651</v>
      </c>
      <c r="G40" s="4" t="s">
        <v>663</v>
      </c>
      <c r="H40" s="4" t="s">
        <v>703</v>
      </c>
      <c r="I40" s="4" t="s">
        <v>708</v>
      </c>
      <c r="J40" s="4" t="s">
        <v>720</v>
      </c>
      <c r="K40" s="4" t="s">
        <v>728</v>
      </c>
      <c r="L40" s="4" t="s">
        <v>772</v>
      </c>
      <c r="M40" s="9">
        <v>13</v>
      </c>
      <c r="N40" s="16">
        <f>ROUND(IF('Dashboard Visualization'!$U$3="",'Working Data'!$M40,'Working Data'!$M40*(100% +'Dashboard Visualization'!$U$3)),0)</f>
        <v>13</v>
      </c>
      <c r="O40" s="19">
        <v>865.33</v>
      </c>
      <c r="P40" s="20">
        <f>IF('Dashboard Visualization'!$U$2="",'Working Data'!$O40*'Working Data'!$N40,'Working Data'!$O40*'Working Data'!$N40*(100%+'Dashboard Visualization'!$U$2))</f>
        <v>11249.29</v>
      </c>
      <c r="Q40" s="19">
        <v>1395.64</v>
      </c>
      <c r="R40" s="20">
        <f t="shared" si="4"/>
        <v>1151.403</v>
      </c>
      <c r="S40" s="11">
        <v>0.17499999999999999</v>
      </c>
      <c r="T40" s="22">
        <f>IF('Dashboard Visualization'!$U$1="",$S40,IF(S40&gt;'Dashboard Visualization'!$U$1,'Dashboard Visualization'!$U$1,S40))</f>
        <v>0.17499999999999999</v>
      </c>
      <c r="U40" s="20">
        <f t="shared" si="5"/>
        <v>12348.797175</v>
      </c>
      <c r="V40" s="20">
        <f t="shared" si="6"/>
        <v>1099.5071749999988</v>
      </c>
      <c r="W40" s="22">
        <f t="shared" si="2"/>
        <v>8.9037592845555735E-2</v>
      </c>
      <c r="X40" s="28" t="str">
        <f>TEXT(B40,"MMM-YYYY")</f>
        <v>Apr-2024</v>
      </c>
      <c r="Y40" s="7" t="str">
        <f t="shared" si="7"/>
        <v>Q2-2024</v>
      </c>
      <c r="Z40" s="7" t="str">
        <f t="shared" si="8"/>
        <v>High Price</v>
      </c>
      <c r="AA40" s="7" t="str">
        <f t="shared" si="9"/>
        <v>Q2</v>
      </c>
      <c r="AB40" s="28" t="str">
        <f t="shared" si="10"/>
        <v>Apr</v>
      </c>
      <c r="AC40" s="28" t="str">
        <f t="shared" si="11"/>
        <v>2024</v>
      </c>
    </row>
    <row r="41" spans="1:29" x14ac:dyDescent="0.25">
      <c r="A41" s="4" t="s">
        <v>54</v>
      </c>
      <c r="B41" s="14">
        <v>45094</v>
      </c>
      <c r="C41" s="14">
        <v>45101</v>
      </c>
      <c r="D41" s="16">
        <f t="shared" si="3"/>
        <v>7</v>
      </c>
      <c r="E41" s="4" t="s">
        <v>648</v>
      </c>
      <c r="F41" s="4" t="s">
        <v>660</v>
      </c>
      <c r="G41" s="4" t="s">
        <v>686</v>
      </c>
      <c r="H41" s="4" t="s">
        <v>701</v>
      </c>
      <c r="I41" s="4" t="s">
        <v>707</v>
      </c>
      <c r="J41" s="4" t="s">
        <v>714</v>
      </c>
      <c r="K41" s="4" t="s">
        <v>728</v>
      </c>
      <c r="L41" s="4" t="s">
        <v>773</v>
      </c>
      <c r="M41" s="9">
        <v>9</v>
      </c>
      <c r="N41" s="16">
        <f>ROUND(IF('Dashboard Visualization'!$U$3="",'Working Data'!$M41,'Working Data'!$M41*(100% +'Dashboard Visualization'!$U$3)),0)</f>
        <v>9</v>
      </c>
      <c r="O41" s="19">
        <v>313.99</v>
      </c>
      <c r="P41" s="20">
        <f>IF('Dashboard Visualization'!$U$2="",'Working Data'!$O41*'Working Data'!$N41,'Working Data'!$O41*'Working Data'!$N41*(100%+'Dashboard Visualization'!$U$2))</f>
        <v>2825.91</v>
      </c>
      <c r="Q41" s="19">
        <v>454.42</v>
      </c>
      <c r="R41" s="20">
        <f t="shared" si="4"/>
        <v>395.79982000000001</v>
      </c>
      <c r="S41" s="11">
        <v>0.129</v>
      </c>
      <c r="T41" s="22">
        <f>IF('Dashboard Visualization'!$U$1="",$S41,IF(S41&gt;'Dashboard Visualization'!$U$1,'Dashboard Visualization'!$U$1,S41))</f>
        <v>0.129</v>
      </c>
      <c r="U41" s="20">
        <f t="shared" si="5"/>
        <v>3102.6747889799999</v>
      </c>
      <c r="V41" s="20">
        <f t="shared" si="6"/>
        <v>276.76478898000005</v>
      </c>
      <c r="W41" s="22">
        <f t="shared" si="2"/>
        <v>8.9201997567713534E-2</v>
      </c>
      <c r="X41" s="28" t="str">
        <f>TEXT(B41,"MMM-YYYY")</f>
        <v>Jun-2023</v>
      </c>
      <c r="Y41" s="7" t="str">
        <f t="shared" si="7"/>
        <v>Q2-2023</v>
      </c>
      <c r="Z41" s="7" t="str">
        <f t="shared" si="8"/>
        <v>Low Price</v>
      </c>
      <c r="AA41" s="7" t="str">
        <f t="shared" si="9"/>
        <v>Q2</v>
      </c>
      <c r="AB41" s="28" t="str">
        <f t="shared" si="10"/>
        <v>Jun</v>
      </c>
      <c r="AC41" s="28" t="str">
        <f t="shared" si="11"/>
        <v>2023</v>
      </c>
    </row>
    <row r="42" spans="1:29" x14ac:dyDescent="0.25">
      <c r="A42" s="4" t="s">
        <v>55</v>
      </c>
      <c r="B42" s="14">
        <v>45531</v>
      </c>
      <c r="C42" s="14">
        <v>45554</v>
      </c>
      <c r="D42" s="16">
        <f t="shared" si="3"/>
        <v>23</v>
      </c>
      <c r="E42" s="4" t="s">
        <v>649</v>
      </c>
      <c r="F42" s="4" t="s">
        <v>656</v>
      </c>
      <c r="G42" s="4" t="s">
        <v>671</v>
      </c>
      <c r="H42" s="4" t="s">
        <v>705</v>
      </c>
      <c r="I42" s="4" t="s">
        <v>711</v>
      </c>
      <c r="J42" s="4" t="s">
        <v>726</v>
      </c>
      <c r="K42" s="4" t="s">
        <v>732</v>
      </c>
      <c r="L42" s="4" t="s">
        <v>774</v>
      </c>
      <c r="M42" s="9">
        <v>27</v>
      </c>
      <c r="N42" s="16">
        <f>ROUND(IF('Dashboard Visualization'!$U$3="",'Working Data'!$M42,'Working Data'!$M42*(100% +'Dashboard Visualization'!$U$3)),0)</f>
        <v>27</v>
      </c>
      <c r="O42" s="19">
        <v>1024.01</v>
      </c>
      <c r="P42" s="20">
        <f>IF('Dashboard Visualization'!$U$2="",'Working Data'!$O42*'Working Data'!$N42,'Working Data'!$O42*'Working Data'!$N42*(100%+'Dashboard Visualization'!$U$2))</f>
        <v>27648.27</v>
      </c>
      <c r="Q42" s="19">
        <v>1580.97</v>
      </c>
      <c r="R42" s="20">
        <f t="shared" si="4"/>
        <v>1522.4741099999999</v>
      </c>
      <c r="S42" s="11">
        <v>3.6999999999999998E-2</v>
      </c>
      <c r="T42" s="22">
        <f>IF('Dashboard Visualization'!$U$1="",$S42,IF(S42&gt;'Dashboard Visualization'!$U$1,'Dashboard Visualization'!$U$1,S42))</f>
        <v>3.6999999999999998E-2</v>
      </c>
      <c r="U42" s="20">
        <f t="shared" si="5"/>
        <v>39585.849334109997</v>
      </c>
      <c r="V42" s="20">
        <f t="shared" si="6"/>
        <v>11937.579334109996</v>
      </c>
      <c r="W42" s="22">
        <f t="shared" si="2"/>
        <v>0.3015617836908131</v>
      </c>
      <c r="X42" s="28" t="str">
        <f>TEXT(B42,"MMM-YYYY")</f>
        <v>Aug-2024</v>
      </c>
      <c r="Y42" s="7" t="str">
        <f t="shared" si="7"/>
        <v>Q3-2024</v>
      </c>
      <c r="Z42" s="7" t="str">
        <f t="shared" si="8"/>
        <v>High Price</v>
      </c>
      <c r="AA42" s="7" t="str">
        <f t="shared" si="9"/>
        <v>Q3</v>
      </c>
      <c r="AB42" s="28" t="str">
        <f t="shared" si="10"/>
        <v>Aug</v>
      </c>
      <c r="AC42" s="28" t="str">
        <f t="shared" si="11"/>
        <v>2024</v>
      </c>
    </row>
    <row r="43" spans="1:29" x14ac:dyDescent="0.25">
      <c r="A43" s="4" t="s">
        <v>56</v>
      </c>
      <c r="B43" s="14">
        <v>45302</v>
      </c>
      <c r="C43" s="14">
        <v>45324</v>
      </c>
      <c r="D43" s="16">
        <f t="shared" si="3"/>
        <v>22</v>
      </c>
      <c r="E43" s="4" t="s">
        <v>646</v>
      </c>
      <c r="F43" s="4" t="s">
        <v>661</v>
      </c>
      <c r="G43" s="4" t="s">
        <v>687</v>
      </c>
      <c r="H43" s="4" t="s">
        <v>704</v>
      </c>
      <c r="I43" s="4" t="s">
        <v>708</v>
      </c>
      <c r="J43" s="4" t="s">
        <v>723</v>
      </c>
      <c r="K43" s="4" t="s">
        <v>729</v>
      </c>
      <c r="L43" s="4" t="s">
        <v>775</v>
      </c>
      <c r="M43" s="9">
        <v>6</v>
      </c>
      <c r="N43" s="16">
        <f>ROUND(IF('Dashboard Visualization'!$U$3="",'Working Data'!$M43,'Working Data'!$M43*(100% +'Dashboard Visualization'!$U$3)),0)</f>
        <v>6</v>
      </c>
      <c r="O43" s="19">
        <v>1206.2</v>
      </c>
      <c r="P43" s="20">
        <f>IF('Dashboard Visualization'!$U$2="",'Working Data'!$O43*'Working Data'!$N43,'Working Data'!$O43*'Working Data'!$N43*(100%+'Dashboard Visualization'!$U$2))</f>
        <v>7237.2000000000007</v>
      </c>
      <c r="Q43" s="19">
        <v>1759.79</v>
      </c>
      <c r="R43" s="20">
        <f t="shared" si="4"/>
        <v>1759.79</v>
      </c>
      <c r="S43" s="11">
        <v>0</v>
      </c>
      <c r="T43" s="22">
        <f>IF('Dashboard Visualization'!$U$1="",$S43,IF(S43&gt;'Dashboard Visualization'!$U$1,'Dashboard Visualization'!$U$1,S43))</f>
        <v>0</v>
      </c>
      <c r="U43" s="20">
        <f t="shared" si="5"/>
        <v>10558.74</v>
      </c>
      <c r="V43" s="20">
        <f t="shared" si="6"/>
        <v>3321.5399999999991</v>
      </c>
      <c r="W43" s="22">
        <f t="shared" si="2"/>
        <v>0.31457730751964713</v>
      </c>
      <c r="X43" s="28" t="str">
        <f>TEXT(B43,"MMM-YYYY")</f>
        <v>Jan-2024</v>
      </c>
      <c r="Y43" s="7" t="str">
        <f t="shared" si="7"/>
        <v>Q1-2024</v>
      </c>
      <c r="Z43" s="7" t="str">
        <f t="shared" si="8"/>
        <v>Medium Price</v>
      </c>
      <c r="AA43" s="7" t="str">
        <f t="shared" si="9"/>
        <v>Q1</v>
      </c>
      <c r="AB43" s="28" t="str">
        <f t="shared" si="10"/>
        <v>Jan</v>
      </c>
      <c r="AC43" s="28" t="str">
        <f t="shared" si="11"/>
        <v>2024</v>
      </c>
    </row>
    <row r="44" spans="1:29" x14ac:dyDescent="0.25">
      <c r="A44" s="4" t="s">
        <v>57</v>
      </c>
      <c r="B44" s="14">
        <v>45590</v>
      </c>
      <c r="C44" s="14">
        <v>45610</v>
      </c>
      <c r="D44" s="16">
        <f t="shared" si="3"/>
        <v>20</v>
      </c>
      <c r="E44" s="4" t="s">
        <v>646</v>
      </c>
      <c r="F44" s="4" t="s">
        <v>650</v>
      </c>
      <c r="G44" s="4" t="s">
        <v>675</v>
      </c>
      <c r="H44" s="4" t="s">
        <v>701</v>
      </c>
      <c r="I44" s="4" t="s">
        <v>711</v>
      </c>
      <c r="J44" s="4" t="s">
        <v>722</v>
      </c>
      <c r="K44" s="4" t="s">
        <v>728</v>
      </c>
      <c r="L44" s="4" t="s">
        <v>776</v>
      </c>
      <c r="M44" s="9">
        <v>14</v>
      </c>
      <c r="N44" s="16">
        <f>ROUND(IF('Dashboard Visualization'!$U$3="",'Working Data'!$M44,'Working Data'!$M44*(100% +'Dashboard Visualization'!$U$3)),0)</f>
        <v>14</v>
      </c>
      <c r="O44" s="19">
        <v>1396.48</v>
      </c>
      <c r="P44" s="20">
        <f>IF('Dashboard Visualization'!$U$2="",'Working Data'!$O44*'Working Data'!$N44,'Working Data'!$O44*'Working Data'!$N44*(100%+'Dashboard Visualization'!$U$2))</f>
        <v>19550.72</v>
      </c>
      <c r="Q44" s="19">
        <v>3204.5</v>
      </c>
      <c r="R44" s="20">
        <f t="shared" si="4"/>
        <v>2185.4689999999996</v>
      </c>
      <c r="S44" s="11">
        <v>0.318</v>
      </c>
      <c r="T44" s="22">
        <f>IF('Dashboard Visualization'!$U$1="",$S44,IF(S44&gt;'Dashboard Visualization'!$U$1,'Dashboard Visualization'!$U$1,S44))</f>
        <v>0.318</v>
      </c>
      <c r="U44" s="20">
        <f t="shared" si="5"/>
        <v>20866.858011999997</v>
      </c>
      <c r="V44" s="20">
        <f t="shared" si="6"/>
        <v>1316.1380119999958</v>
      </c>
      <c r="W44" s="22">
        <f t="shared" si="2"/>
        <v>6.3073128270826326E-2</v>
      </c>
      <c r="X44" s="28" t="str">
        <f>TEXT(B44,"MMM-YYYY")</f>
        <v>Oct-2024</v>
      </c>
      <c r="Y44" s="7" t="str">
        <f t="shared" si="7"/>
        <v>Q4-2024</v>
      </c>
      <c r="Z44" s="7" t="str">
        <f t="shared" si="8"/>
        <v>Medium Price</v>
      </c>
      <c r="AA44" s="7" t="str">
        <f t="shared" si="9"/>
        <v>Q4</v>
      </c>
      <c r="AB44" s="28" t="str">
        <f t="shared" si="10"/>
        <v>Oct</v>
      </c>
      <c r="AC44" s="28" t="str">
        <f t="shared" si="11"/>
        <v>2024</v>
      </c>
    </row>
    <row r="45" spans="1:29" x14ac:dyDescent="0.25">
      <c r="A45" s="4" t="s">
        <v>58</v>
      </c>
      <c r="B45" s="14">
        <v>45806</v>
      </c>
      <c r="C45" s="14">
        <v>45828</v>
      </c>
      <c r="D45" s="16">
        <f t="shared" si="3"/>
        <v>22</v>
      </c>
      <c r="E45" s="4" t="s">
        <v>649</v>
      </c>
      <c r="F45" s="4" t="s">
        <v>656</v>
      </c>
      <c r="G45" s="4" t="s">
        <v>671</v>
      </c>
      <c r="H45" s="4" t="s">
        <v>701</v>
      </c>
      <c r="I45" s="4" t="s">
        <v>711</v>
      </c>
      <c r="J45" s="4" t="s">
        <v>720</v>
      </c>
      <c r="K45" s="4" t="s">
        <v>728</v>
      </c>
      <c r="L45" s="4" t="s">
        <v>777</v>
      </c>
      <c r="M45" s="9">
        <v>11</v>
      </c>
      <c r="N45" s="16">
        <f>ROUND(IF('Dashboard Visualization'!$U$3="",'Working Data'!$M45,'Working Data'!$M45*(100% +'Dashboard Visualization'!$U$3)),0)</f>
        <v>11</v>
      </c>
      <c r="O45" s="19">
        <v>483.47</v>
      </c>
      <c r="P45" s="20">
        <f>IF('Dashboard Visualization'!$U$2="",'Working Data'!$O45*'Working Data'!$N45,'Working Data'!$O45*'Working Data'!$N45*(100%+'Dashboard Visualization'!$U$2))</f>
        <v>5318.17</v>
      </c>
      <c r="Q45" s="19">
        <v>1135.43</v>
      </c>
      <c r="R45" s="20">
        <f t="shared" si="4"/>
        <v>969.65722000000005</v>
      </c>
      <c r="S45" s="11">
        <v>0.14599999999999999</v>
      </c>
      <c r="T45" s="22">
        <f>IF('Dashboard Visualization'!$U$1="",$S45,IF(S45&gt;'Dashboard Visualization'!$U$1,'Dashboard Visualization'!$U$1,S45))</f>
        <v>0.14599999999999999</v>
      </c>
      <c r="U45" s="20">
        <f t="shared" si="5"/>
        <v>9108.9599246800008</v>
      </c>
      <c r="V45" s="20">
        <f t="shared" si="6"/>
        <v>3790.7899246800007</v>
      </c>
      <c r="W45" s="22">
        <f t="shared" si="2"/>
        <v>0.41616056674145174</v>
      </c>
      <c r="X45" s="28" t="str">
        <f>TEXT(B45,"MMM-YYYY")</f>
        <v>May-2025</v>
      </c>
      <c r="Y45" s="7" t="str">
        <f t="shared" si="7"/>
        <v>Q2-2025</v>
      </c>
      <c r="Z45" s="7" t="str">
        <f t="shared" si="8"/>
        <v>High Price</v>
      </c>
      <c r="AA45" s="7" t="str">
        <f t="shared" si="9"/>
        <v>Q2</v>
      </c>
      <c r="AB45" s="28" t="str">
        <f t="shared" si="10"/>
        <v>May</v>
      </c>
      <c r="AC45" s="28" t="str">
        <f t="shared" si="11"/>
        <v>2025</v>
      </c>
    </row>
    <row r="46" spans="1:29" x14ac:dyDescent="0.25">
      <c r="A46" s="4" t="s">
        <v>59</v>
      </c>
      <c r="B46" s="14">
        <v>45432</v>
      </c>
      <c r="C46" s="14">
        <v>45445</v>
      </c>
      <c r="D46" s="16">
        <f t="shared" si="3"/>
        <v>13</v>
      </c>
      <c r="E46" s="4" t="s">
        <v>648</v>
      </c>
      <c r="F46" s="4" t="s">
        <v>653</v>
      </c>
      <c r="G46" s="4" t="s">
        <v>688</v>
      </c>
      <c r="H46" s="4" t="s">
        <v>706</v>
      </c>
      <c r="I46" s="4" t="s">
        <v>709</v>
      </c>
      <c r="J46" s="4" t="s">
        <v>723</v>
      </c>
      <c r="K46" s="4" t="s">
        <v>727</v>
      </c>
      <c r="L46" s="4" t="s">
        <v>778</v>
      </c>
      <c r="M46" s="9">
        <v>22</v>
      </c>
      <c r="N46" s="16">
        <f>ROUND(IF('Dashboard Visualization'!$U$3="",'Working Data'!$M46,'Working Data'!$M46*(100% +'Dashboard Visualization'!$U$3)),0)</f>
        <v>22</v>
      </c>
      <c r="O46" s="19">
        <v>675.43</v>
      </c>
      <c r="P46" s="20">
        <f>IF('Dashboard Visualization'!$U$2="",'Working Data'!$O46*'Working Data'!$N46,'Working Data'!$O46*'Working Data'!$N46*(100%+'Dashboard Visualization'!$U$2))</f>
        <v>14859.46</v>
      </c>
      <c r="Q46" s="19">
        <v>996.36</v>
      </c>
      <c r="R46" s="20">
        <f t="shared" si="4"/>
        <v>815.02248000000009</v>
      </c>
      <c r="S46" s="11">
        <v>0.182</v>
      </c>
      <c r="T46" s="22">
        <f>IF('Dashboard Visualization'!$U$1="",$S46,IF(S46&gt;'Dashboard Visualization'!$U$1,'Dashboard Visualization'!$U$1,S46))</f>
        <v>0.182</v>
      </c>
      <c r="U46" s="20">
        <f t="shared" si="5"/>
        <v>14667.144550080002</v>
      </c>
      <c r="V46" s="20">
        <f t="shared" si="6"/>
        <v>-192.31544991999726</v>
      </c>
      <c r="W46" s="22">
        <f t="shared" si="2"/>
        <v>0</v>
      </c>
      <c r="X46" s="28" t="str">
        <f>TEXT(B46,"MMM-YYYY")</f>
        <v>May-2024</v>
      </c>
      <c r="Y46" s="7" t="str">
        <f t="shared" si="7"/>
        <v>Q2-2024</v>
      </c>
      <c r="Z46" s="7" t="str">
        <f t="shared" si="8"/>
        <v>High Price</v>
      </c>
      <c r="AA46" s="7" t="str">
        <f t="shared" si="9"/>
        <v>Q2</v>
      </c>
      <c r="AB46" s="28" t="str">
        <f t="shared" si="10"/>
        <v>May</v>
      </c>
      <c r="AC46" s="28" t="str">
        <f t="shared" si="11"/>
        <v>2024</v>
      </c>
    </row>
    <row r="47" spans="1:29" x14ac:dyDescent="0.25">
      <c r="A47" s="4" t="s">
        <v>60</v>
      </c>
      <c r="B47" s="14">
        <v>45035</v>
      </c>
      <c r="C47" s="14">
        <v>45046</v>
      </c>
      <c r="D47" s="16">
        <f t="shared" si="3"/>
        <v>11</v>
      </c>
      <c r="E47" s="4" t="s">
        <v>647</v>
      </c>
      <c r="F47" s="4" t="s">
        <v>654</v>
      </c>
      <c r="G47" s="4" t="s">
        <v>680</v>
      </c>
      <c r="H47" s="4" t="s">
        <v>705</v>
      </c>
      <c r="I47" s="4" t="s">
        <v>707</v>
      </c>
      <c r="J47" s="4" t="s">
        <v>720</v>
      </c>
      <c r="K47" s="4" t="s">
        <v>729</v>
      </c>
      <c r="L47" s="4" t="s">
        <v>779</v>
      </c>
      <c r="M47" s="9">
        <v>28</v>
      </c>
      <c r="N47" s="16">
        <f>ROUND(IF('Dashboard Visualization'!$U$3="",'Working Data'!$M47,'Working Data'!$M47*(100% +'Dashboard Visualization'!$U$3)),0)</f>
        <v>28</v>
      </c>
      <c r="O47" s="19">
        <v>826.55</v>
      </c>
      <c r="P47" s="20">
        <f>IF('Dashboard Visualization'!$U$2="",'Working Data'!$O47*'Working Data'!$N47,'Working Data'!$O47*'Working Data'!$N47*(100%+'Dashboard Visualization'!$U$2))</f>
        <v>23143.399999999998</v>
      </c>
      <c r="Q47" s="19">
        <v>1397.05</v>
      </c>
      <c r="R47" s="20">
        <f t="shared" si="4"/>
        <v>1160.9485499999998</v>
      </c>
      <c r="S47" s="11">
        <v>0.16900000000000001</v>
      </c>
      <c r="T47" s="22">
        <f>IF('Dashboard Visualization'!$U$1="",$S47,IF(S47&gt;'Dashboard Visualization'!$U$1,'Dashboard Visualization'!$U$1,S47))</f>
        <v>0.16900000000000001</v>
      </c>
      <c r="U47" s="20">
        <f t="shared" si="5"/>
        <v>27012.950861399993</v>
      </c>
      <c r="V47" s="20">
        <f t="shared" si="6"/>
        <v>3869.5508613999955</v>
      </c>
      <c r="W47" s="22">
        <f t="shared" si="2"/>
        <v>0.14324798802078928</v>
      </c>
      <c r="X47" s="28" t="str">
        <f>TEXT(B47,"MMM-YYYY")</f>
        <v>Apr-2023</v>
      </c>
      <c r="Y47" s="7" t="str">
        <f t="shared" si="7"/>
        <v>Q2-2023</v>
      </c>
      <c r="Z47" s="7" t="str">
        <f t="shared" si="8"/>
        <v>High Price</v>
      </c>
      <c r="AA47" s="7" t="str">
        <f t="shared" si="9"/>
        <v>Q2</v>
      </c>
      <c r="AB47" s="28" t="str">
        <f t="shared" si="10"/>
        <v>Apr</v>
      </c>
      <c r="AC47" s="28" t="str">
        <f t="shared" si="11"/>
        <v>2023</v>
      </c>
    </row>
    <row r="48" spans="1:29" x14ac:dyDescent="0.25">
      <c r="A48" s="4" t="s">
        <v>61</v>
      </c>
      <c r="B48" s="14">
        <v>45100</v>
      </c>
      <c r="C48" s="14">
        <v>45110</v>
      </c>
      <c r="D48" s="16">
        <f t="shared" si="3"/>
        <v>10</v>
      </c>
      <c r="E48" s="4" t="s">
        <v>646</v>
      </c>
      <c r="F48" s="4" t="s">
        <v>651</v>
      </c>
      <c r="G48" s="4" t="s">
        <v>669</v>
      </c>
      <c r="H48" s="4" t="s">
        <v>704</v>
      </c>
      <c r="I48" s="4" t="s">
        <v>708</v>
      </c>
      <c r="J48" s="4" t="s">
        <v>713</v>
      </c>
      <c r="K48" s="4" t="s">
        <v>728</v>
      </c>
      <c r="L48" s="4" t="s">
        <v>780</v>
      </c>
      <c r="M48" s="9">
        <v>13</v>
      </c>
      <c r="N48" s="16">
        <f>ROUND(IF('Dashboard Visualization'!$U$3="",'Working Data'!$M48,'Working Data'!$M48*(100% +'Dashboard Visualization'!$U$3)),0)</f>
        <v>13</v>
      </c>
      <c r="O48" s="19">
        <v>337.75</v>
      </c>
      <c r="P48" s="20">
        <f>IF('Dashboard Visualization'!$U$2="",'Working Data'!$O48*'Working Data'!$N48,'Working Data'!$O48*'Working Data'!$N48*(100%+'Dashboard Visualization'!$U$2))</f>
        <v>4390.75</v>
      </c>
      <c r="Q48" s="19">
        <v>548.89</v>
      </c>
      <c r="R48" s="20">
        <f t="shared" si="4"/>
        <v>548.89</v>
      </c>
      <c r="S48" s="11">
        <v>0</v>
      </c>
      <c r="T48" s="22">
        <f>IF('Dashboard Visualization'!$U$1="",$S48,IF(S48&gt;'Dashboard Visualization'!$U$1,'Dashboard Visualization'!$U$1,S48))</f>
        <v>0</v>
      </c>
      <c r="U48" s="20">
        <f t="shared" si="5"/>
        <v>7135.57</v>
      </c>
      <c r="V48" s="20">
        <f t="shared" si="6"/>
        <v>2744.8199999999997</v>
      </c>
      <c r="W48" s="22">
        <f t="shared" si="2"/>
        <v>0.38466723751571352</v>
      </c>
      <c r="X48" s="28" t="str">
        <f>TEXT(B48,"MMM-YYYY")</f>
        <v>Jun-2023</v>
      </c>
      <c r="Y48" s="7" t="str">
        <f t="shared" si="7"/>
        <v>Q2-2023</v>
      </c>
      <c r="Z48" s="7" t="str">
        <f t="shared" si="8"/>
        <v>High Price</v>
      </c>
      <c r="AA48" s="7" t="str">
        <f t="shared" si="9"/>
        <v>Q2</v>
      </c>
      <c r="AB48" s="28" t="str">
        <f t="shared" si="10"/>
        <v>Jun</v>
      </c>
      <c r="AC48" s="28" t="str">
        <f t="shared" si="11"/>
        <v>2023</v>
      </c>
    </row>
    <row r="49" spans="1:29" x14ac:dyDescent="0.25">
      <c r="A49" s="4" t="s">
        <v>62</v>
      </c>
      <c r="B49" s="14">
        <v>45426</v>
      </c>
      <c r="C49" s="14">
        <v>45440</v>
      </c>
      <c r="D49" s="16">
        <f t="shared" si="3"/>
        <v>14</v>
      </c>
      <c r="E49" s="4" t="s">
        <v>649</v>
      </c>
      <c r="F49" s="4" t="s">
        <v>658</v>
      </c>
      <c r="G49" s="4" t="s">
        <v>674</v>
      </c>
      <c r="H49" s="4" t="s">
        <v>704</v>
      </c>
      <c r="I49" s="4" t="s">
        <v>707</v>
      </c>
      <c r="J49" s="4" t="s">
        <v>717</v>
      </c>
      <c r="K49" s="4" t="s">
        <v>729</v>
      </c>
      <c r="L49" s="4" t="s">
        <v>781</v>
      </c>
      <c r="M49" s="9">
        <v>31</v>
      </c>
      <c r="N49" s="16">
        <f>ROUND(IF('Dashboard Visualization'!$U$3="",'Working Data'!$M49,'Working Data'!$M49*(100% +'Dashboard Visualization'!$U$3)),0)</f>
        <v>31</v>
      </c>
      <c r="O49" s="19">
        <v>1421.14</v>
      </c>
      <c r="P49" s="20">
        <f>IF('Dashboard Visualization'!$U$2="",'Working Data'!$O49*'Working Data'!$N49,'Working Data'!$O49*'Working Data'!$N49*(100%+'Dashboard Visualization'!$U$2))</f>
        <v>44055.340000000004</v>
      </c>
      <c r="Q49" s="19">
        <v>3524</v>
      </c>
      <c r="R49" s="20">
        <f t="shared" si="4"/>
        <v>3524</v>
      </c>
      <c r="S49" s="11">
        <v>0</v>
      </c>
      <c r="T49" s="22">
        <f>IF('Dashboard Visualization'!$U$1="",$S49,IF(S49&gt;'Dashboard Visualization'!$U$1,'Dashboard Visualization'!$U$1,S49))</f>
        <v>0</v>
      </c>
      <c r="U49" s="20">
        <f t="shared" si="5"/>
        <v>109244</v>
      </c>
      <c r="V49" s="20">
        <f t="shared" si="6"/>
        <v>65188.659999999996</v>
      </c>
      <c r="W49" s="22">
        <f t="shared" si="2"/>
        <v>0.59672531214528945</v>
      </c>
      <c r="X49" s="28" t="str">
        <f>TEXT(B49,"MMM-YYYY")</f>
        <v>May-2024</v>
      </c>
      <c r="Y49" s="7" t="str">
        <f t="shared" si="7"/>
        <v>Q2-2024</v>
      </c>
      <c r="Z49" s="7" t="str">
        <f t="shared" si="8"/>
        <v>Medium Price</v>
      </c>
      <c r="AA49" s="7" t="str">
        <f t="shared" si="9"/>
        <v>Q2</v>
      </c>
      <c r="AB49" s="28" t="str">
        <f t="shared" si="10"/>
        <v>May</v>
      </c>
      <c r="AC49" s="28" t="str">
        <f t="shared" si="11"/>
        <v>2024</v>
      </c>
    </row>
    <row r="50" spans="1:29" x14ac:dyDescent="0.25">
      <c r="A50" s="4" t="s">
        <v>63</v>
      </c>
      <c r="B50" s="14">
        <v>45579</v>
      </c>
      <c r="C50" s="14">
        <v>45604</v>
      </c>
      <c r="D50" s="16">
        <f t="shared" si="3"/>
        <v>25</v>
      </c>
      <c r="E50" s="4" t="s">
        <v>646</v>
      </c>
      <c r="F50" s="4" t="s">
        <v>651</v>
      </c>
      <c r="G50" s="4" t="s">
        <v>665</v>
      </c>
      <c r="H50" s="4" t="s">
        <v>706</v>
      </c>
      <c r="I50" s="4" t="s">
        <v>708</v>
      </c>
      <c r="J50" s="4" t="s">
        <v>719</v>
      </c>
      <c r="K50" s="4" t="s">
        <v>729</v>
      </c>
      <c r="L50" s="4" t="s">
        <v>782</v>
      </c>
      <c r="M50" s="9">
        <v>24</v>
      </c>
      <c r="N50" s="16">
        <f>ROUND(IF('Dashboard Visualization'!$U$3="",'Working Data'!$M50,'Working Data'!$M50*(100% +'Dashboard Visualization'!$U$3)),0)</f>
        <v>24</v>
      </c>
      <c r="O50" s="19">
        <v>859.35</v>
      </c>
      <c r="P50" s="20">
        <f>IF('Dashboard Visualization'!$U$2="",'Working Data'!$O50*'Working Data'!$N50,'Working Data'!$O50*'Working Data'!$N50*(100%+'Dashboard Visualization'!$U$2))</f>
        <v>20624.400000000001</v>
      </c>
      <c r="Q50" s="19">
        <v>1825.61</v>
      </c>
      <c r="R50" s="20">
        <f t="shared" si="4"/>
        <v>1484.2209299999997</v>
      </c>
      <c r="S50" s="11">
        <v>0.187</v>
      </c>
      <c r="T50" s="22">
        <f>IF('Dashboard Visualization'!$U$1="",$S50,IF(S50&gt;'Dashboard Visualization'!$U$1,'Dashboard Visualization'!$U$1,S50))</f>
        <v>0.187</v>
      </c>
      <c r="U50" s="20">
        <f t="shared" si="5"/>
        <v>28960.11878615999</v>
      </c>
      <c r="V50" s="20">
        <f t="shared" si="6"/>
        <v>8335.7187861599887</v>
      </c>
      <c r="W50" s="22">
        <f t="shared" si="2"/>
        <v>0.28783441282511657</v>
      </c>
      <c r="X50" s="28" t="str">
        <f>TEXT(B50,"MMM-YYYY")</f>
        <v>Oct-2024</v>
      </c>
      <c r="Y50" s="7" t="str">
        <f t="shared" si="7"/>
        <v>Q4-2024</v>
      </c>
      <c r="Z50" s="7" t="str">
        <f t="shared" si="8"/>
        <v>High Price</v>
      </c>
      <c r="AA50" s="7" t="str">
        <f t="shared" si="9"/>
        <v>Q4</v>
      </c>
      <c r="AB50" s="28" t="str">
        <f t="shared" si="10"/>
        <v>Oct</v>
      </c>
      <c r="AC50" s="28" t="str">
        <f t="shared" si="11"/>
        <v>2024</v>
      </c>
    </row>
    <row r="51" spans="1:29" x14ac:dyDescent="0.25">
      <c r="A51" s="4" t="s">
        <v>64</v>
      </c>
      <c r="B51" s="14">
        <v>45117</v>
      </c>
      <c r="C51" s="14">
        <v>45139</v>
      </c>
      <c r="D51" s="16">
        <f t="shared" si="3"/>
        <v>22</v>
      </c>
      <c r="E51" s="4" t="s">
        <v>649</v>
      </c>
      <c r="F51" s="4" t="s">
        <v>657</v>
      </c>
      <c r="G51" s="4" t="s">
        <v>673</v>
      </c>
      <c r="H51" s="4" t="s">
        <v>704</v>
      </c>
      <c r="I51" s="4" t="s">
        <v>709</v>
      </c>
      <c r="J51" s="4" t="s">
        <v>717</v>
      </c>
      <c r="K51" s="4" t="s">
        <v>728</v>
      </c>
      <c r="L51" s="4" t="s">
        <v>783</v>
      </c>
      <c r="M51" s="9">
        <v>22</v>
      </c>
      <c r="N51" s="16">
        <f>ROUND(IF('Dashboard Visualization'!$U$3="",'Working Data'!$M51,'Working Data'!$M51*(100% +'Dashboard Visualization'!$U$3)),0)</f>
        <v>22</v>
      </c>
      <c r="O51" s="19">
        <v>1303.56</v>
      </c>
      <c r="P51" s="20">
        <f>IF('Dashboard Visualization'!$U$2="",'Working Data'!$O51*'Working Data'!$N51,'Working Data'!$O51*'Working Data'!$N51*(100%+'Dashboard Visualization'!$U$2))</f>
        <v>28678.32</v>
      </c>
      <c r="Q51" s="19">
        <v>1791.37</v>
      </c>
      <c r="R51" s="20">
        <f t="shared" si="4"/>
        <v>1565.6573799999999</v>
      </c>
      <c r="S51" s="11">
        <v>0.126</v>
      </c>
      <c r="T51" s="22">
        <f>IF('Dashboard Visualization'!$U$1="",$S51,IF(S51&gt;'Dashboard Visualization'!$U$1,'Dashboard Visualization'!$U$1,S51))</f>
        <v>0.126</v>
      </c>
      <c r="U51" s="20">
        <f t="shared" si="5"/>
        <v>30104.460102639998</v>
      </c>
      <c r="V51" s="20">
        <f t="shared" si="6"/>
        <v>1426.1401026399981</v>
      </c>
      <c r="W51" s="22">
        <f t="shared" si="2"/>
        <v>4.7373050298116233E-2</v>
      </c>
      <c r="X51" s="28" t="str">
        <f>TEXT(B51,"MMM-YYYY")</f>
        <v>Jul-2023</v>
      </c>
      <c r="Y51" s="7" t="str">
        <f t="shared" si="7"/>
        <v>Q3-2023</v>
      </c>
      <c r="Z51" s="7" t="str">
        <f t="shared" si="8"/>
        <v>High Price</v>
      </c>
      <c r="AA51" s="7" t="str">
        <f t="shared" si="9"/>
        <v>Q3</v>
      </c>
      <c r="AB51" s="28" t="str">
        <f t="shared" si="10"/>
        <v>Jul</v>
      </c>
      <c r="AC51" s="28" t="str">
        <f t="shared" si="11"/>
        <v>2023</v>
      </c>
    </row>
    <row r="52" spans="1:29" x14ac:dyDescent="0.25">
      <c r="A52" s="4" t="s">
        <v>65</v>
      </c>
      <c r="B52" s="14">
        <v>45602</v>
      </c>
      <c r="C52" s="14">
        <v>45618</v>
      </c>
      <c r="D52" s="16">
        <f t="shared" si="3"/>
        <v>16</v>
      </c>
      <c r="E52" s="4" t="s">
        <v>648</v>
      </c>
      <c r="F52" s="4" t="s">
        <v>653</v>
      </c>
      <c r="G52" s="4" t="s">
        <v>667</v>
      </c>
      <c r="H52" s="4" t="s">
        <v>703</v>
      </c>
      <c r="I52" s="4" t="s">
        <v>710</v>
      </c>
      <c r="J52" s="4" t="s">
        <v>726</v>
      </c>
      <c r="K52" s="4" t="s">
        <v>733</v>
      </c>
      <c r="L52" s="4" t="s">
        <v>784</v>
      </c>
      <c r="M52" s="9">
        <v>8</v>
      </c>
      <c r="N52" s="16">
        <f>ROUND(IF('Dashboard Visualization'!$U$3="",'Working Data'!$M52,'Working Data'!$M52*(100% +'Dashboard Visualization'!$U$3)),0)</f>
        <v>8</v>
      </c>
      <c r="O52" s="19">
        <v>1454.11</v>
      </c>
      <c r="P52" s="20">
        <f>IF('Dashboard Visualization'!$U$2="",'Working Data'!$O52*'Working Data'!$N52,'Working Data'!$O52*'Working Data'!$N52*(100%+'Dashboard Visualization'!$U$2))</f>
        <v>11632.88</v>
      </c>
      <c r="Q52" s="19">
        <v>2629.75</v>
      </c>
      <c r="R52" s="20">
        <f t="shared" si="4"/>
        <v>1861.8629999999998</v>
      </c>
      <c r="S52" s="11">
        <v>0.29199999999999998</v>
      </c>
      <c r="T52" s="22">
        <f>IF('Dashboard Visualization'!$U$1="",$S52,IF(S52&gt;'Dashboard Visualization'!$U$1,'Dashboard Visualization'!$U$1,S52))</f>
        <v>0.29199999999999998</v>
      </c>
      <c r="U52" s="20">
        <f t="shared" si="5"/>
        <v>10545.592031999999</v>
      </c>
      <c r="V52" s="20">
        <f t="shared" si="6"/>
        <v>-1087.2879680000005</v>
      </c>
      <c r="W52" s="22">
        <f t="shared" si="2"/>
        <v>0</v>
      </c>
      <c r="X52" s="28" t="str">
        <f>TEXT(B52,"MMM-YYYY")</f>
        <v>Nov-2024</v>
      </c>
      <c r="Y52" s="7" t="str">
        <f t="shared" si="7"/>
        <v>Q4-2024</v>
      </c>
      <c r="Z52" s="7" t="str">
        <f t="shared" si="8"/>
        <v>Medium Price</v>
      </c>
      <c r="AA52" s="7" t="str">
        <f t="shared" si="9"/>
        <v>Q4</v>
      </c>
      <c r="AB52" s="28" t="str">
        <f t="shared" si="10"/>
        <v>Nov</v>
      </c>
      <c r="AC52" s="28" t="str">
        <f t="shared" si="11"/>
        <v>2024</v>
      </c>
    </row>
    <row r="53" spans="1:29" x14ac:dyDescent="0.25">
      <c r="A53" s="4" t="s">
        <v>66</v>
      </c>
      <c r="B53" s="14">
        <v>45582</v>
      </c>
      <c r="C53" s="14">
        <v>45602</v>
      </c>
      <c r="D53" s="16">
        <f t="shared" si="3"/>
        <v>20</v>
      </c>
      <c r="E53" s="4" t="s">
        <v>647</v>
      </c>
      <c r="F53" s="4" t="s">
        <v>654</v>
      </c>
      <c r="G53" s="4" t="s">
        <v>668</v>
      </c>
      <c r="H53" s="4" t="s">
        <v>706</v>
      </c>
      <c r="I53" s="4" t="s">
        <v>710</v>
      </c>
      <c r="J53" s="4" t="s">
        <v>719</v>
      </c>
      <c r="K53" s="4" t="s">
        <v>732</v>
      </c>
      <c r="L53" s="4" t="s">
        <v>785</v>
      </c>
      <c r="M53" s="9">
        <v>8</v>
      </c>
      <c r="N53" s="16">
        <f>ROUND(IF('Dashboard Visualization'!$U$3="",'Working Data'!$M53,'Working Data'!$M53*(100% +'Dashboard Visualization'!$U$3)),0)</f>
        <v>8</v>
      </c>
      <c r="O53" s="19">
        <v>72.94</v>
      </c>
      <c r="P53" s="20">
        <f>IF('Dashboard Visualization'!$U$2="",'Working Data'!$O53*'Working Data'!$N53,'Working Data'!$O53*'Working Data'!$N53*(100%+'Dashboard Visualization'!$U$2))</f>
        <v>583.52</v>
      </c>
      <c r="Q53" s="19">
        <v>106.3</v>
      </c>
      <c r="R53" s="20">
        <f t="shared" si="4"/>
        <v>74.941500000000005</v>
      </c>
      <c r="S53" s="11">
        <v>0.29499999999999998</v>
      </c>
      <c r="T53" s="22">
        <f>IF('Dashboard Visualization'!$U$1="",$S53,IF(S53&gt;'Dashboard Visualization'!$U$1,'Dashboard Visualization'!$U$1,S53))</f>
        <v>0.29499999999999998</v>
      </c>
      <c r="U53" s="20">
        <f t="shared" si="5"/>
        <v>422.67006000000009</v>
      </c>
      <c r="V53" s="20">
        <f t="shared" si="6"/>
        <v>-160.84993999999989</v>
      </c>
      <c r="W53" s="22">
        <f t="shared" si="2"/>
        <v>0</v>
      </c>
      <c r="X53" s="28" t="str">
        <f>TEXT(B53,"MMM-YYYY")</f>
        <v>Oct-2024</v>
      </c>
      <c r="Y53" s="7" t="str">
        <f t="shared" si="7"/>
        <v>Q4-2024</v>
      </c>
      <c r="Z53" s="7" t="str">
        <f t="shared" si="8"/>
        <v>Low Price</v>
      </c>
      <c r="AA53" s="7" t="str">
        <f t="shared" si="9"/>
        <v>Q4</v>
      </c>
      <c r="AB53" s="28" t="str">
        <f t="shared" si="10"/>
        <v>Oct</v>
      </c>
      <c r="AC53" s="28" t="str">
        <f t="shared" si="11"/>
        <v>2024</v>
      </c>
    </row>
    <row r="54" spans="1:29" x14ac:dyDescent="0.25">
      <c r="A54" s="4" t="s">
        <v>67</v>
      </c>
      <c r="B54" s="14">
        <v>45016</v>
      </c>
      <c r="C54" s="14">
        <v>45021</v>
      </c>
      <c r="D54" s="16">
        <f t="shared" si="3"/>
        <v>5</v>
      </c>
      <c r="E54" s="4" t="s">
        <v>646</v>
      </c>
      <c r="F54" s="4" t="s">
        <v>650</v>
      </c>
      <c r="G54" s="4" t="s">
        <v>678</v>
      </c>
      <c r="H54" s="4" t="s">
        <v>702</v>
      </c>
      <c r="I54" s="4" t="s">
        <v>709</v>
      </c>
      <c r="J54" s="4" t="s">
        <v>717</v>
      </c>
      <c r="K54" s="4" t="s">
        <v>731</v>
      </c>
      <c r="L54" s="4" t="s">
        <v>786</v>
      </c>
      <c r="M54" s="9">
        <v>15</v>
      </c>
      <c r="N54" s="16">
        <f>ROUND(IF('Dashboard Visualization'!$U$3="",'Working Data'!$M54,'Working Data'!$M54*(100% +'Dashboard Visualization'!$U$3)),0)</f>
        <v>15</v>
      </c>
      <c r="O54" s="19">
        <v>533.26</v>
      </c>
      <c r="P54" s="20">
        <f>IF('Dashboard Visualization'!$U$2="",'Working Data'!$O54*'Working Data'!$N54,'Working Data'!$O54*'Working Data'!$N54*(100%+'Dashboard Visualization'!$U$2))</f>
        <v>7998.9</v>
      </c>
      <c r="Q54" s="19">
        <v>385.72</v>
      </c>
      <c r="R54" s="20">
        <f t="shared" si="4"/>
        <v>385.72</v>
      </c>
      <c r="S54" s="11">
        <v>0</v>
      </c>
      <c r="T54" s="22">
        <f>IF('Dashboard Visualization'!$U$1="",$S54,IF(S54&gt;'Dashboard Visualization'!$U$1,'Dashboard Visualization'!$U$1,S54))</f>
        <v>0</v>
      </c>
      <c r="U54" s="20">
        <f t="shared" si="5"/>
        <v>5785.8</v>
      </c>
      <c r="V54" s="20">
        <f t="shared" si="6"/>
        <v>-2213.0999999999995</v>
      </c>
      <c r="W54" s="22">
        <f t="shared" si="2"/>
        <v>0</v>
      </c>
      <c r="X54" s="28" t="str">
        <f>TEXT(B54,"MMM-YYYY")</f>
        <v>Mar-2023</v>
      </c>
      <c r="Y54" s="7" t="str">
        <f t="shared" si="7"/>
        <v>Q1-2023</v>
      </c>
      <c r="Z54" s="7" t="str">
        <f t="shared" si="8"/>
        <v>Low Price</v>
      </c>
      <c r="AA54" s="7" t="str">
        <f t="shared" si="9"/>
        <v>Q1</v>
      </c>
      <c r="AB54" s="28" t="str">
        <f t="shared" si="10"/>
        <v>Mar</v>
      </c>
      <c r="AC54" s="28" t="str">
        <f t="shared" si="11"/>
        <v>2023</v>
      </c>
    </row>
    <row r="55" spans="1:29" x14ac:dyDescent="0.25">
      <c r="A55" s="4" t="s">
        <v>68</v>
      </c>
      <c r="B55" s="14">
        <v>45678</v>
      </c>
      <c r="C55" s="14">
        <v>45704</v>
      </c>
      <c r="D55" s="16">
        <f t="shared" si="3"/>
        <v>26</v>
      </c>
      <c r="E55" s="4" t="s">
        <v>649</v>
      </c>
      <c r="F55" s="4" t="s">
        <v>657</v>
      </c>
      <c r="G55" s="4" t="s">
        <v>679</v>
      </c>
      <c r="H55" s="4" t="s">
        <v>701</v>
      </c>
      <c r="I55" s="4" t="s">
        <v>710</v>
      </c>
      <c r="J55" s="4" t="s">
        <v>719</v>
      </c>
      <c r="K55" s="4" t="s">
        <v>731</v>
      </c>
      <c r="L55" s="4" t="s">
        <v>787</v>
      </c>
      <c r="M55" s="9">
        <v>13</v>
      </c>
      <c r="N55" s="16">
        <f>ROUND(IF('Dashboard Visualization'!$U$3="",'Working Data'!$M55,'Working Data'!$M55*(100% +'Dashboard Visualization'!$U$3)),0)</f>
        <v>13</v>
      </c>
      <c r="O55" s="19">
        <v>204.11</v>
      </c>
      <c r="P55" s="20">
        <f>IF('Dashboard Visualization'!$U$2="",'Working Data'!$O55*'Working Data'!$N55,'Working Data'!$O55*'Working Data'!$N55*(100%+'Dashboard Visualization'!$U$2))</f>
        <v>2653.4300000000003</v>
      </c>
      <c r="Q55" s="19">
        <v>236.87</v>
      </c>
      <c r="R55" s="20">
        <f t="shared" si="4"/>
        <v>193.75966000000003</v>
      </c>
      <c r="S55" s="11">
        <v>0.182</v>
      </c>
      <c r="T55" s="22">
        <f>IF('Dashboard Visualization'!$U$1="",$S55,IF(S55&gt;'Dashboard Visualization'!$U$1,'Dashboard Visualization'!$U$1,S55))</f>
        <v>0.182</v>
      </c>
      <c r="U55" s="20">
        <f t="shared" si="5"/>
        <v>2060.4402244400003</v>
      </c>
      <c r="V55" s="20">
        <f t="shared" si="6"/>
        <v>-592.98977556</v>
      </c>
      <c r="W55" s="22">
        <f t="shared" si="2"/>
        <v>0</v>
      </c>
      <c r="X55" s="28" t="str">
        <f>TEXT(B55,"MMM-YYYY")</f>
        <v>Jan-2025</v>
      </c>
      <c r="Y55" s="7" t="str">
        <f t="shared" si="7"/>
        <v>Q1-2025</v>
      </c>
      <c r="Z55" s="7" t="str">
        <f t="shared" si="8"/>
        <v>Low Price</v>
      </c>
      <c r="AA55" s="7" t="str">
        <f t="shared" si="9"/>
        <v>Q1</v>
      </c>
      <c r="AB55" s="28" t="str">
        <f t="shared" si="10"/>
        <v>Jan</v>
      </c>
      <c r="AC55" s="28" t="str">
        <f t="shared" si="11"/>
        <v>2025</v>
      </c>
    </row>
    <row r="56" spans="1:29" x14ac:dyDescent="0.25">
      <c r="A56" s="4" t="s">
        <v>69</v>
      </c>
      <c r="B56" s="14">
        <v>45168</v>
      </c>
      <c r="C56" s="14">
        <v>45170</v>
      </c>
      <c r="D56" s="16">
        <f t="shared" si="3"/>
        <v>2</v>
      </c>
      <c r="E56" s="4" t="s">
        <v>649</v>
      </c>
      <c r="F56" s="4" t="s">
        <v>656</v>
      </c>
      <c r="G56" s="4" t="s">
        <v>684</v>
      </c>
      <c r="H56" s="4" t="s">
        <v>701</v>
      </c>
      <c r="I56" s="4" t="s">
        <v>711</v>
      </c>
      <c r="J56" s="4" t="s">
        <v>725</v>
      </c>
      <c r="K56" s="4" t="s">
        <v>729</v>
      </c>
      <c r="L56" s="4" t="s">
        <v>788</v>
      </c>
      <c r="M56" s="9">
        <v>6</v>
      </c>
      <c r="N56" s="16">
        <f>ROUND(IF('Dashboard Visualization'!$U$3="",'Working Data'!$M56,'Working Data'!$M56*(100% +'Dashboard Visualization'!$U$3)),0)</f>
        <v>6</v>
      </c>
      <c r="O56" s="19">
        <v>44.42</v>
      </c>
      <c r="P56" s="20">
        <f>IF('Dashboard Visualization'!$U$2="",'Working Data'!$O56*'Working Data'!$N56,'Working Data'!$O56*'Working Data'!$N56*(100%+'Dashboard Visualization'!$U$2))</f>
        <v>266.52</v>
      </c>
      <c r="Q56" s="19">
        <v>41.9</v>
      </c>
      <c r="R56" s="20">
        <f t="shared" si="4"/>
        <v>35.866399999999999</v>
      </c>
      <c r="S56" s="11">
        <v>0.14399999999999999</v>
      </c>
      <c r="T56" s="22">
        <f>IF('Dashboard Visualization'!$U$1="",$S56,IF(S56&gt;'Dashboard Visualization'!$U$1,'Dashboard Visualization'!$U$1,S56))</f>
        <v>0.14399999999999999</v>
      </c>
      <c r="U56" s="20">
        <f t="shared" si="5"/>
        <v>184.20983039999999</v>
      </c>
      <c r="V56" s="20">
        <f t="shared" si="6"/>
        <v>-82.310169599999995</v>
      </c>
      <c r="W56" s="22">
        <f t="shared" si="2"/>
        <v>0</v>
      </c>
      <c r="X56" s="28" t="str">
        <f>TEXT(B56,"MMM-YYYY")</f>
        <v>Aug-2023</v>
      </c>
      <c r="Y56" s="7" t="str">
        <f t="shared" si="7"/>
        <v>Q3-2023</v>
      </c>
      <c r="Z56" s="7" t="str">
        <f t="shared" si="8"/>
        <v>Low Price</v>
      </c>
      <c r="AA56" s="7" t="str">
        <f t="shared" si="9"/>
        <v>Q3</v>
      </c>
      <c r="AB56" s="28" t="str">
        <f t="shared" si="10"/>
        <v>Aug</v>
      </c>
      <c r="AC56" s="28" t="str">
        <f t="shared" si="11"/>
        <v>2023</v>
      </c>
    </row>
    <row r="57" spans="1:29" x14ac:dyDescent="0.25">
      <c r="A57" s="4" t="s">
        <v>70</v>
      </c>
      <c r="B57" s="14">
        <v>45753</v>
      </c>
      <c r="C57" s="14">
        <v>45777</v>
      </c>
      <c r="D57" s="16">
        <f t="shared" si="3"/>
        <v>24</v>
      </c>
      <c r="E57" s="4" t="s">
        <v>648</v>
      </c>
      <c r="F57" s="4" t="s">
        <v>655</v>
      </c>
      <c r="G57" s="4" t="s">
        <v>672</v>
      </c>
      <c r="H57" s="4" t="s">
        <v>702</v>
      </c>
      <c r="I57" s="4" t="s">
        <v>708</v>
      </c>
      <c r="J57" s="4" t="s">
        <v>723</v>
      </c>
      <c r="K57" s="4" t="s">
        <v>732</v>
      </c>
      <c r="L57" s="4" t="s">
        <v>789</v>
      </c>
      <c r="M57" s="9">
        <v>38</v>
      </c>
      <c r="N57" s="16">
        <f>ROUND(IF('Dashboard Visualization'!$U$3="",'Working Data'!$M57,'Working Data'!$M57*(100% +'Dashboard Visualization'!$U$3)),0)</f>
        <v>38</v>
      </c>
      <c r="O57" s="19">
        <v>855.78</v>
      </c>
      <c r="P57" s="20">
        <f>IF('Dashboard Visualization'!$U$2="",'Working Data'!$O57*'Working Data'!$N57,'Working Data'!$O57*'Working Data'!$N57*(100%+'Dashboard Visualization'!$U$2))</f>
        <v>32519.64</v>
      </c>
      <c r="Q57" s="19">
        <v>977.38</v>
      </c>
      <c r="R57" s="20">
        <f t="shared" si="4"/>
        <v>833.70514000000003</v>
      </c>
      <c r="S57" s="11">
        <v>0.14699999999999999</v>
      </c>
      <c r="T57" s="22">
        <f>IF('Dashboard Visualization'!$U$1="",$S57,IF(S57&gt;'Dashboard Visualization'!$U$1,'Dashboard Visualization'!$U$1,S57))</f>
        <v>0.14699999999999999</v>
      </c>
      <c r="U57" s="20">
        <f t="shared" si="5"/>
        <v>27023.718407960001</v>
      </c>
      <c r="V57" s="20">
        <f t="shared" si="6"/>
        <v>-5495.9215920399984</v>
      </c>
      <c r="W57" s="22">
        <f t="shared" si="2"/>
        <v>0</v>
      </c>
      <c r="X57" s="28" t="str">
        <f>TEXT(B57,"MMM-YYYY")</f>
        <v>Apr-2025</v>
      </c>
      <c r="Y57" s="7" t="str">
        <f t="shared" si="7"/>
        <v>Q2-2025</v>
      </c>
      <c r="Z57" s="7" t="str">
        <f t="shared" si="8"/>
        <v>High Price</v>
      </c>
      <c r="AA57" s="7" t="str">
        <f t="shared" si="9"/>
        <v>Q2</v>
      </c>
      <c r="AB57" s="28" t="str">
        <f t="shared" si="10"/>
        <v>Apr</v>
      </c>
      <c r="AC57" s="28" t="str">
        <f t="shared" si="11"/>
        <v>2025</v>
      </c>
    </row>
    <row r="58" spans="1:29" x14ac:dyDescent="0.25">
      <c r="A58" s="4" t="s">
        <v>71</v>
      </c>
      <c r="B58" s="14">
        <v>45697</v>
      </c>
      <c r="C58" s="14">
        <v>45717</v>
      </c>
      <c r="D58" s="16">
        <f t="shared" si="3"/>
        <v>20</v>
      </c>
      <c r="E58" s="4" t="s">
        <v>648</v>
      </c>
      <c r="F58" s="4" t="s">
        <v>655</v>
      </c>
      <c r="G58" s="4" t="s">
        <v>670</v>
      </c>
      <c r="H58" s="4" t="s">
        <v>701</v>
      </c>
      <c r="I58" s="4" t="s">
        <v>710</v>
      </c>
      <c r="J58" s="4" t="s">
        <v>717</v>
      </c>
      <c r="K58" s="4" t="s">
        <v>731</v>
      </c>
      <c r="L58" s="4" t="s">
        <v>790</v>
      </c>
      <c r="M58" s="9">
        <v>11</v>
      </c>
      <c r="N58" s="16">
        <f>ROUND(IF('Dashboard Visualization'!$U$3="",'Working Data'!$M58,'Working Data'!$M58*(100% +'Dashboard Visualization'!$U$3)),0)</f>
        <v>11</v>
      </c>
      <c r="O58" s="19">
        <v>1154.6400000000001</v>
      </c>
      <c r="P58" s="20">
        <f>IF('Dashboard Visualization'!$U$2="",'Working Data'!$O58*'Working Data'!$N58,'Working Data'!$O58*'Working Data'!$N58*(100%+'Dashboard Visualization'!$U$2))</f>
        <v>12701.04</v>
      </c>
      <c r="Q58" s="19">
        <v>2794.13</v>
      </c>
      <c r="R58" s="20">
        <f t="shared" si="4"/>
        <v>2696.33545</v>
      </c>
      <c r="S58" s="11">
        <v>3.5000000000000003E-2</v>
      </c>
      <c r="T58" s="22">
        <f>IF('Dashboard Visualization'!$U$1="",$S58,IF(S58&gt;'Dashboard Visualization'!$U$1,'Dashboard Visualization'!$U$1,S58))</f>
        <v>3.5000000000000003E-2</v>
      </c>
      <c r="U58" s="20">
        <f t="shared" si="5"/>
        <v>28621.600801749999</v>
      </c>
      <c r="V58" s="20">
        <f t="shared" si="6"/>
        <v>15920.560801749998</v>
      </c>
      <c r="W58" s="22">
        <f t="shared" si="2"/>
        <v>0.55624285000776663</v>
      </c>
      <c r="X58" s="28" t="str">
        <f>TEXT(B58,"MMM-YYYY")</f>
        <v>Feb-2025</v>
      </c>
      <c r="Y58" s="7" t="str">
        <f t="shared" si="7"/>
        <v>Q1-2025</v>
      </c>
      <c r="Z58" s="7" t="str">
        <f t="shared" si="8"/>
        <v>Medium Price</v>
      </c>
      <c r="AA58" s="7" t="str">
        <f t="shared" si="9"/>
        <v>Q1</v>
      </c>
      <c r="AB58" s="28" t="str">
        <f t="shared" si="10"/>
        <v>Feb</v>
      </c>
      <c r="AC58" s="28" t="str">
        <f t="shared" si="11"/>
        <v>2025</v>
      </c>
    </row>
    <row r="59" spans="1:29" x14ac:dyDescent="0.25">
      <c r="A59" s="4" t="s">
        <v>72</v>
      </c>
      <c r="B59" s="14">
        <v>45643</v>
      </c>
      <c r="C59" s="14">
        <v>45644</v>
      </c>
      <c r="D59" s="16">
        <f t="shared" si="3"/>
        <v>1</v>
      </c>
      <c r="E59" s="4" t="s">
        <v>649</v>
      </c>
      <c r="F59" s="4" t="s">
        <v>656</v>
      </c>
      <c r="G59" s="4" t="s">
        <v>684</v>
      </c>
      <c r="H59" s="4" t="s">
        <v>702</v>
      </c>
      <c r="I59" s="4" t="s">
        <v>707</v>
      </c>
      <c r="J59" s="4" t="s">
        <v>716</v>
      </c>
      <c r="K59" s="4" t="s">
        <v>733</v>
      </c>
      <c r="L59" s="4" t="s">
        <v>791</v>
      </c>
      <c r="M59" s="9">
        <v>8</v>
      </c>
      <c r="N59" s="16">
        <f>ROUND(IF('Dashboard Visualization'!$U$3="",'Working Data'!$M59,'Working Data'!$M59*(100% +'Dashboard Visualization'!$U$3)),0)</f>
        <v>8</v>
      </c>
      <c r="O59" s="19">
        <v>346.82</v>
      </c>
      <c r="P59" s="20">
        <f>IF('Dashboard Visualization'!$U$2="",'Working Data'!$O59*'Working Data'!$N59,'Working Data'!$O59*'Working Data'!$N59*(100%+'Dashboard Visualization'!$U$2))</f>
        <v>2774.56</v>
      </c>
      <c r="Q59" s="19">
        <v>701.95</v>
      </c>
      <c r="R59" s="20">
        <f t="shared" si="4"/>
        <v>598.76335000000006</v>
      </c>
      <c r="S59" s="11">
        <v>0.14699999999999999</v>
      </c>
      <c r="T59" s="22">
        <f>IF('Dashboard Visualization'!$U$1="",$S59,IF(S59&gt;'Dashboard Visualization'!$U$1,'Dashboard Visualization'!$U$1,S59))</f>
        <v>0.14699999999999999</v>
      </c>
      <c r="U59" s="20">
        <f t="shared" si="5"/>
        <v>4085.9611004000003</v>
      </c>
      <c r="V59" s="20">
        <f t="shared" si="6"/>
        <v>1311.4011004000004</v>
      </c>
      <c r="W59" s="22">
        <f t="shared" si="2"/>
        <v>0.32095290879583244</v>
      </c>
      <c r="X59" s="28" t="str">
        <f>TEXT(B59,"MMM-YYYY")</f>
        <v>Dec-2024</v>
      </c>
      <c r="Y59" s="7" t="str">
        <f t="shared" si="7"/>
        <v>Q4-2024</v>
      </c>
      <c r="Z59" s="7" t="str">
        <f t="shared" si="8"/>
        <v>High Price</v>
      </c>
      <c r="AA59" s="7" t="str">
        <f t="shared" si="9"/>
        <v>Q4</v>
      </c>
      <c r="AB59" s="28" t="str">
        <f t="shared" si="10"/>
        <v>Dec</v>
      </c>
      <c r="AC59" s="28" t="str">
        <f t="shared" si="11"/>
        <v>2024</v>
      </c>
    </row>
    <row r="60" spans="1:29" x14ac:dyDescent="0.25">
      <c r="A60" s="4" t="s">
        <v>73</v>
      </c>
      <c r="B60" s="14">
        <v>45817</v>
      </c>
      <c r="C60" s="14">
        <v>45826</v>
      </c>
      <c r="D60" s="16">
        <f t="shared" si="3"/>
        <v>9</v>
      </c>
      <c r="E60" s="4" t="s">
        <v>649</v>
      </c>
      <c r="F60" s="4" t="s">
        <v>657</v>
      </c>
      <c r="G60" s="4" t="s">
        <v>673</v>
      </c>
      <c r="H60" s="4" t="s">
        <v>705</v>
      </c>
      <c r="I60" s="4" t="s">
        <v>709</v>
      </c>
      <c r="J60" s="4" t="s">
        <v>722</v>
      </c>
      <c r="K60" s="4" t="s">
        <v>733</v>
      </c>
      <c r="L60" s="4" t="s">
        <v>792</v>
      </c>
      <c r="M60" s="9">
        <v>56</v>
      </c>
      <c r="N60" s="16">
        <f>ROUND(IF('Dashboard Visualization'!$U$3="",'Working Data'!$M60,'Working Data'!$M60*(100% +'Dashboard Visualization'!$U$3)),0)</f>
        <v>56</v>
      </c>
      <c r="O60" s="19">
        <v>1225.5</v>
      </c>
      <c r="P60" s="20">
        <f>IF('Dashboard Visualization'!$U$2="",'Working Data'!$O60*'Working Data'!$N60,'Working Data'!$O60*'Working Data'!$N60*(100%+'Dashboard Visualization'!$U$2))</f>
        <v>68628</v>
      </c>
      <c r="Q60" s="19">
        <v>-5.27</v>
      </c>
      <c r="R60" s="20">
        <f t="shared" si="4"/>
        <v>-4.8747499999999997</v>
      </c>
      <c r="S60" s="11">
        <v>7.4999999999999997E-2</v>
      </c>
      <c r="T60" s="22">
        <f>IF('Dashboard Visualization'!$U$1="",$S60,IF(S60&gt;'Dashboard Visualization'!$U$1,'Dashboard Visualization'!$U$1,S60))</f>
        <v>7.4999999999999997E-2</v>
      </c>
      <c r="U60" s="20">
        <f t="shared" si="5"/>
        <v>-252.51204999999999</v>
      </c>
      <c r="V60" s="20">
        <f t="shared" si="6"/>
        <v>-68880.512050000005</v>
      </c>
      <c r="W60" s="22">
        <f t="shared" si="2"/>
        <v>0</v>
      </c>
      <c r="X60" s="28" t="str">
        <f>TEXT(B60,"MMM-YYYY")</f>
        <v>Jun-2025</v>
      </c>
      <c r="Y60" s="7" t="str">
        <f t="shared" si="7"/>
        <v>Q2-2025</v>
      </c>
      <c r="Z60" s="7" t="str">
        <f t="shared" si="8"/>
        <v>Low Price</v>
      </c>
      <c r="AA60" s="7" t="str">
        <f t="shared" si="9"/>
        <v>Q2</v>
      </c>
      <c r="AB60" s="28" t="str">
        <f t="shared" si="10"/>
        <v>Jun</v>
      </c>
      <c r="AC60" s="28" t="str">
        <f t="shared" si="11"/>
        <v>2025</v>
      </c>
    </row>
    <row r="61" spans="1:29" x14ac:dyDescent="0.25">
      <c r="A61" s="4" t="s">
        <v>74</v>
      </c>
      <c r="B61" s="14">
        <v>45779</v>
      </c>
      <c r="C61" s="14">
        <v>45790</v>
      </c>
      <c r="D61" s="16">
        <f t="shared" si="3"/>
        <v>11</v>
      </c>
      <c r="E61" s="4" t="s">
        <v>646</v>
      </c>
      <c r="F61" s="4" t="s">
        <v>650</v>
      </c>
      <c r="G61" s="4" t="s">
        <v>678</v>
      </c>
      <c r="H61" s="4" t="s">
        <v>705</v>
      </c>
      <c r="I61" s="4" t="s">
        <v>708</v>
      </c>
      <c r="J61" s="4" t="s">
        <v>720</v>
      </c>
      <c r="K61" s="4" t="s">
        <v>733</v>
      </c>
      <c r="L61" s="4" t="s">
        <v>793</v>
      </c>
      <c r="M61" s="9">
        <v>4</v>
      </c>
      <c r="N61" s="16">
        <f>ROUND(IF('Dashboard Visualization'!$U$3="",'Working Data'!$M61,'Working Data'!$M61*(100% +'Dashboard Visualization'!$U$3)),0)</f>
        <v>4</v>
      </c>
      <c r="O61" s="19">
        <v>1057.5999999999999</v>
      </c>
      <c r="P61" s="20">
        <f>IF('Dashboard Visualization'!$U$2="",'Working Data'!$O61*'Working Data'!$N61,'Working Data'!$O61*'Working Data'!$N61*(100%+'Dashboard Visualization'!$U$2))</f>
        <v>4230.3999999999996</v>
      </c>
      <c r="Q61" s="19">
        <v>1437.06</v>
      </c>
      <c r="R61" s="20">
        <f t="shared" si="4"/>
        <v>1142.4627</v>
      </c>
      <c r="S61" s="11">
        <v>0.20499999999999999</v>
      </c>
      <c r="T61" s="22">
        <f>IF('Dashboard Visualization'!$U$1="",$S61,IF(S61&gt;'Dashboard Visualization'!$U$1,'Dashboard Visualization'!$U$1,S61))</f>
        <v>0.20499999999999999</v>
      </c>
      <c r="U61" s="20">
        <f t="shared" si="5"/>
        <v>3633.0313860000001</v>
      </c>
      <c r="V61" s="20">
        <f t="shared" si="6"/>
        <v>-597.36861399999952</v>
      </c>
      <c r="W61" s="22">
        <f t="shared" si="2"/>
        <v>0</v>
      </c>
      <c r="X61" s="28" t="str">
        <f>TEXT(B61,"MMM-YYYY")</f>
        <v>May-2025</v>
      </c>
      <c r="Y61" s="7" t="str">
        <f t="shared" si="7"/>
        <v>Q2-2025</v>
      </c>
      <c r="Z61" s="7" t="str">
        <f t="shared" si="8"/>
        <v>High Price</v>
      </c>
      <c r="AA61" s="7" t="str">
        <f t="shared" si="9"/>
        <v>Q2</v>
      </c>
      <c r="AB61" s="28" t="str">
        <f t="shared" si="10"/>
        <v>May</v>
      </c>
      <c r="AC61" s="28" t="str">
        <f t="shared" si="11"/>
        <v>2025</v>
      </c>
    </row>
    <row r="62" spans="1:29" x14ac:dyDescent="0.25">
      <c r="A62" s="4" t="s">
        <v>75</v>
      </c>
      <c r="B62" s="14">
        <v>45361</v>
      </c>
      <c r="C62" s="14">
        <v>45391</v>
      </c>
      <c r="D62" s="16">
        <f t="shared" si="3"/>
        <v>30</v>
      </c>
      <c r="E62" s="4" t="s">
        <v>649</v>
      </c>
      <c r="F62" s="4" t="s">
        <v>657</v>
      </c>
      <c r="G62" s="4" t="s">
        <v>679</v>
      </c>
      <c r="H62" s="4" t="s">
        <v>701</v>
      </c>
      <c r="I62" s="4" t="s">
        <v>711</v>
      </c>
      <c r="J62" s="4" t="s">
        <v>714</v>
      </c>
      <c r="K62" s="4" t="s">
        <v>727</v>
      </c>
      <c r="L62" s="4" t="s">
        <v>794</v>
      </c>
      <c r="M62" s="9">
        <v>20</v>
      </c>
      <c r="N62" s="16">
        <f>ROUND(IF('Dashboard Visualization'!$U$3="",'Working Data'!$M62,'Working Data'!$M62*(100% +'Dashboard Visualization'!$U$3)),0)</f>
        <v>20</v>
      </c>
      <c r="O62" s="19">
        <v>1176.56</v>
      </c>
      <c r="P62" s="20">
        <f>IF('Dashboard Visualization'!$U$2="",'Working Data'!$O62*'Working Data'!$N62,'Working Data'!$O62*'Working Data'!$N62*(100%+'Dashboard Visualization'!$U$2))</f>
        <v>23531.199999999997</v>
      </c>
      <c r="Q62" s="19">
        <v>1911.89</v>
      </c>
      <c r="R62" s="20">
        <f t="shared" si="4"/>
        <v>1684.37509</v>
      </c>
      <c r="S62" s="11">
        <v>0.11899999999999999</v>
      </c>
      <c r="T62" s="22">
        <f>IF('Dashboard Visualization'!$U$1="",$S62,IF(S62&gt;'Dashboard Visualization'!$U$1,'Dashboard Visualization'!$U$1,S62))</f>
        <v>0.11899999999999999</v>
      </c>
      <c r="U62" s="20">
        <f t="shared" si="5"/>
        <v>29678.689085800001</v>
      </c>
      <c r="V62" s="20">
        <f t="shared" si="6"/>
        <v>6147.4890858000035</v>
      </c>
      <c r="W62" s="22">
        <f t="shared" si="2"/>
        <v>0.20713479183759897</v>
      </c>
      <c r="X62" s="28" t="str">
        <f>TEXT(B62,"MMM-YYYY")</f>
        <v>Mar-2024</v>
      </c>
      <c r="Y62" s="7" t="str">
        <f t="shared" si="7"/>
        <v>Q1-2024</v>
      </c>
      <c r="Z62" s="7" t="str">
        <f t="shared" si="8"/>
        <v>High Price</v>
      </c>
      <c r="AA62" s="7" t="str">
        <f t="shared" si="9"/>
        <v>Q1</v>
      </c>
      <c r="AB62" s="28" t="str">
        <f t="shared" si="10"/>
        <v>Mar</v>
      </c>
      <c r="AC62" s="28" t="str">
        <f t="shared" si="11"/>
        <v>2024</v>
      </c>
    </row>
    <row r="63" spans="1:29" x14ac:dyDescent="0.25">
      <c r="A63" s="4" t="s">
        <v>76</v>
      </c>
      <c r="B63" s="14">
        <v>45910</v>
      </c>
      <c r="C63" s="14">
        <v>45912</v>
      </c>
      <c r="D63" s="16">
        <f t="shared" si="3"/>
        <v>2</v>
      </c>
      <c r="E63" s="4" t="s">
        <v>647</v>
      </c>
      <c r="F63" s="4" t="s">
        <v>652</v>
      </c>
      <c r="G63" s="4" t="s">
        <v>689</v>
      </c>
      <c r="H63" s="4" t="s">
        <v>704</v>
      </c>
      <c r="I63" s="4" t="s">
        <v>708</v>
      </c>
      <c r="J63" s="4" t="s">
        <v>719</v>
      </c>
      <c r="K63" s="4" t="s">
        <v>727</v>
      </c>
      <c r="L63" s="4" t="s">
        <v>795</v>
      </c>
      <c r="M63" s="9">
        <v>12</v>
      </c>
      <c r="N63" s="16">
        <f>ROUND(IF('Dashboard Visualization'!$U$3="",'Working Data'!$M63,'Working Data'!$M63*(100% +'Dashboard Visualization'!$U$3)),0)</f>
        <v>12</v>
      </c>
      <c r="O63" s="19">
        <v>1470.15</v>
      </c>
      <c r="P63" s="20">
        <f>IF('Dashboard Visualization'!$U$2="",'Working Data'!$O63*'Working Data'!$N63,'Working Data'!$O63*'Working Data'!$N63*(100%+'Dashboard Visualization'!$U$2))</f>
        <v>17641.800000000003</v>
      </c>
      <c r="Q63" s="19">
        <v>2593.7800000000002</v>
      </c>
      <c r="R63" s="20">
        <f t="shared" si="4"/>
        <v>2308.4642000000003</v>
      </c>
      <c r="S63" s="11">
        <v>0.11</v>
      </c>
      <c r="T63" s="22">
        <f>IF('Dashboard Visualization'!$U$1="",$S63,IF(S63&gt;'Dashboard Visualization'!$U$1,'Dashboard Visualization'!$U$1,S63))</f>
        <v>0.11</v>
      </c>
      <c r="U63" s="20">
        <f t="shared" si="5"/>
        <v>24654.397656000001</v>
      </c>
      <c r="V63" s="20">
        <f t="shared" si="6"/>
        <v>7012.5976559999981</v>
      </c>
      <c r="W63" s="22">
        <f t="shared" si="2"/>
        <v>0.28443597583871133</v>
      </c>
      <c r="X63" s="28" t="str">
        <f>TEXT(B63,"MMM-YYYY")</f>
        <v>Sep-2025</v>
      </c>
      <c r="Y63" s="7" t="str">
        <f t="shared" si="7"/>
        <v>Q3-2025</v>
      </c>
      <c r="Z63" s="7" t="str">
        <f t="shared" si="8"/>
        <v>Medium Price</v>
      </c>
      <c r="AA63" s="7" t="str">
        <f t="shared" si="9"/>
        <v>Q3</v>
      </c>
      <c r="AB63" s="28" t="str">
        <f t="shared" si="10"/>
        <v>Sep</v>
      </c>
      <c r="AC63" s="28" t="str">
        <f t="shared" si="11"/>
        <v>2025</v>
      </c>
    </row>
    <row r="64" spans="1:29" x14ac:dyDescent="0.25">
      <c r="A64" s="4" t="s">
        <v>77</v>
      </c>
      <c r="B64" s="14">
        <v>45774</v>
      </c>
      <c r="C64" s="14">
        <v>45802</v>
      </c>
      <c r="D64" s="16">
        <f t="shared" si="3"/>
        <v>28</v>
      </c>
      <c r="E64" s="4" t="s">
        <v>649</v>
      </c>
      <c r="F64" s="4" t="s">
        <v>657</v>
      </c>
      <c r="G64" s="4" t="s">
        <v>690</v>
      </c>
      <c r="H64" s="4" t="s">
        <v>705</v>
      </c>
      <c r="I64" s="4" t="s">
        <v>709</v>
      </c>
      <c r="J64" s="4" t="s">
        <v>714</v>
      </c>
      <c r="K64" s="4" t="s">
        <v>730</v>
      </c>
      <c r="L64" s="4" t="s">
        <v>796</v>
      </c>
      <c r="M64" s="9">
        <v>11</v>
      </c>
      <c r="N64" s="16">
        <f>ROUND(IF('Dashboard Visualization'!$U$3="",'Working Data'!$M64,'Working Data'!$M64*(100% +'Dashboard Visualization'!$U$3)),0)</f>
        <v>11</v>
      </c>
      <c r="O64" s="19">
        <v>603.45000000000005</v>
      </c>
      <c r="P64" s="20">
        <f>IF('Dashboard Visualization'!$U$2="",'Working Data'!$O64*'Working Data'!$N64,'Working Data'!$O64*'Working Data'!$N64*(100%+'Dashboard Visualization'!$U$2))</f>
        <v>6637.9500000000007</v>
      </c>
      <c r="Q64" s="19">
        <v>1244.08</v>
      </c>
      <c r="R64" s="20">
        <f t="shared" si="4"/>
        <v>995.26400000000001</v>
      </c>
      <c r="S64" s="11">
        <v>0.2</v>
      </c>
      <c r="T64" s="22">
        <f>IF('Dashboard Visualization'!$U$1="",$S64,IF(S64&gt;'Dashboard Visualization'!$U$1,'Dashboard Visualization'!$U$1,S64))</f>
        <v>0.2</v>
      </c>
      <c r="U64" s="20">
        <f t="shared" si="5"/>
        <v>8758.3232000000007</v>
      </c>
      <c r="V64" s="20">
        <f t="shared" si="6"/>
        <v>2120.3732</v>
      </c>
      <c r="W64" s="22">
        <f t="shared" si="2"/>
        <v>0.24209807649025783</v>
      </c>
      <c r="X64" s="28" t="str">
        <f>TEXT(B64,"MMM-YYYY")</f>
        <v>Apr-2025</v>
      </c>
      <c r="Y64" s="7" t="str">
        <f t="shared" si="7"/>
        <v>Q2-2025</v>
      </c>
      <c r="Z64" s="7" t="str">
        <f t="shared" si="8"/>
        <v>High Price</v>
      </c>
      <c r="AA64" s="7" t="str">
        <f t="shared" si="9"/>
        <v>Q2</v>
      </c>
      <c r="AB64" s="28" t="str">
        <f t="shared" si="10"/>
        <v>Apr</v>
      </c>
      <c r="AC64" s="28" t="str">
        <f t="shared" si="11"/>
        <v>2025</v>
      </c>
    </row>
    <row r="65" spans="1:29" x14ac:dyDescent="0.25">
      <c r="A65" s="4" t="s">
        <v>78</v>
      </c>
      <c r="B65" s="14">
        <v>45598</v>
      </c>
      <c r="C65" s="14">
        <v>45614</v>
      </c>
      <c r="D65" s="16">
        <f t="shared" si="3"/>
        <v>16</v>
      </c>
      <c r="E65" s="4" t="s">
        <v>647</v>
      </c>
      <c r="F65" s="4" t="s">
        <v>654</v>
      </c>
      <c r="G65" s="4" t="s">
        <v>691</v>
      </c>
      <c r="H65" s="4" t="s">
        <v>705</v>
      </c>
      <c r="I65" s="4" t="s">
        <v>710</v>
      </c>
      <c r="J65" s="4" t="s">
        <v>719</v>
      </c>
      <c r="K65" s="4" t="s">
        <v>732</v>
      </c>
      <c r="L65" s="4" t="s">
        <v>797</v>
      </c>
      <c r="M65" s="9">
        <v>51</v>
      </c>
      <c r="N65" s="16">
        <f>ROUND(IF('Dashboard Visualization'!$U$3="",'Working Data'!$M65,'Working Data'!$M65*(100% +'Dashboard Visualization'!$U$3)),0)</f>
        <v>51</v>
      </c>
      <c r="O65" s="19">
        <v>1233.58</v>
      </c>
      <c r="P65" s="20">
        <f>IF('Dashboard Visualization'!$U$2="",'Working Data'!$O65*'Working Data'!$N65,'Working Data'!$O65*'Working Data'!$N65*(100%+'Dashboard Visualization'!$U$2))</f>
        <v>62912.579999999994</v>
      </c>
      <c r="Q65" s="19">
        <v>1912.51</v>
      </c>
      <c r="R65" s="20">
        <f t="shared" si="4"/>
        <v>1424.8199500000001</v>
      </c>
      <c r="S65" s="11">
        <v>0.255</v>
      </c>
      <c r="T65" s="22">
        <f>IF('Dashboard Visualization'!$U$1="",$S65,IF(S65&gt;'Dashboard Visualization'!$U$1,'Dashboard Visualization'!$U$1,S65))</f>
        <v>0.255</v>
      </c>
      <c r="U65" s="20">
        <f t="shared" si="5"/>
        <v>54136.034000250009</v>
      </c>
      <c r="V65" s="20">
        <f t="shared" si="6"/>
        <v>-8776.5459997499856</v>
      </c>
      <c r="W65" s="22">
        <f t="shared" si="2"/>
        <v>0</v>
      </c>
      <c r="X65" s="28" t="str">
        <f>TEXT(B65,"MMM-YYYY")</f>
        <v>Nov-2024</v>
      </c>
      <c r="Y65" s="7" t="str">
        <f t="shared" si="7"/>
        <v>Q4-2024</v>
      </c>
      <c r="Z65" s="7" t="str">
        <f t="shared" si="8"/>
        <v>High Price</v>
      </c>
      <c r="AA65" s="7" t="str">
        <f t="shared" si="9"/>
        <v>Q4</v>
      </c>
      <c r="AB65" s="28" t="str">
        <f t="shared" si="10"/>
        <v>Nov</v>
      </c>
      <c r="AC65" s="28" t="str">
        <f t="shared" si="11"/>
        <v>2024</v>
      </c>
    </row>
    <row r="66" spans="1:29" x14ac:dyDescent="0.25">
      <c r="A66" s="4" t="s">
        <v>79</v>
      </c>
      <c r="B66" s="14">
        <v>44972</v>
      </c>
      <c r="C66" s="14">
        <v>44983</v>
      </c>
      <c r="D66" s="16">
        <f t="shared" si="3"/>
        <v>11</v>
      </c>
      <c r="E66" s="4" t="s">
        <v>646</v>
      </c>
      <c r="F66" s="4" t="s">
        <v>661</v>
      </c>
      <c r="G66" s="4" t="s">
        <v>682</v>
      </c>
      <c r="H66" s="4" t="s">
        <v>703</v>
      </c>
      <c r="I66" s="4" t="s">
        <v>707</v>
      </c>
      <c r="J66" s="4" t="s">
        <v>723</v>
      </c>
      <c r="K66" s="4" t="s">
        <v>731</v>
      </c>
      <c r="L66" s="4" t="s">
        <v>798</v>
      </c>
      <c r="M66" s="9">
        <v>40</v>
      </c>
      <c r="N66" s="16">
        <f>ROUND(IF('Dashboard Visualization'!$U$3="",'Working Data'!$M66,'Working Data'!$M66*(100% +'Dashboard Visualization'!$U$3)),0)</f>
        <v>40</v>
      </c>
      <c r="O66" s="19">
        <v>498.5</v>
      </c>
      <c r="P66" s="20">
        <f>IF('Dashboard Visualization'!$U$2="",'Working Data'!$O66*'Working Data'!$N66,'Working Data'!$O66*'Working Data'!$N66*(100%+'Dashboard Visualization'!$U$2))</f>
        <v>19940</v>
      </c>
      <c r="Q66" s="19">
        <v>755.87</v>
      </c>
      <c r="R66" s="20">
        <f t="shared" si="4"/>
        <v>657.6069</v>
      </c>
      <c r="S66" s="11">
        <v>0.13</v>
      </c>
      <c r="T66" s="22">
        <f>IF('Dashboard Visualization'!$U$1="",$S66,IF(S66&gt;'Dashboard Visualization'!$U$1,'Dashboard Visualization'!$U$1,S66))</f>
        <v>0.13</v>
      </c>
      <c r="U66" s="20">
        <f t="shared" si="5"/>
        <v>22884.720120000002</v>
      </c>
      <c r="V66" s="20">
        <f t="shared" si="6"/>
        <v>2944.7201200000018</v>
      </c>
      <c r="W66" s="22">
        <f t="shared" ref="W66:W129" si="12">IFERROR(IF(V66&lt;=0,0,V66/U66),0)</f>
        <v>0.12867625667077642</v>
      </c>
      <c r="X66" s="28" t="str">
        <f>TEXT(B66,"MMM-YYYY")</f>
        <v>Feb-2023</v>
      </c>
      <c r="Y66" s="7" t="str">
        <f t="shared" si="7"/>
        <v>Q1-2023</v>
      </c>
      <c r="Z66" s="7" t="str">
        <f t="shared" si="8"/>
        <v>High Price</v>
      </c>
      <c r="AA66" s="7" t="str">
        <f t="shared" si="9"/>
        <v>Q1</v>
      </c>
      <c r="AB66" s="28" t="str">
        <f t="shared" si="10"/>
        <v>Feb</v>
      </c>
      <c r="AC66" s="28" t="str">
        <f t="shared" si="11"/>
        <v>2023</v>
      </c>
    </row>
    <row r="67" spans="1:29" x14ac:dyDescent="0.25">
      <c r="A67" s="4" t="s">
        <v>80</v>
      </c>
      <c r="B67" s="14">
        <v>45263</v>
      </c>
      <c r="C67" s="14">
        <v>45286</v>
      </c>
      <c r="D67" s="16">
        <f t="shared" ref="D67:D130" si="13">IFERROR(DATEDIF(B67,C67,"D"),"")</f>
        <v>23</v>
      </c>
      <c r="E67" s="4" t="s">
        <v>648</v>
      </c>
      <c r="F67" s="4" t="s">
        <v>655</v>
      </c>
      <c r="G67" s="4" t="s">
        <v>692</v>
      </c>
      <c r="H67" s="4" t="s">
        <v>702</v>
      </c>
      <c r="I67" s="4" t="s">
        <v>707</v>
      </c>
      <c r="J67" s="4" t="s">
        <v>719</v>
      </c>
      <c r="K67" s="4" t="s">
        <v>730</v>
      </c>
      <c r="L67" s="4" t="s">
        <v>799</v>
      </c>
      <c r="M67" s="9">
        <v>13</v>
      </c>
      <c r="N67" s="16">
        <f>ROUND(IF('Dashboard Visualization'!$U$3="",'Working Data'!$M67,'Working Data'!$M67*(100% +'Dashboard Visualization'!$U$3)),0)</f>
        <v>13</v>
      </c>
      <c r="O67" s="19">
        <v>1303.1099999999999</v>
      </c>
      <c r="P67" s="20">
        <f>IF('Dashboard Visualization'!$U$2="",'Working Data'!$O67*'Working Data'!$N67,'Working Data'!$O67*'Working Data'!$N67*(100%+'Dashboard Visualization'!$U$2))</f>
        <v>16940.43</v>
      </c>
      <c r="Q67" s="19">
        <v>1145.67</v>
      </c>
      <c r="R67" s="20">
        <f t="shared" ref="R67:R130" si="14">(1-T67)*Q67</f>
        <v>934.8667200000001</v>
      </c>
      <c r="S67" s="11">
        <v>0.184</v>
      </c>
      <c r="T67" s="22">
        <f>IF('Dashboard Visualization'!$U$1="",$S67,IF(S67&gt;'Dashboard Visualization'!$U$1,'Dashboard Visualization'!$U$1,S67))</f>
        <v>0.184</v>
      </c>
      <c r="U67" s="20">
        <f t="shared" ref="U67:U130" si="15">IFERROR(R67*(1-T67)*N67,"-")</f>
        <v>9917.0661657600012</v>
      </c>
      <c r="V67" s="20">
        <f t="shared" ref="V67:V130" si="16">IFERROR(U67-P67,"-")</f>
        <v>-7023.3638342399991</v>
      </c>
      <c r="W67" s="22">
        <f t="shared" si="12"/>
        <v>0</v>
      </c>
      <c r="X67" s="28" t="str">
        <f>TEXT(B67,"MMM-YYYY")</f>
        <v>Dec-2023</v>
      </c>
      <c r="Y67" s="7" t="str">
        <f t="shared" ref="Y67:Y130" si="17">"Q" &amp; ROUNDUP(MONTH(X67)/3,0) &amp; "-" &amp; TEXT(X67,"YYYY")</f>
        <v>Q4-2023</v>
      </c>
      <c r="Z67" s="7" t="str">
        <f t="shared" ref="Z67:Z130" si="18">IF(R67&lt;QUARTILE(R:R,1), "Low Price", IF(R67&lt;QUARTILE(R:R,3), "High Price", "Medium Price"))</f>
        <v>High Price</v>
      </c>
      <c r="AA67" s="7" t="str">
        <f t="shared" ref="AA67:AA130" si="19">"Q"&amp;ROUNDUP(MONTH(X67)/3,0)</f>
        <v>Q4</v>
      </c>
      <c r="AB67" s="28" t="str">
        <f t="shared" ref="AB67:AB130" si="20">TEXT(X67,"MMM")</f>
        <v>Dec</v>
      </c>
      <c r="AC67" s="28" t="str">
        <f t="shared" ref="AC67:AC130" si="21">TEXT(X67,"YYYY")</f>
        <v>2023</v>
      </c>
    </row>
    <row r="68" spans="1:29" x14ac:dyDescent="0.25">
      <c r="A68" s="4" t="s">
        <v>81</v>
      </c>
      <c r="B68" s="14">
        <v>45004</v>
      </c>
      <c r="C68" s="14">
        <v>45025</v>
      </c>
      <c r="D68" s="16">
        <f t="shared" si="13"/>
        <v>21</v>
      </c>
      <c r="E68" s="4" t="s">
        <v>649</v>
      </c>
      <c r="F68" s="4" t="s">
        <v>658</v>
      </c>
      <c r="G68" s="4" t="s">
        <v>693</v>
      </c>
      <c r="H68" s="4" t="s">
        <v>704</v>
      </c>
      <c r="I68" s="4" t="s">
        <v>707</v>
      </c>
      <c r="J68" s="4" t="s">
        <v>716</v>
      </c>
      <c r="K68" s="4" t="s">
        <v>733</v>
      </c>
      <c r="L68" s="4" t="s">
        <v>800</v>
      </c>
      <c r="M68" s="9">
        <v>16</v>
      </c>
      <c r="N68" s="16">
        <f>ROUND(IF('Dashboard Visualization'!$U$3="",'Working Data'!$M68,'Working Data'!$M68*(100% +'Dashboard Visualization'!$U$3)),0)</f>
        <v>16</v>
      </c>
      <c r="O68" s="19">
        <v>1082.17</v>
      </c>
      <c r="P68" s="20">
        <f>IF('Dashboard Visualization'!$U$2="",'Working Data'!$O68*'Working Data'!$N68,'Working Data'!$O68*'Working Data'!$N68*(100%+'Dashboard Visualization'!$U$2))</f>
        <v>17314.72</v>
      </c>
      <c r="Q68" s="19">
        <v>1234.0999999999999</v>
      </c>
      <c r="R68" s="20">
        <f t="shared" si="14"/>
        <v>1000.8550999999999</v>
      </c>
      <c r="S68" s="11">
        <v>0.189</v>
      </c>
      <c r="T68" s="22">
        <f>IF('Dashboard Visualization'!$U$1="",$S68,IF(S68&gt;'Dashboard Visualization'!$U$1,'Dashboard Visualization'!$U$1,S68))</f>
        <v>0.189</v>
      </c>
      <c r="U68" s="20">
        <f t="shared" si="15"/>
        <v>12987.095777599998</v>
      </c>
      <c r="V68" s="20">
        <f t="shared" si="16"/>
        <v>-4327.6242224000034</v>
      </c>
      <c r="W68" s="22">
        <f t="shared" si="12"/>
        <v>0</v>
      </c>
      <c r="X68" s="28" t="str">
        <f>TEXT(B68,"MMM-YYYY")</f>
        <v>Mar-2023</v>
      </c>
      <c r="Y68" s="7" t="str">
        <f t="shared" si="17"/>
        <v>Q1-2023</v>
      </c>
      <c r="Z68" s="7" t="str">
        <f t="shared" si="18"/>
        <v>High Price</v>
      </c>
      <c r="AA68" s="7" t="str">
        <f t="shared" si="19"/>
        <v>Q1</v>
      </c>
      <c r="AB68" s="28" t="str">
        <f t="shared" si="20"/>
        <v>Mar</v>
      </c>
      <c r="AC68" s="28" t="str">
        <f t="shared" si="21"/>
        <v>2023</v>
      </c>
    </row>
    <row r="69" spans="1:29" x14ac:dyDescent="0.25">
      <c r="A69" s="4" t="s">
        <v>82</v>
      </c>
      <c r="B69" s="14">
        <v>45434</v>
      </c>
      <c r="C69" s="14">
        <v>45449</v>
      </c>
      <c r="D69" s="16">
        <f t="shared" si="13"/>
        <v>15</v>
      </c>
      <c r="E69" s="4" t="s">
        <v>647</v>
      </c>
      <c r="F69" s="4" t="s">
        <v>652</v>
      </c>
      <c r="G69" s="4" t="s">
        <v>694</v>
      </c>
      <c r="H69" s="4" t="s">
        <v>701</v>
      </c>
      <c r="I69" s="4" t="s">
        <v>710</v>
      </c>
      <c r="J69" s="4" t="s">
        <v>712</v>
      </c>
      <c r="K69" s="4" t="s">
        <v>732</v>
      </c>
      <c r="L69" s="4" t="s">
        <v>801</v>
      </c>
      <c r="M69" s="9">
        <v>13</v>
      </c>
      <c r="N69" s="16">
        <f>ROUND(IF('Dashboard Visualization'!$U$3="",'Working Data'!$M69,'Working Data'!$M69*(100% +'Dashboard Visualization'!$U$3)),0)</f>
        <v>13</v>
      </c>
      <c r="O69" s="19">
        <v>673.88</v>
      </c>
      <c r="P69" s="20">
        <f>IF('Dashboard Visualization'!$U$2="",'Working Data'!$O69*'Working Data'!$N69,'Working Data'!$O69*'Working Data'!$N69*(100%+'Dashboard Visualization'!$U$2))</f>
        <v>8760.44</v>
      </c>
      <c r="Q69" s="19">
        <v>1228.01</v>
      </c>
      <c r="R69" s="20">
        <f t="shared" si="14"/>
        <v>1099.0689500000001</v>
      </c>
      <c r="S69" s="11">
        <v>0.105</v>
      </c>
      <c r="T69" s="22">
        <f>IF('Dashboard Visualization'!$U$1="",$S69,IF(S69&gt;'Dashboard Visualization'!$U$1,'Dashboard Visualization'!$U$1,S69))</f>
        <v>0.105</v>
      </c>
      <c r="U69" s="20">
        <f t="shared" si="15"/>
        <v>12787.66723325</v>
      </c>
      <c r="V69" s="20">
        <f t="shared" si="16"/>
        <v>4027.2272332499997</v>
      </c>
      <c r="W69" s="22">
        <f t="shared" si="12"/>
        <v>0.31493056237642458</v>
      </c>
      <c r="X69" s="28" t="str">
        <f>TEXT(B69,"MMM-YYYY")</f>
        <v>May-2024</v>
      </c>
      <c r="Y69" s="7" t="str">
        <f t="shared" si="17"/>
        <v>Q2-2024</v>
      </c>
      <c r="Z69" s="7" t="str">
        <f t="shared" si="18"/>
        <v>High Price</v>
      </c>
      <c r="AA69" s="7" t="str">
        <f t="shared" si="19"/>
        <v>Q2</v>
      </c>
      <c r="AB69" s="28" t="str">
        <f t="shared" si="20"/>
        <v>May</v>
      </c>
      <c r="AC69" s="28" t="str">
        <f t="shared" si="21"/>
        <v>2024</v>
      </c>
    </row>
    <row r="70" spans="1:29" x14ac:dyDescent="0.25">
      <c r="A70" s="4" t="s">
        <v>83</v>
      </c>
      <c r="B70" s="14">
        <v>45157</v>
      </c>
      <c r="C70" s="14">
        <v>45176</v>
      </c>
      <c r="D70" s="16">
        <f t="shared" si="13"/>
        <v>19</v>
      </c>
      <c r="E70" s="4" t="s">
        <v>646</v>
      </c>
      <c r="F70" s="4" t="s">
        <v>661</v>
      </c>
      <c r="G70" s="4" t="s">
        <v>682</v>
      </c>
      <c r="H70" s="4" t="s">
        <v>706</v>
      </c>
      <c r="I70" s="4" t="s">
        <v>707</v>
      </c>
      <c r="J70" s="4" t="s">
        <v>726</v>
      </c>
      <c r="K70" s="4" t="s">
        <v>732</v>
      </c>
      <c r="L70" s="4" t="s">
        <v>802</v>
      </c>
      <c r="M70" s="9">
        <v>18</v>
      </c>
      <c r="N70" s="16">
        <f>ROUND(IF('Dashboard Visualization'!$U$3="",'Working Data'!$M70,'Working Data'!$M70*(100% +'Dashboard Visualization'!$U$3)),0)</f>
        <v>18</v>
      </c>
      <c r="O70" s="19">
        <v>494.61</v>
      </c>
      <c r="P70" s="20">
        <f>IF('Dashboard Visualization'!$U$2="",'Working Data'!$O70*'Working Data'!$N70,'Working Data'!$O70*'Working Data'!$N70*(100%+'Dashboard Visualization'!$U$2))</f>
        <v>8902.98</v>
      </c>
      <c r="Q70" s="19">
        <v>605.23</v>
      </c>
      <c r="R70" s="20">
        <f t="shared" si="14"/>
        <v>481.76308000000006</v>
      </c>
      <c r="S70" s="11">
        <v>0.20399999999999999</v>
      </c>
      <c r="T70" s="22">
        <f>IF('Dashboard Visualization'!$U$1="",$S70,IF(S70&gt;'Dashboard Visualization'!$U$1,'Dashboard Visualization'!$U$1,S70))</f>
        <v>0.20399999999999999</v>
      </c>
      <c r="U70" s="20">
        <f t="shared" si="15"/>
        <v>6902.7014102400017</v>
      </c>
      <c r="V70" s="20">
        <f t="shared" si="16"/>
        <v>-2000.2785897599979</v>
      </c>
      <c r="W70" s="22">
        <f t="shared" si="12"/>
        <v>0</v>
      </c>
      <c r="X70" s="28" t="str">
        <f>TEXT(B70,"MMM-YYYY")</f>
        <v>Aug-2023</v>
      </c>
      <c r="Y70" s="7" t="str">
        <f t="shared" si="17"/>
        <v>Q3-2023</v>
      </c>
      <c r="Z70" s="7" t="str">
        <f t="shared" si="18"/>
        <v>Low Price</v>
      </c>
      <c r="AA70" s="7" t="str">
        <f t="shared" si="19"/>
        <v>Q3</v>
      </c>
      <c r="AB70" s="28" t="str">
        <f t="shared" si="20"/>
        <v>Aug</v>
      </c>
      <c r="AC70" s="28" t="str">
        <f t="shared" si="21"/>
        <v>2023</v>
      </c>
    </row>
    <row r="71" spans="1:29" x14ac:dyDescent="0.25">
      <c r="A71" s="4" t="s">
        <v>84</v>
      </c>
      <c r="B71" s="14">
        <v>45037</v>
      </c>
      <c r="C71" s="14">
        <v>45056</v>
      </c>
      <c r="D71" s="16">
        <f t="shared" si="13"/>
        <v>19</v>
      </c>
      <c r="E71" s="4" t="s">
        <v>647</v>
      </c>
      <c r="F71" s="4" t="s">
        <v>659</v>
      </c>
      <c r="G71" s="4" t="s">
        <v>685</v>
      </c>
      <c r="H71" s="4" t="s">
        <v>701</v>
      </c>
      <c r="I71" s="4" t="s">
        <v>707</v>
      </c>
      <c r="J71" s="4" t="s">
        <v>720</v>
      </c>
      <c r="K71" s="4" t="s">
        <v>727</v>
      </c>
      <c r="L71" s="4" t="s">
        <v>803</v>
      </c>
      <c r="M71" s="9">
        <v>5</v>
      </c>
      <c r="N71" s="16">
        <f>ROUND(IF('Dashboard Visualization'!$U$3="",'Working Data'!$M71,'Working Data'!$M71*(100% +'Dashboard Visualization'!$U$3)),0)</f>
        <v>5</v>
      </c>
      <c r="O71" s="19">
        <v>882.33</v>
      </c>
      <c r="P71" s="20">
        <f>IF('Dashboard Visualization'!$U$2="",'Working Data'!$O71*'Working Data'!$N71,'Working Data'!$O71*'Working Data'!$N71*(100%+'Dashboard Visualization'!$U$2))</f>
        <v>4411.6500000000005</v>
      </c>
      <c r="Q71" s="19">
        <v>1880.15</v>
      </c>
      <c r="R71" s="20">
        <f t="shared" si="14"/>
        <v>1786.1424999999999</v>
      </c>
      <c r="S71" s="11">
        <v>0.05</v>
      </c>
      <c r="T71" s="22">
        <f>IF('Dashboard Visualization'!$U$1="",$S71,IF(S71&gt;'Dashboard Visualization'!$U$1,'Dashboard Visualization'!$U$1,S71))</f>
        <v>0.05</v>
      </c>
      <c r="U71" s="20">
        <f t="shared" si="15"/>
        <v>8484.1768749999992</v>
      </c>
      <c r="V71" s="20">
        <f t="shared" si="16"/>
        <v>4072.5268749999987</v>
      </c>
      <c r="W71" s="22">
        <f t="shared" si="12"/>
        <v>0.48001437676297842</v>
      </c>
      <c r="X71" s="28" t="str">
        <f>TEXT(B71,"MMM-YYYY")</f>
        <v>Apr-2023</v>
      </c>
      <c r="Y71" s="7" t="str">
        <f t="shared" si="17"/>
        <v>Q2-2023</v>
      </c>
      <c r="Z71" s="7" t="str">
        <f t="shared" si="18"/>
        <v>Medium Price</v>
      </c>
      <c r="AA71" s="7" t="str">
        <f t="shared" si="19"/>
        <v>Q2</v>
      </c>
      <c r="AB71" s="28" t="str">
        <f t="shared" si="20"/>
        <v>Apr</v>
      </c>
      <c r="AC71" s="28" t="str">
        <f t="shared" si="21"/>
        <v>2023</v>
      </c>
    </row>
    <row r="72" spans="1:29" x14ac:dyDescent="0.25">
      <c r="A72" s="4" t="s">
        <v>85</v>
      </c>
      <c r="B72" s="14">
        <v>45369</v>
      </c>
      <c r="C72" s="14">
        <v>45372</v>
      </c>
      <c r="D72" s="16">
        <f t="shared" si="13"/>
        <v>3</v>
      </c>
      <c r="E72" s="4" t="s">
        <v>649</v>
      </c>
      <c r="F72" s="4" t="s">
        <v>656</v>
      </c>
      <c r="G72" s="4" t="s">
        <v>684</v>
      </c>
      <c r="H72" s="4" t="s">
        <v>705</v>
      </c>
      <c r="I72" s="4" t="s">
        <v>708</v>
      </c>
      <c r="J72" s="4" t="s">
        <v>724</v>
      </c>
      <c r="K72" s="4" t="s">
        <v>733</v>
      </c>
      <c r="L72" s="4" t="s">
        <v>804</v>
      </c>
      <c r="M72" s="9">
        <v>9</v>
      </c>
      <c r="N72" s="16">
        <f>ROUND(IF('Dashboard Visualization'!$U$3="",'Working Data'!$M72,'Working Data'!$M72*(100% +'Dashboard Visualization'!$U$3)),0)</f>
        <v>9</v>
      </c>
      <c r="O72" s="19">
        <v>910.63</v>
      </c>
      <c r="P72" s="20">
        <f>IF('Dashboard Visualization'!$U$2="",'Working Data'!$O72*'Working Data'!$N72,'Working Data'!$O72*'Working Data'!$N72*(100%+'Dashboard Visualization'!$U$2))</f>
        <v>8195.67</v>
      </c>
      <c r="Q72" s="19">
        <v>1269.4000000000001</v>
      </c>
      <c r="R72" s="20">
        <f t="shared" si="14"/>
        <v>1183.0808</v>
      </c>
      <c r="S72" s="11">
        <v>6.8000000000000005E-2</v>
      </c>
      <c r="T72" s="22">
        <f>IF('Dashboard Visualization'!$U$1="",$S72,IF(S72&gt;'Dashboard Visualization'!$U$1,'Dashboard Visualization'!$U$1,S72))</f>
        <v>6.8000000000000005E-2</v>
      </c>
      <c r="U72" s="20">
        <f t="shared" si="15"/>
        <v>9923.6817503999991</v>
      </c>
      <c r="V72" s="20">
        <f t="shared" si="16"/>
        <v>1728.0117503999991</v>
      </c>
      <c r="W72" s="22">
        <f t="shared" si="12"/>
        <v>0.17413010552563793</v>
      </c>
      <c r="X72" s="28" t="str">
        <f>TEXT(B72,"MMM-YYYY")</f>
        <v>Mar-2024</v>
      </c>
      <c r="Y72" s="7" t="str">
        <f t="shared" si="17"/>
        <v>Q1-2024</v>
      </c>
      <c r="Z72" s="7" t="str">
        <f t="shared" si="18"/>
        <v>High Price</v>
      </c>
      <c r="AA72" s="7" t="str">
        <f t="shared" si="19"/>
        <v>Q1</v>
      </c>
      <c r="AB72" s="28" t="str">
        <f t="shared" si="20"/>
        <v>Mar</v>
      </c>
      <c r="AC72" s="28" t="str">
        <f t="shared" si="21"/>
        <v>2024</v>
      </c>
    </row>
    <row r="73" spans="1:29" x14ac:dyDescent="0.25">
      <c r="A73" s="4" t="s">
        <v>86</v>
      </c>
      <c r="B73" s="14">
        <v>45756</v>
      </c>
      <c r="C73" s="14">
        <v>45783</v>
      </c>
      <c r="D73" s="16">
        <f t="shared" si="13"/>
        <v>27</v>
      </c>
      <c r="E73" s="4" t="s">
        <v>648</v>
      </c>
      <c r="F73" s="4" t="s">
        <v>655</v>
      </c>
      <c r="G73" s="4" t="s">
        <v>672</v>
      </c>
      <c r="H73" s="4" t="s">
        <v>706</v>
      </c>
      <c r="I73" s="4" t="s">
        <v>709</v>
      </c>
      <c r="J73" s="4" t="s">
        <v>721</v>
      </c>
      <c r="K73" s="4" t="s">
        <v>731</v>
      </c>
      <c r="L73" s="4" t="s">
        <v>805</v>
      </c>
      <c r="M73" s="9">
        <v>12</v>
      </c>
      <c r="N73" s="16">
        <f>ROUND(IF('Dashboard Visualization'!$U$3="",'Working Data'!$M73,'Working Data'!$M73*(100% +'Dashboard Visualization'!$U$3)),0)</f>
        <v>12</v>
      </c>
      <c r="O73" s="19">
        <v>264.19</v>
      </c>
      <c r="P73" s="20">
        <f>IF('Dashboard Visualization'!$U$2="",'Working Data'!$O73*'Working Data'!$N73,'Working Data'!$O73*'Working Data'!$N73*(100%+'Dashboard Visualization'!$U$2))</f>
        <v>3170.2799999999997</v>
      </c>
      <c r="Q73" s="19">
        <v>620.92999999999995</v>
      </c>
      <c r="R73" s="20">
        <f t="shared" si="14"/>
        <v>532.75793999999996</v>
      </c>
      <c r="S73" s="11">
        <v>0.14199999999999999</v>
      </c>
      <c r="T73" s="22">
        <f>IF('Dashboard Visualization'!$U$1="",$S73,IF(S73&gt;'Dashboard Visualization'!$U$1,'Dashboard Visualization'!$U$1,S73))</f>
        <v>0.14199999999999999</v>
      </c>
      <c r="U73" s="20">
        <f t="shared" si="15"/>
        <v>5485.27575024</v>
      </c>
      <c r="V73" s="20">
        <f t="shared" si="16"/>
        <v>2314.9957502400002</v>
      </c>
      <c r="W73" s="22">
        <f t="shared" si="12"/>
        <v>0.42203817194399224</v>
      </c>
      <c r="X73" s="28" t="str">
        <f>TEXT(B73,"MMM-YYYY")</f>
        <v>Apr-2025</v>
      </c>
      <c r="Y73" s="7" t="str">
        <f t="shared" si="17"/>
        <v>Q2-2025</v>
      </c>
      <c r="Z73" s="7" t="str">
        <f t="shared" si="18"/>
        <v>High Price</v>
      </c>
      <c r="AA73" s="7" t="str">
        <f t="shared" si="19"/>
        <v>Q2</v>
      </c>
      <c r="AB73" s="28" t="str">
        <f t="shared" si="20"/>
        <v>Apr</v>
      </c>
      <c r="AC73" s="28" t="str">
        <f t="shared" si="21"/>
        <v>2025</v>
      </c>
    </row>
    <row r="74" spans="1:29" x14ac:dyDescent="0.25">
      <c r="A74" s="4" t="s">
        <v>87</v>
      </c>
      <c r="B74" s="14">
        <v>45394</v>
      </c>
      <c r="C74" s="14">
        <v>45419</v>
      </c>
      <c r="D74" s="16">
        <f t="shared" si="13"/>
        <v>25</v>
      </c>
      <c r="E74" s="4" t="s">
        <v>646</v>
      </c>
      <c r="F74" s="4" t="s">
        <v>661</v>
      </c>
      <c r="G74" s="4" t="s">
        <v>682</v>
      </c>
      <c r="H74" s="4" t="s">
        <v>702</v>
      </c>
      <c r="I74" s="4" t="s">
        <v>710</v>
      </c>
      <c r="J74" s="4" t="s">
        <v>720</v>
      </c>
      <c r="K74" s="4" t="s">
        <v>731</v>
      </c>
      <c r="L74" s="4" t="s">
        <v>806</v>
      </c>
      <c r="M74" s="9">
        <v>17</v>
      </c>
      <c r="N74" s="16">
        <f>ROUND(IF('Dashboard Visualization'!$U$3="",'Working Data'!$M74,'Working Data'!$M74*(100% +'Dashboard Visualization'!$U$3)),0)</f>
        <v>17</v>
      </c>
      <c r="O74" s="19">
        <v>1376.51</v>
      </c>
      <c r="P74" s="20">
        <f>IF('Dashboard Visualization'!$U$2="",'Working Data'!$O74*'Working Data'!$N74,'Working Data'!$O74*'Working Data'!$N74*(100%+'Dashboard Visualization'!$U$2))</f>
        <v>23400.67</v>
      </c>
      <c r="Q74" s="19">
        <v>1455.91</v>
      </c>
      <c r="R74" s="20">
        <f t="shared" si="14"/>
        <v>1186.56665</v>
      </c>
      <c r="S74" s="11">
        <v>0.185</v>
      </c>
      <c r="T74" s="22">
        <f>IF('Dashboard Visualization'!$U$1="",$S74,IF(S74&gt;'Dashboard Visualization'!$U$1,'Dashboard Visualization'!$U$1,S74))</f>
        <v>0.185</v>
      </c>
      <c r="U74" s="20">
        <f t="shared" si="15"/>
        <v>16439.880935749999</v>
      </c>
      <c r="V74" s="20">
        <f t="shared" si="16"/>
        <v>-6960.7890642499988</v>
      </c>
      <c r="W74" s="22">
        <f t="shared" si="12"/>
        <v>0</v>
      </c>
      <c r="X74" s="28" t="str">
        <f>TEXT(B74,"MMM-YYYY")</f>
        <v>Apr-2024</v>
      </c>
      <c r="Y74" s="7" t="str">
        <f t="shared" si="17"/>
        <v>Q2-2024</v>
      </c>
      <c r="Z74" s="7" t="str">
        <f t="shared" si="18"/>
        <v>High Price</v>
      </c>
      <c r="AA74" s="7" t="str">
        <f t="shared" si="19"/>
        <v>Q2</v>
      </c>
      <c r="AB74" s="28" t="str">
        <f t="shared" si="20"/>
        <v>Apr</v>
      </c>
      <c r="AC74" s="28" t="str">
        <f t="shared" si="21"/>
        <v>2024</v>
      </c>
    </row>
    <row r="75" spans="1:29" x14ac:dyDescent="0.25">
      <c r="A75" s="4" t="s">
        <v>88</v>
      </c>
      <c r="B75" s="14">
        <v>45641</v>
      </c>
      <c r="C75" s="14">
        <v>45646</v>
      </c>
      <c r="D75" s="16">
        <f t="shared" si="13"/>
        <v>5</v>
      </c>
      <c r="E75" s="4" t="s">
        <v>647</v>
      </c>
      <c r="F75" s="4" t="s">
        <v>659</v>
      </c>
      <c r="G75" s="4" t="s">
        <v>676</v>
      </c>
      <c r="H75" s="4" t="s">
        <v>705</v>
      </c>
      <c r="I75" s="4" t="s">
        <v>711</v>
      </c>
      <c r="J75" s="4" t="s">
        <v>713</v>
      </c>
      <c r="K75" s="4" t="s">
        <v>729</v>
      </c>
      <c r="L75" s="4" t="s">
        <v>807</v>
      </c>
      <c r="M75" s="9">
        <v>18</v>
      </c>
      <c r="N75" s="16">
        <f>ROUND(IF('Dashboard Visualization'!$U$3="",'Working Data'!$M75,'Working Data'!$M75*(100% +'Dashboard Visualization'!$U$3)),0)</f>
        <v>18</v>
      </c>
      <c r="O75" s="19">
        <v>717.55</v>
      </c>
      <c r="P75" s="20">
        <f>IF('Dashboard Visualization'!$U$2="",'Working Data'!$O75*'Working Data'!$N75,'Working Data'!$O75*'Working Data'!$N75*(100%+'Dashboard Visualization'!$U$2))</f>
        <v>12915.9</v>
      </c>
      <c r="Q75" s="19">
        <v>546.42999999999995</v>
      </c>
      <c r="R75" s="20">
        <f t="shared" si="14"/>
        <v>520.7477899999999</v>
      </c>
      <c r="S75" s="11">
        <v>4.7E-2</v>
      </c>
      <c r="T75" s="22">
        <f>IF('Dashboard Visualization'!$U$1="",$S75,IF(S75&gt;'Dashboard Visualization'!$U$1,'Dashboard Visualization'!$U$1,S75))</f>
        <v>4.7E-2</v>
      </c>
      <c r="U75" s="20">
        <f t="shared" si="15"/>
        <v>8932.907589659997</v>
      </c>
      <c r="V75" s="20">
        <f t="shared" si="16"/>
        <v>-3982.9924103400026</v>
      </c>
      <c r="W75" s="22">
        <f t="shared" si="12"/>
        <v>0</v>
      </c>
      <c r="X75" s="28" t="str">
        <f>TEXT(B75,"MMM-YYYY")</f>
        <v>Dec-2024</v>
      </c>
      <c r="Y75" s="7" t="str">
        <f t="shared" si="17"/>
        <v>Q4-2024</v>
      </c>
      <c r="Z75" s="7" t="str">
        <f t="shared" si="18"/>
        <v>Low Price</v>
      </c>
      <c r="AA75" s="7" t="str">
        <f t="shared" si="19"/>
        <v>Q4</v>
      </c>
      <c r="AB75" s="28" t="str">
        <f t="shared" si="20"/>
        <v>Dec</v>
      </c>
      <c r="AC75" s="28" t="str">
        <f t="shared" si="21"/>
        <v>2024</v>
      </c>
    </row>
    <row r="76" spans="1:29" x14ac:dyDescent="0.25">
      <c r="A76" s="4" t="s">
        <v>89</v>
      </c>
      <c r="B76" s="14">
        <v>45066</v>
      </c>
      <c r="C76" s="14">
        <v>45064</v>
      </c>
      <c r="D76" s="16" t="str">
        <f t="shared" si="13"/>
        <v/>
      </c>
      <c r="E76" s="4" t="s">
        <v>646</v>
      </c>
      <c r="F76" s="4" t="s">
        <v>661</v>
      </c>
      <c r="G76" s="4" t="s">
        <v>687</v>
      </c>
      <c r="H76" s="4" t="s">
        <v>701</v>
      </c>
      <c r="I76" s="4" t="s">
        <v>710</v>
      </c>
      <c r="J76" s="4" t="s">
        <v>720</v>
      </c>
      <c r="K76" s="4" t="s">
        <v>727</v>
      </c>
      <c r="L76" s="4" t="s">
        <v>808</v>
      </c>
      <c r="M76" s="9">
        <v>5</v>
      </c>
      <c r="N76" s="16">
        <f>ROUND(IF('Dashboard Visualization'!$U$3="",'Working Data'!$M76,'Working Data'!$M76*(100% +'Dashboard Visualization'!$U$3)),0)</f>
        <v>5</v>
      </c>
      <c r="O76" s="19">
        <v>917.88</v>
      </c>
      <c r="P76" s="20">
        <f>IF('Dashboard Visualization'!$U$2="",'Working Data'!$O76*'Working Data'!$N76,'Working Data'!$O76*'Working Data'!$N76*(100%+'Dashboard Visualization'!$U$2))</f>
        <v>4589.3999999999996</v>
      </c>
      <c r="Q76" s="19">
        <v>1347.92</v>
      </c>
      <c r="R76" s="20">
        <f t="shared" si="14"/>
        <v>885.58344000000011</v>
      </c>
      <c r="S76" s="11">
        <v>0.34300000000000003</v>
      </c>
      <c r="T76" s="22">
        <f>IF('Dashboard Visualization'!$U$1="",$S76,IF(S76&gt;'Dashboard Visualization'!$U$1,'Dashboard Visualization'!$U$1,S76))</f>
        <v>0.34300000000000003</v>
      </c>
      <c r="U76" s="20">
        <f t="shared" si="15"/>
        <v>2909.1416004000007</v>
      </c>
      <c r="V76" s="20">
        <f t="shared" si="16"/>
        <v>-1680.2583995999989</v>
      </c>
      <c r="W76" s="22">
        <f t="shared" si="12"/>
        <v>0</v>
      </c>
      <c r="X76" s="28" t="str">
        <f>TEXT(B76,"MMM-YYYY")</f>
        <v>May-2023</v>
      </c>
      <c r="Y76" s="7" t="str">
        <f t="shared" si="17"/>
        <v>Q2-2023</v>
      </c>
      <c r="Z76" s="7" t="str">
        <f t="shared" si="18"/>
        <v>High Price</v>
      </c>
      <c r="AA76" s="7" t="str">
        <f t="shared" si="19"/>
        <v>Q2</v>
      </c>
      <c r="AB76" s="28" t="str">
        <f t="shared" si="20"/>
        <v>May</v>
      </c>
      <c r="AC76" s="28" t="str">
        <f t="shared" si="21"/>
        <v>2023</v>
      </c>
    </row>
    <row r="77" spans="1:29" x14ac:dyDescent="0.25">
      <c r="A77" s="4" t="s">
        <v>90</v>
      </c>
      <c r="B77" s="14">
        <v>45187</v>
      </c>
      <c r="C77" s="14">
        <v>45207</v>
      </c>
      <c r="D77" s="16">
        <f t="shared" si="13"/>
        <v>20</v>
      </c>
      <c r="E77" s="4" t="s">
        <v>647</v>
      </c>
      <c r="F77" s="4" t="s">
        <v>654</v>
      </c>
      <c r="G77" s="4" t="s">
        <v>680</v>
      </c>
      <c r="H77" s="4" t="s">
        <v>705</v>
      </c>
      <c r="I77" s="4" t="s">
        <v>711</v>
      </c>
      <c r="J77" s="4" t="s">
        <v>717</v>
      </c>
      <c r="K77" s="4" t="s">
        <v>727</v>
      </c>
      <c r="L77" s="4" t="s">
        <v>809</v>
      </c>
      <c r="M77" s="9">
        <v>7</v>
      </c>
      <c r="N77" s="16">
        <f>ROUND(IF('Dashboard Visualization'!$U$3="",'Working Data'!$M77,'Working Data'!$M77*(100% +'Dashboard Visualization'!$U$3)),0)</f>
        <v>7</v>
      </c>
      <c r="O77" s="19">
        <v>825.64</v>
      </c>
      <c r="P77" s="20">
        <f>IF('Dashboard Visualization'!$U$2="",'Working Data'!$O77*'Working Data'!$N77,'Working Data'!$O77*'Working Data'!$N77*(100%+'Dashboard Visualization'!$U$2))</f>
        <v>5779.48</v>
      </c>
      <c r="Q77" s="19">
        <v>1108.43</v>
      </c>
      <c r="R77" s="20">
        <f t="shared" si="14"/>
        <v>982.06898000000001</v>
      </c>
      <c r="S77" s="11">
        <v>0.114</v>
      </c>
      <c r="T77" s="22">
        <f>IF('Dashboard Visualization'!$U$1="",$S77,IF(S77&gt;'Dashboard Visualization'!$U$1,'Dashboard Visualization'!$U$1,S77))</f>
        <v>0.114</v>
      </c>
      <c r="U77" s="20">
        <f t="shared" si="15"/>
        <v>6090.7918139599997</v>
      </c>
      <c r="V77" s="20">
        <f t="shared" si="16"/>
        <v>311.31181396000011</v>
      </c>
      <c r="W77" s="22">
        <f t="shared" si="12"/>
        <v>5.1111878959067075E-2</v>
      </c>
      <c r="X77" s="28" t="str">
        <f>TEXT(B77,"MMM-YYYY")</f>
        <v>Sep-2023</v>
      </c>
      <c r="Y77" s="7" t="str">
        <f t="shared" si="17"/>
        <v>Q3-2023</v>
      </c>
      <c r="Z77" s="7" t="str">
        <f t="shared" si="18"/>
        <v>High Price</v>
      </c>
      <c r="AA77" s="7" t="str">
        <f t="shared" si="19"/>
        <v>Q3</v>
      </c>
      <c r="AB77" s="28" t="str">
        <f t="shared" si="20"/>
        <v>Sep</v>
      </c>
      <c r="AC77" s="28" t="str">
        <f t="shared" si="21"/>
        <v>2023</v>
      </c>
    </row>
    <row r="78" spans="1:29" x14ac:dyDescent="0.25">
      <c r="A78" s="4" t="s">
        <v>91</v>
      </c>
      <c r="B78" s="14">
        <v>45532</v>
      </c>
      <c r="C78" s="14">
        <v>45560</v>
      </c>
      <c r="D78" s="16">
        <f t="shared" si="13"/>
        <v>28</v>
      </c>
      <c r="E78" s="4" t="s">
        <v>648</v>
      </c>
      <c r="F78" s="4" t="s">
        <v>655</v>
      </c>
      <c r="G78" s="4" t="s">
        <v>692</v>
      </c>
      <c r="H78" s="4" t="s">
        <v>703</v>
      </c>
      <c r="I78" s="4" t="s">
        <v>708</v>
      </c>
      <c r="J78" s="12" t="s">
        <v>1430</v>
      </c>
      <c r="K78" s="4" t="s">
        <v>733</v>
      </c>
      <c r="L78" s="4" t="s">
        <v>810</v>
      </c>
      <c r="M78" s="9">
        <v>13</v>
      </c>
      <c r="N78" s="16">
        <f>ROUND(IF('Dashboard Visualization'!$U$3="",'Working Data'!$M78,'Working Data'!$M78*(100% +'Dashboard Visualization'!$U$3)),0)</f>
        <v>13</v>
      </c>
      <c r="O78" s="19">
        <v>1394.65</v>
      </c>
      <c r="P78" s="20">
        <f>IF('Dashboard Visualization'!$U$2="",'Working Data'!$O78*'Working Data'!$N78,'Working Data'!$O78*'Working Data'!$N78*(100%+'Dashboard Visualization'!$U$2))</f>
        <v>18130.45</v>
      </c>
      <c r="Q78" s="19">
        <v>3144.1</v>
      </c>
      <c r="R78" s="20">
        <f t="shared" si="14"/>
        <v>2722.7905999999998</v>
      </c>
      <c r="S78" s="11">
        <v>0.13400000000000001</v>
      </c>
      <c r="T78" s="22">
        <f>IF('Dashboard Visualization'!$U$1="",$S78,IF(S78&gt;'Dashboard Visualization'!$U$1,'Dashboard Visualization'!$U$1,S78))</f>
        <v>0.13400000000000001</v>
      </c>
      <c r="U78" s="20">
        <f t="shared" si="15"/>
        <v>30653.1765748</v>
      </c>
      <c r="V78" s="20">
        <f t="shared" si="16"/>
        <v>12522.726574799999</v>
      </c>
      <c r="W78" s="22">
        <f t="shared" si="12"/>
        <v>0.40852948940681544</v>
      </c>
      <c r="X78" s="28" t="str">
        <f>TEXT(B78,"MMM-YYYY")</f>
        <v>Aug-2024</v>
      </c>
      <c r="Y78" s="7" t="str">
        <f t="shared" si="17"/>
        <v>Q3-2024</v>
      </c>
      <c r="Z78" s="7" t="str">
        <f t="shared" si="18"/>
        <v>Medium Price</v>
      </c>
      <c r="AA78" s="7" t="str">
        <f t="shared" si="19"/>
        <v>Q3</v>
      </c>
      <c r="AB78" s="28" t="str">
        <f t="shared" si="20"/>
        <v>Aug</v>
      </c>
      <c r="AC78" s="28" t="str">
        <f t="shared" si="21"/>
        <v>2024</v>
      </c>
    </row>
    <row r="79" spans="1:29" x14ac:dyDescent="0.25">
      <c r="A79" s="4" t="s">
        <v>92</v>
      </c>
      <c r="B79" s="14">
        <v>45473</v>
      </c>
      <c r="C79" s="14">
        <v>45471</v>
      </c>
      <c r="D79" s="16" t="str">
        <f t="shared" si="13"/>
        <v/>
      </c>
      <c r="E79" s="4" t="s">
        <v>648</v>
      </c>
      <c r="F79" s="4" t="s">
        <v>655</v>
      </c>
      <c r="G79" s="4" t="s">
        <v>692</v>
      </c>
      <c r="H79" s="4" t="s">
        <v>705</v>
      </c>
      <c r="I79" s="4" t="s">
        <v>711</v>
      </c>
      <c r="J79" s="4" t="s">
        <v>716</v>
      </c>
      <c r="K79" s="4" t="s">
        <v>733</v>
      </c>
      <c r="L79" s="4" t="s">
        <v>811</v>
      </c>
      <c r="M79" s="9">
        <v>17</v>
      </c>
      <c r="N79" s="16">
        <f>ROUND(IF('Dashboard Visualization'!$U$3="",'Working Data'!$M79,'Working Data'!$M79*(100% +'Dashboard Visualization'!$U$3)),0)</f>
        <v>17</v>
      </c>
      <c r="O79" s="19">
        <v>1112.98</v>
      </c>
      <c r="P79" s="20">
        <f>IF('Dashboard Visualization'!$U$2="",'Working Data'!$O79*'Working Data'!$N79,'Working Data'!$O79*'Working Data'!$N79*(100%+'Dashboard Visualization'!$U$2))</f>
        <v>18920.66</v>
      </c>
      <c r="Q79" s="19">
        <v>2095.73</v>
      </c>
      <c r="R79" s="20">
        <f t="shared" si="14"/>
        <v>1944.83744</v>
      </c>
      <c r="S79" s="11">
        <v>7.1999999999999995E-2</v>
      </c>
      <c r="T79" s="22">
        <f>IF('Dashboard Visualization'!$U$1="",$S79,IF(S79&gt;'Dashboard Visualization'!$U$1,'Dashboard Visualization'!$U$1,S79))</f>
        <v>7.1999999999999995E-2</v>
      </c>
      <c r="U79" s="20">
        <f t="shared" si="15"/>
        <v>30681.755453440001</v>
      </c>
      <c r="V79" s="20">
        <f t="shared" si="16"/>
        <v>11761.095453440001</v>
      </c>
      <c r="W79" s="22">
        <f t="shared" si="12"/>
        <v>0.38332537625780994</v>
      </c>
      <c r="X79" s="28" t="str">
        <f>TEXT(B79,"MMM-YYYY")</f>
        <v>Jun-2024</v>
      </c>
      <c r="Y79" s="7" t="str">
        <f t="shared" si="17"/>
        <v>Q2-2024</v>
      </c>
      <c r="Z79" s="7" t="str">
        <f t="shared" si="18"/>
        <v>Medium Price</v>
      </c>
      <c r="AA79" s="7" t="str">
        <f t="shared" si="19"/>
        <v>Q2</v>
      </c>
      <c r="AB79" s="28" t="str">
        <f t="shared" si="20"/>
        <v>Jun</v>
      </c>
      <c r="AC79" s="28" t="str">
        <f t="shared" si="21"/>
        <v>2024</v>
      </c>
    </row>
    <row r="80" spans="1:29" x14ac:dyDescent="0.25">
      <c r="A80" s="4" t="s">
        <v>93</v>
      </c>
      <c r="B80" s="14">
        <v>45091</v>
      </c>
      <c r="C80" s="14">
        <v>45093</v>
      </c>
      <c r="D80" s="16">
        <f t="shared" si="13"/>
        <v>2</v>
      </c>
      <c r="E80" s="4" t="s">
        <v>649</v>
      </c>
      <c r="F80" s="4" t="s">
        <v>658</v>
      </c>
      <c r="G80" s="4" t="s">
        <v>693</v>
      </c>
      <c r="H80" s="4" t="s">
        <v>703</v>
      </c>
      <c r="I80" s="4" t="s">
        <v>711</v>
      </c>
      <c r="J80" s="4" t="s">
        <v>723</v>
      </c>
      <c r="K80" s="4" t="s">
        <v>727</v>
      </c>
      <c r="L80" s="4" t="s">
        <v>812</v>
      </c>
      <c r="M80" s="9">
        <v>20</v>
      </c>
      <c r="N80" s="16">
        <f>ROUND(IF('Dashboard Visualization'!$U$3="",'Working Data'!$M80,'Working Data'!$M80*(100% +'Dashboard Visualization'!$U$3)),0)</f>
        <v>20</v>
      </c>
      <c r="O80" s="19">
        <v>357.36</v>
      </c>
      <c r="P80" s="20">
        <f>IF('Dashboard Visualization'!$U$2="",'Working Data'!$O80*'Working Data'!$N80,'Working Data'!$O80*'Working Data'!$N80*(100%+'Dashboard Visualization'!$U$2))</f>
        <v>7147.2000000000007</v>
      </c>
      <c r="Q80" s="19">
        <v>703.62</v>
      </c>
      <c r="R80" s="20">
        <f t="shared" si="14"/>
        <v>522.78966000000003</v>
      </c>
      <c r="S80" s="11">
        <v>0.25700000000000001</v>
      </c>
      <c r="T80" s="22">
        <f>IF('Dashboard Visualization'!$U$1="",$S80,IF(S80&gt;'Dashboard Visualization'!$U$1,'Dashboard Visualization'!$U$1,S80))</f>
        <v>0.25700000000000001</v>
      </c>
      <c r="U80" s="20">
        <f t="shared" si="15"/>
        <v>7768.6543476000006</v>
      </c>
      <c r="V80" s="20">
        <f t="shared" si="16"/>
        <v>621.45434759999989</v>
      </c>
      <c r="W80" s="22">
        <f t="shared" si="12"/>
        <v>7.9995108521205879E-2</v>
      </c>
      <c r="X80" s="28" t="str">
        <f>TEXT(B80,"MMM-YYYY")</f>
        <v>Jun-2023</v>
      </c>
      <c r="Y80" s="7" t="str">
        <f t="shared" si="17"/>
        <v>Q2-2023</v>
      </c>
      <c r="Z80" s="7" t="str">
        <f t="shared" si="18"/>
        <v>Low Price</v>
      </c>
      <c r="AA80" s="7" t="str">
        <f t="shared" si="19"/>
        <v>Q2</v>
      </c>
      <c r="AB80" s="28" t="str">
        <f t="shared" si="20"/>
        <v>Jun</v>
      </c>
      <c r="AC80" s="28" t="str">
        <f t="shared" si="21"/>
        <v>2023</v>
      </c>
    </row>
    <row r="81" spans="1:29" x14ac:dyDescent="0.25">
      <c r="A81" s="4" t="s">
        <v>94</v>
      </c>
      <c r="B81" s="14">
        <v>45617</v>
      </c>
      <c r="C81" s="14">
        <v>45647</v>
      </c>
      <c r="D81" s="16">
        <f t="shared" si="13"/>
        <v>30</v>
      </c>
      <c r="E81" s="4" t="s">
        <v>649</v>
      </c>
      <c r="F81" s="4" t="s">
        <v>657</v>
      </c>
      <c r="G81" s="4" t="s">
        <v>673</v>
      </c>
      <c r="H81" s="4" t="s">
        <v>705</v>
      </c>
      <c r="I81" s="4" t="s">
        <v>711</v>
      </c>
      <c r="J81" s="4" t="s">
        <v>714</v>
      </c>
      <c r="K81" s="4" t="s">
        <v>732</v>
      </c>
      <c r="L81" s="4" t="s">
        <v>813</v>
      </c>
      <c r="M81" s="9">
        <v>3</v>
      </c>
      <c r="N81" s="16">
        <f>ROUND(IF('Dashboard Visualization'!$U$3="",'Working Data'!$M81,'Working Data'!$M81*(100% +'Dashboard Visualization'!$U$3)),0)</f>
        <v>3</v>
      </c>
      <c r="O81" s="19">
        <v>1122.68</v>
      </c>
      <c r="P81" s="20">
        <f>IF('Dashboard Visualization'!$U$2="",'Working Data'!$O81*'Working Data'!$N81,'Working Data'!$O81*'Working Data'!$N81*(100%+'Dashboard Visualization'!$U$2))</f>
        <v>3368.04</v>
      </c>
      <c r="Q81" s="19">
        <v>1997.19</v>
      </c>
      <c r="R81" s="20">
        <f t="shared" si="14"/>
        <v>1625.7126600000001</v>
      </c>
      <c r="S81" s="11">
        <v>0.186</v>
      </c>
      <c r="T81" s="22">
        <f>IF('Dashboard Visualization'!$U$1="",$S81,IF(S81&gt;'Dashboard Visualization'!$U$1,'Dashboard Visualization'!$U$1,S81))</f>
        <v>0.186</v>
      </c>
      <c r="U81" s="20">
        <f t="shared" si="15"/>
        <v>3969.9903157200006</v>
      </c>
      <c r="V81" s="20">
        <f t="shared" si="16"/>
        <v>601.95031572000062</v>
      </c>
      <c r="W81" s="22">
        <f t="shared" si="12"/>
        <v>0.15162513453407012</v>
      </c>
      <c r="X81" s="28" t="str">
        <f>TEXT(B81,"MMM-YYYY")</f>
        <v>Nov-2024</v>
      </c>
      <c r="Y81" s="7" t="str">
        <f t="shared" si="17"/>
        <v>Q4-2024</v>
      </c>
      <c r="Z81" s="7" t="str">
        <f t="shared" si="18"/>
        <v>High Price</v>
      </c>
      <c r="AA81" s="7" t="str">
        <f t="shared" si="19"/>
        <v>Q4</v>
      </c>
      <c r="AB81" s="28" t="str">
        <f t="shared" si="20"/>
        <v>Nov</v>
      </c>
      <c r="AC81" s="28" t="str">
        <f t="shared" si="21"/>
        <v>2024</v>
      </c>
    </row>
    <row r="82" spans="1:29" x14ac:dyDescent="0.25">
      <c r="A82" s="4" t="s">
        <v>95</v>
      </c>
      <c r="B82" s="14">
        <v>44965</v>
      </c>
      <c r="C82" s="14">
        <v>44968</v>
      </c>
      <c r="D82" s="16">
        <f t="shared" si="13"/>
        <v>3</v>
      </c>
      <c r="E82" s="4" t="s">
        <v>646</v>
      </c>
      <c r="F82" s="4" t="s">
        <v>661</v>
      </c>
      <c r="G82" s="4" t="s">
        <v>695</v>
      </c>
      <c r="H82" s="4" t="s">
        <v>701</v>
      </c>
      <c r="I82" s="4" t="s">
        <v>711</v>
      </c>
      <c r="J82" s="4" t="s">
        <v>724</v>
      </c>
      <c r="K82" s="4" t="s">
        <v>729</v>
      </c>
      <c r="L82" s="4" t="s">
        <v>814</v>
      </c>
      <c r="M82" s="9">
        <v>26</v>
      </c>
      <c r="N82" s="16">
        <f>ROUND(IF('Dashboard Visualization'!$U$3="",'Working Data'!$M82,'Working Data'!$M82*(100% +'Dashboard Visualization'!$U$3)),0)</f>
        <v>26</v>
      </c>
      <c r="O82" s="19">
        <v>1410.05</v>
      </c>
      <c r="P82" s="20">
        <f>IF('Dashboard Visualization'!$U$2="",'Working Data'!$O82*'Working Data'!$N82,'Working Data'!$O82*'Working Data'!$N82*(100%+'Dashboard Visualization'!$U$2))</f>
        <v>36661.299999999996</v>
      </c>
      <c r="Q82" s="19">
        <v>2763.95</v>
      </c>
      <c r="R82" s="20">
        <f t="shared" si="14"/>
        <v>2318.9540499999998</v>
      </c>
      <c r="S82" s="11">
        <v>0.161</v>
      </c>
      <c r="T82" s="22">
        <f>IF('Dashboard Visualization'!$U$1="",$S82,IF(S82&gt;'Dashboard Visualization'!$U$1,'Dashboard Visualization'!$U$1,S82))</f>
        <v>0.161</v>
      </c>
      <c r="U82" s="20">
        <f t="shared" si="15"/>
        <v>50585.663646699992</v>
      </c>
      <c r="V82" s="20">
        <f t="shared" si="16"/>
        <v>13924.363646699996</v>
      </c>
      <c r="W82" s="22">
        <f t="shared" si="12"/>
        <v>0.27526304179679112</v>
      </c>
      <c r="X82" s="28" t="str">
        <f>TEXT(B82,"MMM-YYYY")</f>
        <v>Feb-2023</v>
      </c>
      <c r="Y82" s="7" t="str">
        <f t="shared" si="17"/>
        <v>Q1-2023</v>
      </c>
      <c r="Z82" s="7" t="str">
        <f t="shared" si="18"/>
        <v>Medium Price</v>
      </c>
      <c r="AA82" s="7" t="str">
        <f t="shared" si="19"/>
        <v>Q1</v>
      </c>
      <c r="AB82" s="28" t="str">
        <f t="shared" si="20"/>
        <v>Feb</v>
      </c>
      <c r="AC82" s="28" t="str">
        <f t="shared" si="21"/>
        <v>2023</v>
      </c>
    </row>
    <row r="83" spans="1:29" x14ac:dyDescent="0.25">
      <c r="A83" s="4" t="s">
        <v>96</v>
      </c>
      <c r="B83" s="14">
        <v>45157</v>
      </c>
      <c r="C83" s="14">
        <v>45181</v>
      </c>
      <c r="D83" s="16">
        <f t="shared" si="13"/>
        <v>24</v>
      </c>
      <c r="E83" s="4" t="s">
        <v>648</v>
      </c>
      <c r="F83" s="4" t="s">
        <v>653</v>
      </c>
      <c r="G83" s="4" t="s">
        <v>688</v>
      </c>
      <c r="H83" s="4" t="s">
        <v>706</v>
      </c>
      <c r="I83" s="4" t="s">
        <v>707</v>
      </c>
      <c r="J83" s="4" t="s">
        <v>714</v>
      </c>
      <c r="K83" s="4" t="s">
        <v>728</v>
      </c>
      <c r="L83" s="4" t="s">
        <v>815</v>
      </c>
      <c r="M83" s="9">
        <v>16</v>
      </c>
      <c r="N83" s="16">
        <f>ROUND(IF('Dashboard Visualization'!$U$3="",'Working Data'!$M83,'Working Data'!$M83*(100% +'Dashboard Visualization'!$U$3)),0)</f>
        <v>16</v>
      </c>
      <c r="O83" s="19">
        <v>1183.95</v>
      </c>
      <c r="P83" s="20">
        <f>IF('Dashboard Visualization'!$U$2="",'Working Data'!$O83*'Working Data'!$N83,'Working Data'!$O83*'Working Data'!$N83*(100%+'Dashboard Visualization'!$U$2))</f>
        <v>18943.2</v>
      </c>
      <c r="Q83" s="19">
        <v>1503.53</v>
      </c>
      <c r="R83" s="20">
        <f t="shared" si="14"/>
        <v>1141.1792700000001</v>
      </c>
      <c r="S83" s="11">
        <v>0.24099999999999999</v>
      </c>
      <c r="T83" s="22">
        <f>IF('Dashboard Visualization'!$U$1="",$S83,IF(S83&gt;'Dashboard Visualization'!$U$1,'Dashboard Visualization'!$U$1,S83))</f>
        <v>0.24099999999999999</v>
      </c>
      <c r="U83" s="20">
        <f t="shared" si="15"/>
        <v>13858.481054880001</v>
      </c>
      <c r="V83" s="20">
        <f t="shared" si="16"/>
        <v>-5084.7189451199993</v>
      </c>
      <c r="W83" s="22">
        <f t="shared" si="12"/>
        <v>0</v>
      </c>
      <c r="X83" s="28" t="str">
        <f>TEXT(B83,"MMM-YYYY")</f>
        <v>Aug-2023</v>
      </c>
      <c r="Y83" s="7" t="str">
        <f t="shared" si="17"/>
        <v>Q3-2023</v>
      </c>
      <c r="Z83" s="7" t="str">
        <f t="shared" si="18"/>
        <v>High Price</v>
      </c>
      <c r="AA83" s="7" t="str">
        <f t="shared" si="19"/>
        <v>Q3</v>
      </c>
      <c r="AB83" s="28" t="str">
        <f t="shared" si="20"/>
        <v>Aug</v>
      </c>
      <c r="AC83" s="28" t="str">
        <f t="shared" si="21"/>
        <v>2023</v>
      </c>
    </row>
    <row r="84" spans="1:29" x14ac:dyDescent="0.25">
      <c r="A84" s="4" t="s">
        <v>97</v>
      </c>
      <c r="B84" s="14">
        <v>45791</v>
      </c>
      <c r="C84" s="14">
        <v>45801</v>
      </c>
      <c r="D84" s="16">
        <f t="shared" si="13"/>
        <v>10</v>
      </c>
      <c r="E84" s="4" t="s">
        <v>649</v>
      </c>
      <c r="F84" s="4" t="s">
        <v>657</v>
      </c>
      <c r="G84" s="4" t="s">
        <v>690</v>
      </c>
      <c r="H84" s="4" t="s">
        <v>705</v>
      </c>
      <c r="I84" s="4" t="s">
        <v>709</v>
      </c>
      <c r="J84" s="4" t="s">
        <v>723</v>
      </c>
      <c r="K84" s="4" t="s">
        <v>727</v>
      </c>
      <c r="L84" s="4" t="s">
        <v>816</v>
      </c>
      <c r="M84" s="9">
        <v>15</v>
      </c>
      <c r="N84" s="16">
        <f>ROUND(IF('Dashboard Visualization'!$U$3="",'Working Data'!$M84,'Working Data'!$M84*(100% +'Dashboard Visualization'!$U$3)),0)</f>
        <v>15</v>
      </c>
      <c r="O84" s="19">
        <v>170.39</v>
      </c>
      <c r="P84" s="20">
        <f>IF('Dashboard Visualization'!$U$2="",'Working Data'!$O84*'Working Data'!$N84,'Working Data'!$O84*'Working Data'!$N84*(100%+'Dashboard Visualization'!$U$2))</f>
        <v>2555.85</v>
      </c>
      <c r="Q84" s="19">
        <v>388.04</v>
      </c>
      <c r="R84" s="20">
        <f t="shared" si="14"/>
        <v>355.44464000000005</v>
      </c>
      <c r="S84" s="11">
        <v>8.4000000000000005E-2</v>
      </c>
      <c r="T84" s="22">
        <f>IF('Dashboard Visualization'!$U$1="",$S84,IF(S84&gt;'Dashboard Visualization'!$U$1,'Dashboard Visualization'!$U$1,S84))</f>
        <v>8.4000000000000005E-2</v>
      </c>
      <c r="U84" s="20">
        <f t="shared" si="15"/>
        <v>4883.8093536000015</v>
      </c>
      <c r="V84" s="20">
        <f t="shared" si="16"/>
        <v>2327.9593536000016</v>
      </c>
      <c r="W84" s="22">
        <f t="shared" si="12"/>
        <v>0.47666876101213768</v>
      </c>
      <c r="X84" s="28" t="str">
        <f>TEXT(B84,"MMM-YYYY")</f>
        <v>May-2025</v>
      </c>
      <c r="Y84" s="7" t="str">
        <f t="shared" si="17"/>
        <v>Q2-2025</v>
      </c>
      <c r="Z84" s="7" t="str">
        <f t="shared" si="18"/>
        <v>Low Price</v>
      </c>
      <c r="AA84" s="7" t="str">
        <f t="shared" si="19"/>
        <v>Q2</v>
      </c>
      <c r="AB84" s="28" t="str">
        <f t="shared" si="20"/>
        <v>May</v>
      </c>
      <c r="AC84" s="28" t="str">
        <f t="shared" si="21"/>
        <v>2025</v>
      </c>
    </row>
    <row r="85" spans="1:29" x14ac:dyDescent="0.25">
      <c r="A85" s="4" t="s">
        <v>98</v>
      </c>
      <c r="B85" s="14">
        <v>45770</v>
      </c>
      <c r="C85" s="14">
        <v>45769</v>
      </c>
      <c r="D85" s="16" t="str">
        <f t="shared" si="13"/>
        <v/>
      </c>
      <c r="E85" s="4" t="s">
        <v>648</v>
      </c>
      <c r="F85" s="4" t="s">
        <v>660</v>
      </c>
      <c r="G85" s="4" t="s">
        <v>686</v>
      </c>
      <c r="H85" s="4" t="s">
        <v>703</v>
      </c>
      <c r="I85" s="4" t="s">
        <v>710</v>
      </c>
      <c r="J85" s="4" t="s">
        <v>726</v>
      </c>
      <c r="K85" s="4" t="s">
        <v>732</v>
      </c>
      <c r="L85" s="4" t="s">
        <v>817</v>
      </c>
      <c r="M85" s="9">
        <v>15</v>
      </c>
      <c r="N85" s="16">
        <f>ROUND(IF('Dashboard Visualization'!$U$3="",'Working Data'!$M85,'Working Data'!$M85*(100% +'Dashboard Visualization'!$U$3)),0)</f>
        <v>15</v>
      </c>
      <c r="O85" s="19">
        <v>23.24</v>
      </c>
      <c r="P85" s="20">
        <f>IF('Dashboard Visualization'!$U$2="",'Working Data'!$O85*'Working Data'!$N85,'Working Data'!$O85*'Working Data'!$N85*(100%+'Dashboard Visualization'!$U$2))</f>
        <v>348.59999999999997</v>
      </c>
      <c r="Q85" s="19">
        <v>44.57</v>
      </c>
      <c r="R85" s="20">
        <f t="shared" si="14"/>
        <v>34.987450000000003</v>
      </c>
      <c r="S85" s="11">
        <v>0.215</v>
      </c>
      <c r="T85" s="22">
        <f>IF('Dashboard Visualization'!$U$1="",$S85,IF(S85&gt;'Dashboard Visualization'!$U$1,'Dashboard Visualization'!$U$1,S85))</f>
        <v>0.215</v>
      </c>
      <c r="U85" s="20">
        <f t="shared" si="15"/>
        <v>411.97722375000001</v>
      </c>
      <c r="V85" s="20">
        <f t="shared" si="16"/>
        <v>63.377223750000041</v>
      </c>
      <c r="W85" s="22">
        <f t="shared" si="12"/>
        <v>0.15383671741149268</v>
      </c>
      <c r="X85" s="28" t="str">
        <f>TEXT(B85,"MMM-YYYY")</f>
        <v>Apr-2025</v>
      </c>
      <c r="Y85" s="7" t="str">
        <f t="shared" si="17"/>
        <v>Q2-2025</v>
      </c>
      <c r="Z85" s="7" t="str">
        <f t="shared" si="18"/>
        <v>Low Price</v>
      </c>
      <c r="AA85" s="7" t="str">
        <f t="shared" si="19"/>
        <v>Q2</v>
      </c>
      <c r="AB85" s="28" t="str">
        <f t="shared" si="20"/>
        <v>Apr</v>
      </c>
      <c r="AC85" s="28" t="str">
        <f t="shared" si="21"/>
        <v>2025</v>
      </c>
    </row>
    <row r="86" spans="1:29" x14ac:dyDescent="0.25">
      <c r="A86" s="4" t="s">
        <v>99</v>
      </c>
      <c r="B86" s="14">
        <v>45741</v>
      </c>
      <c r="C86" s="14">
        <v>45764</v>
      </c>
      <c r="D86" s="16">
        <f t="shared" si="13"/>
        <v>23</v>
      </c>
      <c r="E86" s="4" t="s">
        <v>649</v>
      </c>
      <c r="F86" s="4" t="s">
        <v>658</v>
      </c>
      <c r="G86" s="4" t="s">
        <v>683</v>
      </c>
      <c r="H86" s="4" t="s">
        <v>704</v>
      </c>
      <c r="I86" s="4" t="s">
        <v>707</v>
      </c>
      <c r="J86" s="4" t="s">
        <v>722</v>
      </c>
      <c r="K86" s="4" t="s">
        <v>729</v>
      </c>
      <c r="L86" s="4" t="s">
        <v>818</v>
      </c>
      <c r="M86" s="9">
        <v>13</v>
      </c>
      <c r="N86" s="16">
        <f>ROUND(IF('Dashboard Visualization'!$U$3="",'Working Data'!$M86,'Working Data'!$M86*(100% +'Dashboard Visualization'!$U$3)),0)</f>
        <v>13</v>
      </c>
      <c r="O86" s="19">
        <v>1421.19</v>
      </c>
      <c r="P86" s="20">
        <f>IF('Dashboard Visualization'!$U$2="",'Working Data'!$O86*'Working Data'!$N86,'Working Data'!$O86*'Working Data'!$N86*(100%+'Dashboard Visualization'!$U$2))</f>
        <v>18475.47</v>
      </c>
      <c r="Q86" s="19">
        <v>1808.26</v>
      </c>
      <c r="R86" s="20">
        <f t="shared" si="14"/>
        <v>1620.2009600000001</v>
      </c>
      <c r="S86" s="11">
        <v>0.104</v>
      </c>
      <c r="T86" s="22">
        <f>IF('Dashboard Visualization'!$U$1="",$S86,IF(S86&gt;'Dashboard Visualization'!$U$1,'Dashboard Visualization'!$U$1,S86))</f>
        <v>0.104</v>
      </c>
      <c r="U86" s="20">
        <f t="shared" si="15"/>
        <v>18872.100782080004</v>
      </c>
      <c r="V86" s="20">
        <f t="shared" si="16"/>
        <v>396.63078208000297</v>
      </c>
      <c r="W86" s="22">
        <f t="shared" si="12"/>
        <v>2.1016779565771689E-2</v>
      </c>
      <c r="X86" s="28" t="str">
        <f>TEXT(B86,"MMM-YYYY")</f>
        <v>Mar-2025</v>
      </c>
      <c r="Y86" s="7" t="str">
        <f t="shared" si="17"/>
        <v>Q1-2025</v>
      </c>
      <c r="Z86" s="7" t="str">
        <f t="shared" si="18"/>
        <v>High Price</v>
      </c>
      <c r="AA86" s="7" t="str">
        <f t="shared" si="19"/>
        <v>Q1</v>
      </c>
      <c r="AB86" s="28" t="str">
        <f t="shared" si="20"/>
        <v>Mar</v>
      </c>
      <c r="AC86" s="28" t="str">
        <f t="shared" si="21"/>
        <v>2025</v>
      </c>
    </row>
    <row r="87" spans="1:29" x14ac:dyDescent="0.25">
      <c r="A87" s="4" t="s">
        <v>100</v>
      </c>
      <c r="B87" s="14">
        <v>45282</v>
      </c>
      <c r="C87" s="14">
        <v>45283</v>
      </c>
      <c r="D87" s="16">
        <f t="shared" si="13"/>
        <v>1</v>
      </c>
      <c r="E87" s="4" t="s">
        <v>646</v>
      </c>
      <c r="F87" s="4" t="s">
        <v>661</v>
      </c>
      <c r="G87" s="4" t="s">
        <v>695</v>
      </c>
      <c r="H87" s="4" t="s">
        <v>703</v>
      </c>
      <c r="I87" s="4" t="s">
        <v>709</v>
      </c>
      <c r="J87" s="4" t="s">
        <v>726</v>
      </c>
      <c r="K87" s="4" t="s">
        <v>727</v>
      </c>
      <c r="L87" s="4" t="s">
        <v>819</v>
      </c>
      <c r="M87" s="9">
        <v>11</v>
      </c>
      <c r="N87" s="16">
        <f>ROUND(IF('Dashboard Visualization'!$U$3="",'Working Data'!$M87,'Working Data'!$M87*(100% +'Dashboard Visualization'!$U$3)),0)</f>
        <v>11</v>
      </c>
      <c r="O87" s="19">
        <v>1186.18</v>
      </c>
      <c r="P87" s="20">
        <f>IF('Dashboard Visualization'!$U$2="",'Working Data'!$O87*'Working Data'!$N87,'Working Data'!$O87*'Working Data'!$N87*(100%+'Dashboard Visualization'!$U$2))</f>
        <v>13047.980000000001</v>
      </c>
      <c r="Q87" s="19">
        <v>1285.0899999999999</v>
      </c>
      <c r="R87" s="20">
        <f t="shared" si="14"/>
        <v>1195.1336999999999</v>
      </c>
      <c r="S87" s="11">
        <v>7.0000000000000007E-2</v>
      </c>
      <c r="T87" s="22">
        <f>IF('Dashboard Visualization'!$U$1="",$S87,IF(S87&gt;'Dashboard Visualization'!$U$1,'Dashboard Visualization'!$U$1,S87))</f>
        <v>7.0000000000000007E-2</v>
      </c>
      <c r="U87" s="20">
        <f t="shared" si="15"/>
        <v>12226.217750999998</v>
      </c>
      <c r="V87" s="20">
        <f t="shared" si="16"/>
        <v>-821.76224900000307</v>
      </c>
      <c r="W87" s="22">
        <f t="shared" si="12"/>
        <v>0</v>
      </c>
      <c r="X87" s="28" t="str">
        <f>TEXT(B87,"MMM-YYYY")</f>
        <v>Dec-2023</v>
      </c>
      <c r="Y87" s="7" t="str">
        <f t="shared" si="17"/>
        <v>Q4-2023</v>
      </c>
      <c r="Z87" s="7" t="str">
        <f t="shared" si="18"/>
        <v>High Price</v>
      </c>
      <c r="AA87" s="7" t="str">
        <f t="shared" si="19"/>
        <v>Q4</v>
      </c>
      <c r="AB87" s="28" t="str">
        <f t="shared" si="20"/>
        <v>Dec</v>
      </c>
      <c r="AC87" s="28" t="str">
        <f t="shared" si="21"/>
        <v>2023</v>
      </c>
    </row>
    <row r="88" spans="1:29" x14ac:dyDescent="0.25">
      <c r="A88" s="4" t="s">
        <v>101</v>
      </c>
      <c r="B88" s="14">
        <v>45388</v>
      </c>
      <c r="C88" s="14">
        <v>45407</v>
      </c>
      <c r="D88" s="16">
        <f t="shared" si="13"/>
        <v>19</v>
      </c>
      <c r="E88" s="4" t="s">
        <v>647</v>
      </c>
      <c r="F88" s="4" t="s">
        <v>659</v>
      </c>
      <c r="G88" s="4" t="s">
        <v>685</v>
      </c>
      <c r="H88" s="4" t="s">
        <v>701</v>
      </c>
      <c r="I88" s="4" t="s">
        <v>707</v>
      </c>
      <c r="J88" s="4" t="s">
        <v>723</v>
      </c>
      <c r="K88" s="4" t="s">
        <v>727</v>
      </c>
      <c r="L88" s="4" t="s">
        <v>820</v>
      </c>
      <c r="M88" s="9">
        <v>10</v>
      </c>
      <c r="N88" s="16">
        <f>ROUND(IF('Dashboard Visualization'!$U$3="",'Working Data'!$M88,'Working Data'!$M88*(100% +'Dashboard Visualization'!$U$3)),0)</f>
        <v>10</v>
      </c>
      <c r="O88" s="19">
        <v>1366.48</v>
      </c>
      <c r="P88" s="20">
        <f>IF('Dashboard Visualization'!$U$2="",'Working Data'!$O88*'Working Data'!$N88,'Working Data'!$O88*'Working Data'!$N88*(100%+'Dashboard Visualization'!$U$2))</f>
        <v>13664.8</v>
      </c>
      <c r="Q88" s="19">
        <v>1678.14</v>
      </c>
      <c r="R88" s="20">
        <f t="shared" si="14"/>
        <v>1419.7064399999999</v>
      </c>
      <c r="S88" s="11">
        <v>0.154</v>
      </c>
      <c r="T88" s="22">
        <f>IF('Dashboard Visualization'!$U$1="",$S88,IF(S88&gt;'Dashboard Visualization'!$U$1,'Dashboard Visualization'!$U$1,S88))</f>
        <v>0.154</v>
      </c>
      <c r="U88" s="20">
        <f t="shared" si="15"/>
        <v>12010.716482399999</v>
      </c>
      <c r="V88" s="20">
        <f t="shared" si="16"/>
        <v>-1654.0835176000001</v>
      </c>
      <c r="W88" s="22">
        <f t="shared" si="12"/>
        <v>0</v>
      </c>
      <c r="X88" s="28" t="str">
        <f>TEXT(B88,"MMM-YYYY")</f>
        <v>Apr-2024</v>
      </c>
      <c r="Y88" s="7" t="str">
        <f t="shared" si="17"/>
        <v>Q2-2024</v>
      </c>
      <c r="Z88" s="7" t="str">
        <f t="shared" si="18"/>
        <v>High Price</v>
      </c>
      <c r="AA88" s="7" t="str">
        <f t="shared" si="19"/>
        <v>Q2</v>
      </c>
      <c r="AB88" s="28" t="str">
        <f t="shared" si="20"/>
        <v>Apr</v>
      </c>
      <c r="AC88" s="28" t="str">
        <f t="shared" si="21"/>
        <v>2024</v>
      </c>
    </row>
    <row r="89" spans="1:29" x14ac:dyDescent="0.25">
      <c r="A89" s="4" t="s">
        <v>102</v>
      </c>
      <c r="B89" s="14">
        <v>45876</v>
      </c>
      <c r="C89" s="14">
        <v>45888</v>
      </c>
      <c r="D89" s="16">
        <f t="shared" si="13"/>
        <v>12</v>
      </c>
      <c r="E89" s="4" t="s">
        <v>646</v>
      </c>
      <c r="F89" s="4" t="s">
        <v>650</v>
      </c>
      <c r="G89" s="4" t="s">
        <v>678</v>
      </c>
      <c r="H89" s="4" t="s">
        <v>701</v>
      </c>
      <c r="I89" s="12" t="s">
        <v>1430</v>
      </c>
      <c r="J89" s="4" t="s">
        <v>724</v>
      </c>
      <c r="K89" s="4" t="s">
        <v>727</v>
      </c>
      <c r="L89" s="4" t="s">
        <v>821</v>
      </c>
      <c r="M89" s="9">
        <v>3</v>
      </c>
      <c r="N89" s="16">
        <f>ROUND(IF('Dashboard Visualization'!$U$3="",'Working Data'!$M89,'Working Data'!$M89*(100% +'Dashboard Visualization'!$U$3)),0)</f>
        <v>3</v>
      </c>
      <c r="O89" s="19">
        <v>601.51</v>
      </c>
      <c r="P89" s="20">
        <f>IF('Dashboard Visualization'!$U$2="",'Working Data'!$O89*'Working Data'!$N89,'Working Data'!$O89*'Working Data'!$N89*(100%+'Dashboard Visualization'!$U$2))</f>
        <v>1804.53</v>
      </c>
      <c r="Q89" s="19">
        <v>679.35</v>
      </c>
      <c r="R89" s="20">
        <f t="shared" si="14"/>
        <v>551.63220000000001</v>
      </c>
      <c r="S89" s="11">
        <v>0.188</v>
      </c>
      <c r="T89" s="22">
        <f>IF('Dashboard Visualization'!$U$1="",$S89,IF(S89&gt;'Dashboard Visualization'!$U$1,'Dashboard Visualization'!$U$1,S89))</f>
        <v>0.188</v>
      </c>
      <c r="U89" s="20">
        <f t="shared" si="15"/>
        <v>1343.7760392</v>
      </c>
      <c r="V89" s="20">
        <f t="shared" si="16"/>
        <v>-460.75396079999996</v>
      </c>
      <c r="W89" s="22">
        <f t="shared" si="12"/>
        <v>0</v>
      </c>
      <c r="X89" s="28" t="str">
        <f>TEXT(B89,"MMM-YYYY")</f>
        <v>Aug-2025</v>
      </c>
      <c r="Y89" s="7" t="str">
        <f t="shared" si="17"/>
        <v>Q3-2025</v>
      </c>
      <c r="Z89" s="7" t="str">
        <f t="shared" si="18"/>
        <v>High Price</v>
      </c>
      <c r="AA89" s="7" t="str">
        <f t="shared" si="19"/>
        <v>Q3</v>
      </c>
      <c r="AB89" s="28" t="str">
        <f t="shared" si="20"/>
        <v>Aug</v>
      </c>
      <c r="AC89" s="28" t="str">
        <f t="shared" si="21"/>
        <v>2025</v>
      </c>
    </row>
    <row r="90" spans="1:29" x14ac:dyDescent="0.25">
      <c r="A90" s="4" t="s">
        <v>103</v>
      </c>
      <c r="B90" s="14">
        <v>45312</v>
      </c>
      <c r="C90" s="14">
        <v>45316</v>
      </c>
      <c r="D90" s="16">
        <f t="shared" si="13"/>
        <v>4</v>
      </c>
      <c r="E90" s="4" t="s">
        <v>647</v>
      </c>
      <c r="F90" s="4" t="s">
        <v>654</v>
      </c>
      <c r="G90" s="4" t="s">
        <v>680</v>
      </c>
      <c r="H90" s="4" t="s">
        <v>704</v>
      </c>
      <c r="I90" s="4" t="s">
        <v>711</v>
      </c>
      <c r="J90" s="4" t="s">
        <v>712</v>
      </c>
      <c r="K90" s="4" t="s">
        <v>732</v>
      </c>
      <c r="L90" s="4" t="s">
        <v>822</v>
      </c>
      <c r="M90" s="9">
        <v>11</v>
      </c>
      <c r="N90" s="16">
        <f>ROUND(IF('Dashboard Visualization'!$U$3="",'Working Data'!$M90,'Working Data'!$M90*(100% +'Dashboard Visualization'!$U$3)),0)</f>
        <v>11</v>
      </c>
      <c r="O90" s="19">
        <v>523.70000000000005</v>
      </c>
      <c r="P90" s="20">
        <f>IF('Dashboard Visualization'!$U$2="",'Working Data'!$O90*'Working Data'!$N90,'Working Data'!$O90*'Working Data'!$N90*(100%+'Dashboard Visualization'!$U$2))</f>
        <v>5760.7000000000007</v>
      </c>
      <c r="Q90" s="19">
        <v>1109.92</v>
      </c>
      <c r="R90" s="20">
        <f t="shared" si="14"/>
        <v>1076.6224</v>
      </c>
      <c r="S90" s="11">
        <v>0.03</v>
      </c>
      <c r="T90" s="22">
        <f>IF('Dashboard Visualization'!$U$1="",$S90,IF(S90&gt;'Dashboard Visualization'!$U$1,'Dashboard Visualization'!$U$1,S90))</f>
        <v>0.03</v>
      </c>
      <c r="U90" s="20">
        <f t="shared" si="15"/>
        <v>11487.561007999999</v>
      </c>
      <c r="V90" s="20">
        <f t="shared" si="16"/>
        <v>5726.861007999998</v>
      </c>
      <c r="W90" s="22">
        <f t="shared" si="12"/>
        <v>0.49852714636394807</v>
      </c>
      <c r="X90" s="28" t="str">
        <f>TEXT(B90,"MMM-YYYY")</f>
        <v>Jan-2024</v>
      </c>
      <c r="Y90" s="7" t="str">
        <f t="shared" si="17"/>
        <v>Q1-2024</v>
      </c>
      <c r="Z90" s="7" t="str">
        <f t="shared" si="18"/>
        <v>High Price</v>
      </c>
      <c r="AA90" s="7" t="str">
        <f t="shared" si="19"/>
        <v>Q1</v>
      </c>
      <c r="AB90" s="28" t="str">
        <f t="shared" si="20"/>
        <v>Jan</v>
      </c>
      <c r="AC90" s="28" t="str">
        <f t="shared" si="21"/>
        <v>2024</v>
      </c>
    </row>
    <row r="91" spans="1:29" x14ac:dyDescent="0.25">
      <c r="A91" s="4" t="s">
        <v>104</v>
      </c>
      <c r="B91" s="14">
        <v>45106</v>
      </c>
      <c r="C91" s="14">
        <v>45109</v>
      </c>
      <c r="D91" s="16">
        <f t="shared" si="13"/>
        <v>3</v>
      </c>
      <c r="E91" s="4" t="s">
        <v>647</v>
      </c>
      <c r="F91" s="4" t="s">
        <v>652</v>
      </c>
      <c r="G91" s="4" t="s">
        <v>694</v>
      </c>
      <c r="H91" s="4" t="s">
        <v>702</v>
      </c>
      <c r="I91" s="4" t="s">
        <v>709</v>
      </c>
      <c r="J91" s="4" t="s">
        <v>721</v>
      </c>
      <c r="K91" s="4" t="s">
        <v>732</v>
      </c>
      <c r="L91" s="4" t="s">
        <v>823</v>
      </c>
      <c r="M91" s="9">
        <v>8</v>
      </c>
      <c r="N91" s="16">
        <f>ROUND(IF('Dashboard Visualization'!$U$3="",'Working Data'!$M91,'Working Data'!$M91*(100% +'Dashboard Visualization'!$U$3)),0)</f>
        <v>8</v>
      </c>
      <c r="O91" s="19">
        <v>55.65</v>
      </c>
      <c r="P91" s="20">
        <f>IF('Dashboard Visualization'!$U$2="",'Working Data'!$O91*'Working Data'!$N91,'Working Data'!$O91*'Working Data'!$N91*(100%+'Dashboard Visualization'!$U$2))</f>
        <v>445.2</v>
      </c>
      <c r="Q91" s="19">
        <v>83.57</v>
      </c>
      <c r="R91" s="20">
        <f t="shared" si="14"/>
        <v>78.054379999999995</v>
      </c>
      <c r="S91" s="11">
        <v>6.6000000000000003E-2</v>
      </c>
      <c r="T91" s="22">
        <f>IF('Dashboard Visualization'!$U$1="",$S91,IF(S91&gt;'Dashboard Visualization'!$U$1,'Dashboard Visualization'!$U$1,S91))</f>
        <v>6.6000000000000003E-2</v>
      </c>
      <c r="U91" s="20">
        <f t="shared" si="15"/>
        <v>583.22232735999989</v>
      </c>
      <c r="V91" s="20">
        <f t="shared" si="16"/>
        <v>138.02232735999991</v>
      </c>
      <c r="W91" s="22">
        <f t="shared" si="12"/>
        <v>0.2366547384850104</v>
      </c>
      <c r="X91" s="28" t="str">
        <f>TEXT(B91,"MMM-YYYY")</f>
        <v>Jun-2023</v>
      </c>
      <c r="Y91" s="7" t="str">
        <f t="shared" si="17"/>
        <v>Q2-2023</v>
      </c>
      <c r="Z91" s="7" t="str">
        <f t="shared" si="18"/>
        <v>Low Price</v>
      </c>
      <c r="AA91" s="7" t="str">
        <f t="shared" si="19"/>
        <v>Q2</v>
      </c>
      <c r="AB91" s="28" t="str">
        <f t="shared" si="20"/>
        <v>Jun</v>
      </c>
      <c r="AC91" s="28" t="str">
        <f t="shared" si="21"/>
        <v>2023</v>
      </c>
    </row>
    <row r="92" spans="1:29" x14ac:dyDescent="0.25">
      <c r="A92" s="4" t="s">
        <v>105</v>
      </c>
      <c r="B92" s="14">
        <v>45775</v>
      </c>
      <c r="C92" s="14">
        <v>45792</v>
      </c>
      <c r="D92" s="16">
        <f t="shared" si="13"/>
        <v>17</v>
      </c>
      <c r="E92" s="4" t="s">
        <v>647</v>
      </c>
      <c r="F92" s="4" t="s">
        <v>652</v>
      </c>
      <c r="G92" s="4" t="s">
        <v>694</v>
      </c>
      <c r="H92" s="4" t="s">
        <v>702</v>
      </c>
      <c r="I92" s="4" t="s">
        <v>711</v>
      </c>
      <c r="J92" s="4" t="s">
        <v>725</v>
      </c>
      <c r="K92" s="4" t="s">
        <v>729</v>
      </c>
      <c r="L92" s="4" t="s">
        <v>824</v>
      </c>
      <c r="M92" s="9">
        <v>7</v>
      </c>
      <c r="N92" s="16">
        <f>ROUND(IF('Dashboard Visualization'!$U$3="",'Working Data'!$M92,'Working Data'!$M92*(100% +'Dashboard Visualization'!$U$3)),0)</f>
        <v>7</v>
      </c>
      <c r="O92" s="19">
        <v>691.19</v>
      </c>
      <c r="P92" s="20">
        <f>IF('Dashboard Visualization'!$U$2="",'Working Data'!$O92*'Working Data'!$N92,'Working Data'!$O92*'Working Data'!$N92*(100%+'Dashboard Visualization'!$U$2))</f>
        <v>4838.33</v>
      </c>
      <c r="Q92" s="19">
        <v>1284.3</v>
      </c>
      <c r="R92" s="20">
        <f t="shared" si="14"/>
        <v>1189.2618</v>
      </c>
      <c r="S92" s="11">
        <v>7.3999999999999996E-2</v>
      </c>
      <c r="T92" s="22">
        <f>IF('Dashboard Visualization'!$U$1="",$S92,IF(S92&gt;'Dashboard Visualization'!$U$1,'Dashboard Visualization'!$U$1,S92))</f>
        <v>7.3999999999999996E-2</v>
      </c>
      <c r="U92" s="20">
        <f t="shared" si="15"/>
        <v>7708.7949876000002</v>
      </c>
      <c r="V92" s="20">
        <f t="shared" si="16"/>
        <v>2870.4649876000003</v>
      </c>
      <c r="W92" s="22">
        <f t="shared" si="12"/>
        <v>0.37236234615361979</v>
      </c>
      <c r="X92" s="28" t="str">
        <f>TEXT(B92,"MMM-YYYY")</f>
        <v>Apr-2025</v>
      </c>
      <c r="Y92" s="7" t="str">
        <f t="shared" si="17"/>
        <v>Q2-2025</v>
      </c>
      <c r="Z92" s="7" t="str">
        <f t="shared" si="18"/>
        <v>High Price</v>
      </c>
      <c r="AA92" s="7" t="str">
        <f t="shared" si="19"/>
        <v>Q2</v>
      </c>
      <c r="AB92" s="28" t="str">
        <f t="shared" si="20"/>
        <v>Apr</v>
      </c>
      <c r="AC92" s="28" t="str">
        <f t="shared" si="21"/>
        <v>2025</v>
      </c>
    </row>
    <row r="93" spans="1:29" x14ac:dyDescent="0.25">
      <c r="A93" s="4" t="s">
        <v>106</v>
      </c>
      <c r="B93" s="14">
        <v>45817</v>
      </c>
      <c r="C93" s="14">
        <v>45833</v>
      </c>
      <c r="D93" s="16">
        <f t="shared" si="13"/>
        <v>16</v>
      </c>
      <c r="E93" s="4" t="s">
        <v>647</v>
      </c>
      <c r="F93" s="4" t="s">
        <v>654</v>
      </c>
      <c r="G93" s="4" t="s">
        <v>696</v>
      </c>
      <c r="H93" s="4" t="s">
        <v>706</v>
      </c>
      <c r="I93" s="4" t="s">
        <v>710</v>
      </c>
      <c r="J93" s="4" t="s">
        <v>724</v>
      </c>
      <c r="K93" s="4" t="s">
        <v>730</v>
      </c>
      <c r="L93" s="4" t="s">
        <v>825</v>
      </c>
      <c r="M93" s="9">
        <v>25</v>
      </c>
      <c r="N93" s="16">
        <f>ROUND(IF('Dashboard Visualization'!$U$3="",'Working Data'!$M93,'Working Data'!$M93*(100% +'Dashboard Visualization'!$U$3)),0)</f>
        <v>25</v>
      </c>
      <c r="O93" s="19">
        <v>527.33000000000004</v>
      </c>
      <c r="P93" s="20">
        <f>IF('Dashboard Visualization'!$U$2="",'Working Data'!$O93*'Working Data'!$N93,'Working Data'!$O93*'Working Data'!$N93*(100%+'Dashboard Visualization'!$U$2))</f>
        <v>13183.250000000002</v>
      </c>
      <c r="Q93" s="19">
        <v>911.72</v>
      </c>
      <c r="R93" s="20">
        <f t="shared" si="14"/>
        <v>780.43232</v>
      </c>
      <c r="S93" s="11">
        <v>0.14399999999999999</v>
      </c>
      <c r="T93" s="22">
        <f>IF('Dashboard Visualization'!$U$1="",$S93,IF(S93&gt;'Dashboard Visualization'!$U$1,'Dashboard Visualization'!$U$1,S93))</f>
        <v>0.14399999999999999</v>
      </c>
      <c r="U93" s="20">
        <f t="shared" si="15"/>
        <v>16701.251647999998</v>
      </c>
      <c r="V93" s="20">
        <f t="shared" si="16"/>
        <v>3518.0016479999958</v>
      </c>
      <c r="W93" s="22">
        <f t="shared" si="12"/>
        <v>0.2106429938394038</v>
      </c>
      <c r="X93" s="28" t="str">
        <f>TEXT(B93,"MMM-YYYY")</f>
        <v>Jun-2025</v>
      </c>
      <c r="Y93" s="7" t="str">
        <f t="shared" si="17"/>
        <v>Q2-2025</v>
      </c>
      <c r="Z93" s="7" t="str">
        <f t="shared" si="18"/>
        <v>High Price</v>
      </c>
      <c r="AA93" s="7" t="str">
        <f t="shared" si="19"/>
        <v>Q2</v>
      </c>
      <c r="AB93" s="28" t="str">
        <f t="shared" si="20"/>
        <v>Jun</v>
      </c>
      <c r="AC93" s="28" t="str">
        <f t="shared" si="21"/>
        <v>2025</v>
      </c>
    </row>
    <row r="94" spans="1:29" x14ac:dyDescent="0.25">
      <c r="A94" s="4" t="s">
        <v>107</v>
      </c>
      <c r="B94" s="14">
        <v>45101</v>
      </c>
      <c r="C94" s="14">
        <v>45100</v>
      </c>
      <c r="D94" s="16" t="str">
        <f t="shared" si="13"/>
        <v/>
      </c>
      <c r="E94" s="4" t="s">
        <v>648</v>
      </c>
      <c r="F94" s="4" t="s">
        <v>655</v>
      </c>
      <c r="G94" s="4" t="s">
        <v>692</v>
      </c>
      <c r="H94" s="4" t="s">
        <v>703</v>
      </c>
      <c r="I94" s="4" t="s">
        <v>707</v>
      </c>
      <c r="J94" s="4" t="s">
        <v>718</v>
      </c>
      <c r="K94" s="4" t="s">
        <v>728</v>
      </c>
      <c r="L94" s="4" t="s">
        <v>826</v>
      </c>
      <c r="M94" s="9">
        <v>8</v>
      </c>
      <c r="N94" s="16">
        <f>ROUND(IF('Dashboard Visualization'!$U$3="",'Working Data'!$M94,'Working Data'!$M94*(100% +'Dashboard Visualization'!$U$3)),0)</f>
        <v>8</v>
      </c>
      <c r="O94" s="19">
        <v>804.01</v>
      </c>
      <c r="P94" s="20">
        <f>IF('Dashboard Visualization'!$U$2="",'Working Data'!$O94*'Working Data'!$N94,'Working Data'!$O94*'Working Data'!$N94*(100%+'Dashboard Visualization'!$U$2))</f>
        <v>6432.08</v>
      </c>
      <c r="Q94" s="19">
        <v>1405.07</v>
      </c>
      <c r="R94" s="20">
        <f t="shared" si="14"/>
        <v>1270.18328</v>
      </c>
      <c r="S94" s="11">
        <v>9.6000000000000002E-2</v>
      </c>
      <c r="T94" s="22">
        <f>IF('Dashboard Visualization'!$U$1="",$S94,IF(S94&gt;'Dashboard Visualization'!$U$1,'Dashboard Visualization'!$U$1,S94))</f>
        <v>9.6000000000000002E-2</v>
      </c>
      <c r="U94" s="20">
        <f t="shared" si="15"/>
        <v>9185.9654809599997</v>
      </c>
      <c r="V94" s="20">
        <f t="shared" si="16"/>
        <v>2753.8854809599998</v>
      </c>
      <c r="W94" s="22">
        <f t="shared" si="12"/>
        <v>0.299792709505392</v>
      </c>
      <c r="X94" s="28" t="str">
        <f>TEXT(B94,"MMM-YYYY")</f>
        <v>Jun-2023</v>
      </c>
      <c r="Y94" s="7" t="str">
        <f t="shared" si="17"/>
        <v>Q2-2023</v>
      </c>
      <c r="Z94" s="7" t="str">
        <f t="shared" si="18"/>
        <v>High Price</v>
      </c>
      <c r="AA94" s="7" t="str">
        <f t="shared" si="19"/>
        <v>Q2</v>
      </c>
      <c r="AB94" s="28" t="str">
        <f t="shared" si="20"/>
        <v>Jun</v>
      </c>
      <c r="AC94" s="28" t="str">
        <f t="shared" si="21"/>
        <v>2023</v>
      </c>
    </row>
    <row r="95" spans="1:29" x14ac:dyDescent="0.25">
      <c r="A95" s="4" t="s">
        <v>108</v>
      </c>
      <c r="B95" s="14">
        <v>45569</v>
      </c>
      <c r="C95" s="14">
        <v>45598</v>
      </c>
      <c r="D95" s="16">
        <f t="shared" si="13"/>
        <v>29</v>
      </c>
      <c r="E95" s="4" t="s">
        <v>646</v>
      </c>
      <c r="F95" s="4" t="s">
        <v>651</v>
      </c>
      <c r="G95" s="4" t="s">
        <v>669</v>
      </c>
      <c r="H95" s="4" t="s">
        <v>701</v>
      </c>
      <c r="I95" s="4" t="s">
        <v>710</v>
      </c>
      <c r="J95" s="4" t="s">
        <v>721</v>
      </c>
      <c r="K95" s="4" t="s">
        <v>733</v>
      </c>
      <c r="L95" s="4" t="s">
        <v>827</v>
      </c>
      <c r="M95" s="9">
        <v>23</v>
      </c>
      <c r="N95" s="16">
        <f>ROUND(IF('Dashboard Visualization'!$U$3="",'Working Data'!$M95,'Working Data'!$M95*(100% +'Dashboard Visualization'!$U$3)),0)</f>
        <v>23</v>
      </c>
      <c r="O95" s="19">
        <v>412.09</v>
      </c>
      <c r="P95" s="20">
        <f>IF('Dashboard Visualization'!$U$2="",'Working Data'!$O95*'Working Data'!$N95,'Working Data'!$O95*'Working Data'!$N95*(100%+'Dashboard Visualization'!$U$2))</f>
        <v>9478.07</v>
      </c>
      <c r="Q95" s="19">
        <v>968.94</v>
      </c>
      <c r="R95" s="20">
        <f t="shared" si="14"/>
        <v>873.01494000000002</v>
      </c>
      <c r="S95" s="11">
        <v>9.9000000000000005E-2</v>
      </c>
      <c r="T95" s="22">
        <f>IF('Dashboard Visualization'!$U$1="",$S95,IF(S95&gt;'Dashboard Visualization'!$U$1,'Dashboard Visualization'!$U$1,S95))</f>
        <v>9.9000000000000005E-2</v>
      </c>
      <c r="U95" s="20">
        <f t="shared" si="15"/>
        <v>18091.48860162</v>
      </c>
      <c r="V95" s="20">
        <f t="shared" si="16"/>
        <v>8613.4186016200001</v>
      </c>
      <c r="W95" s="22">
        <f t="shared" si="12"/>
        <v>0.47610336502927197</v>
      </c>
      <c r="X95" s="28" t="str">
        <f>TEXT(B95,"MMM-YYYY")</f>
        <v>Oct-2024</v>
      </c>
      <c r="Y95" s="7" t="str">
        <f t="shared" si="17"/>
        <v>Q4-2024</v>
      </c>
      <c r="Z95" s="7" t="str">
        <f t="shared" si="18"/>
        <v>High Price</v>
      </c>
      <c r="AA95" s="7" t="str">
        <f t="shared" si="19"/>
        <v>Q4</v>
      </c>
      <c r="AB95" s="28" t="str">
        <f t="shared" si="20"/>
        <v>Oct</v>
      </c>
      <c r="AC95" s="28" t="str">
        <f t="shared" si="21"/>
        <v>2024</v>
      </c>
    </row>
    <row r="96" spans="1:29" x14ac:dyDescent="0.25">
      <c r="A96" s="4" t="s">
        <v>109</v>
      </c>
      <c r="B96" s="14">
        <v>45910</v>
      </c>
      <c r="C96" s="14">
        <v>45930</v>
      </c>
      <c r="D96" s="16">
        <f t="shared" si="13"/>
        <v>20</v>
      </c>
      <c r="E96" s="4" t="s">
        <v>646</v>
      </c>
      <c r="F96" s="4" t="s">
        <v>650</v>
      </c>
      <c r="G96" s="4" t="s">
        <v>675</v>
      </c>
      <c r="H96" s="4" t="s">
        <v>701</v>
      </c>
      <c r="I96" s="4" t="s">
        <v>711</v>
      </c>
      <c r="J96" s="4" t="s">
        <v>716</v>
      </c>
      <c r="K96" s="4" t="s">
        <v>730</v>
      </c>
      <c r="L96" s="4" t="s">
        <v>828</v>
      </c>
      <c r="M96" s="9">
        <v>6</v>
      </c>
      <c r="N96" s="16">
        <f>ROUND(IF('Dashboard Visualization'!$U$3="",'Working Data'!$M96,'Working Data'!$M96*(100% +'Dashboard Visualization'!$U$3)),0)</f>
        <v>6</v>
      </c>
      <c r="O96" s="19">
        <v>1009.48</v>
      </c>
      <c r="P96" s="20">
        <f>IF('Dashboard Visualization'!$U$2="",'Working Data'!$O96*'Working Data'!$N96,'Working Data'!$O96*'Working Data'!$N96*(100%+'Dashboard Visualization'!$U$2))</f>
        <v>6056.88</v>
      </c>
      <c r="Q96" s="19">
        <v>1088.81</v>
      </c>
      <c r="R96" s="20">
        <f t="shared" si="14"/>
        <v>914.60039999999992</v>
      </c>
      <c r="S96" s="11">
        <v>0.16</v>
      </c>
      <c r="T96" s="22">
        <f>IF('Dashboard Visualization'!$U$1="",$S96,IF(S96&gt;'Dashboard Visualization'!$U$1,'Dashboard Visualization'!$U$1,S96))</f>
        <v>0.16</v>
      </c>
      <c r="U96" s="20">
        <f t="shared" si="15"/>
        <v>4609.5860159999993</v>
      </c>
      <c r="V96" s="20">
        <f t="shared" si="16"/>
        <v>-1447.2939840000008</v>
      </c>
      <c r="W96" s="22">
        <f t="shared" si="12"/>
        <v>0</v>
      </c>
      <c r="X96" s="28" t="str">
        <f>TEXT(B96,"MMM-YYYY")</f>
        <v>Sep-2025</v>
      </c>
      <c r="Y96" s="7" t="str">
        <f t="shared" si="17"/>
        <v>Q3-2025</v>
      </c>
      <c r="Z96" s="7" t="str">
        <f t="shared" si="18"/>
        <v>High Price</v>
      </c>
      <c r="AA96" s="7" t="str">
        <f t="shared" si="19"/>
        <v>Q3</v>
      </c>
      <c r="AB96" s="28" t="str">
        <f t="shared" si="20"/>
        <v>Sep</v>
      </c>
      <c r="AC96" s="28" t="str">
        <f t="shared" si="21"/>
        <v>2025</v>
      </c>
    </row>
    <row r="97" spans="1:29" x14ac:dyDescent="0.25">
      <c r="A97" s="4" t="s">
        <v>110</v>
      </c>
      <c r="B97" s="14">
        <v>45022</v>
      </c>
      <c r="C97" s="14">
        <v>45043</v>
      </c>
      <c r="D97" s="16">
        <f t="shared" si="13"/>
        <v>21</v>
      </c>
      <c r="E97" s="4" t="s">
        <v>649</v>
      </c>
      <c r="F97" s="4" t="s">
        <v>658</v>
      </c>
      <c r="G97" s="4" t="s">
        <v>693</v>
      </c>
      <c r="H97" s="4" t="s">
        <v>706</v>
      </c>
      <c r="I97" s="4" t="s">
        <v>710</v>
      </c>
      <c r="J97" s="4" t="s">
        <v>714</v>
      </c>
      <c r="K97" s="4" t="s">
        <v>728</v>
      </c>
      <c r="L97" s="4" t="s">
        <v>829</v>
      </c>
      <c r="M97" s="9">
        <v>18</v>
      </c>
      <c r="N97" s="16">
        <f>ROUND(IF('Dashboard Visualization'!$U$3="",'Working Data'!$M97,'Working Data'!$M97*(100% +'Dashboard Visualization'!$U$3)),0)</f>
        <v>18</v>
      </c>
      <c r="O97" s="19">
        <v>1084.79</v>
      </c>
      <c r="P97" s="20">
        <f>IF('Dashboard Visualization'!$U$2="",'Working Data'!$O97*'Working Data'!$N97,'Working Data'!$O97*'Working Data'!$N97*(100%+'Dashboard Visualization'!$U$2))</f>
        <v>19526.22</v>
      </c>
      <c r="Q97" s="19">
        <v>2484.9899999999998</v>
      </c>
      <c r="R97" s="20">
        <f t="shared" si="14"/>
        <v>2400.5003399999996</v>
      </c>
      <c r="S97" s="11">
        <v>3.4000000000000002E-2</v>
      </c>
      <c r="T97" s="22">
        <f>IF('Dashboard Visualization'!$U$1="",$S97,IF(S97&gt;'Dashboard Visualization'!$U$1,'Dashboard Visualization'!$U$1,S97))</f>
        <v>3.4000000000000002E-2</v>
      </c>
      <c r="U97" s="20">
        <f t="shared" si="15"/>
        <v>41739.899911919987</v>
      </c>
      <c r="V97" s="20">
        <f t="shared" si="16"/>
        <v>22213.679911919986</v>
      </c>
      <c r="W97" s="22">
        <f t="shared" si="12"/>
        <v>0.53219293670553947</v>
      </c>
      <c r="X97" s="28" t="str">
        <f>TEXT(B97,"MMM-YYYY")</f>
        <v>Apr-2023</v>
      </c>
      <c r="Y97" s="7" t="str">
        <f t="shared" si="17"/>
        <v>Q2-2023</v>
      </c>
      <c r="Z97" s="7" t="str">
        <f t="shared" si="18"/>
        <v>Medium Price</v>
      </c>
      <c r="AA97" s="7" t="str">
        <f t="shared" si="19"/>
        <v>Q2</v>
      </c>
      <c r="AB97" s="28" t="str">
        <f t="shared" si="20"/>
        <v>Apr</v>
      </c>
      <c r="AC97" s="28" t="str">
        <f t="shared" si="21"/>
        <v>2023</v>
      </c>
    </row>
    <row r="98" spans="1:29" x14ac:dyDescent="0.25">
      <c r="A98" s="4" t="s">
        <v>111</v>
      </c>
      <c r="B98" s="14">
        <v>45870</v>
      </c>
      <c r="C98" s="14">
        <v>45885</v>
      </c>
      <c r="D98" s="16">
        <f t="shared" si="13"/>
        <v>15</v>
      </c>
      <c r="E98" s="4" t="s">
        <v>647</v>
      </c>
      <c r="F98" s="4" t="s">
        <v>654</v>
      </c>
      <c r="G98" s="12" t="s">
        <v>1430</v>
      </c>
      <c r="H98" s="4" t="s">
        <v>706</v>
      </c>
      <c r="I98" s="4" t="s">
        <v>711</v>
      </c>
      <c r="J98" s="4" t="s">
        <v>719</v>
      </c>
      <c r="K98" s="4" t="s">
        <v>732</v>
      </c>
      <c r="L98" s="4" t="s">
        <v>830</v>
      </c>
      <c r="M98" s="9">
        <v>6</v>
      </c>
      <c r="N98" s="16">
        <f>ROUND(IF('Dashboard Visualization'!$U$3="",'Working Data'!$M98,'Working Data'!$M98*(100% +'Dashboard Visualization'!$U$3)),0)</f>
        <v>6</v>
      </c>
      <c r="O98" s="19">
        <v>24.44</v>
      </c>
      <c r="P98" s="20">
        <f>IF('Dashboard Visualization'!$U$2="",'Working Data'!$O98*'Working Data'!$N98,'Working Data'!$O98*'Working Data'!$N98*(100%+'Dashboard Visualization'!$U$2))</f>
        <v>146.64000000000001</v>
      </c>
      <c r="Q98" s="19">
        <v>28.69</v>
      </c>
      <c r="R98" s="20">
        <f t="shared" si="14"/>
        <v>24.501260000000002</v>
      </c>
      <c r="S98" s="11">
        <v>0.14599999999999999</v>
      </c>
      <c r="T98" s="22">
        <f>IF('Dashboard Visualization'!$U$1="",$S98,IF(S98&gt;'Dashboard Visualization'!$U$1,'Dashboard Visualization'!$U$1,S98))</f>
        <v>0.14599999999999999</v>
      </c>
      <c r="U98" s="20">
        <f t="shared" si="15"/>
        <v>125.54445624000002</v>
      </c>
      <c r="V98" s="20">
        <f t="shared" si="16"/>
        <v>-21.095543759999998</v>
      </c>
      <c r="W98" s="22">
        <f t="shared" si="12"/>
        <v>0</v>
      </c>
      <c r="X98" s="28" t="str">
        <f>TEXT(B98,"MMM-YYYY")</f>
        <v>Aug-2025</v>
      </c>
      <c r="Y98" s="7" t="str">
        <f t="shared" si="17"/>
        <v>Q3-2025</v>
      </c>
      <c r="Z98" s="7" t="str">
        <f t="shared" si="18"/>
        <v>Low Price</v>
      </c>
      <c r="AA98" s="7" t="str">
        <f t="shared" si="19"/>
        <v>Q3</v>
      </c>
      <c r="AB98" s="28" t="str">
        <f t="shared" si="20"/>
        <v>Aug</v>
      </c>
      <c r="AC98" s="28" t="str">
        <f t="shared" si="21"/>
        <v>2025</v>
      </c>
    </row>
    <row r="99" spans="1:29" x14ac:dyDescent="0.25">
      <c r="A99" s="4" t="s">
        <v>112</v>
      </c>
      <c r="B99" s="14">
        <v>45440</v>
      </c>
      <c r="C99" s="14">
        <v>45438</v>
      </c>
      <c r="D99" s="16" t="str">
        <f t="shared" si="13"/>
        <v/>
      </c>
      <c r="E99" s="4" t="s">
        <v>646</v>
      </c>
      <c r="F99" s="4" t="s">
        <v>651</v>
      </c>
      <c r="G99" s="4" t="s">
        <v>669</v>
      </c>
      <c r="H99" s="4" t="s">
        <v>706</v>
      </c>
      <c r="I99" s="4" t="s">
        <v>708</v>
      </c>
      <c r="J99" s="4" t="s">
        <v>721</v>
      </c>
      <c r="K99" s="4" t="s">
        <v>733</v>
      </c>
      <c r="L99" s="4" t="s">
        <v>831</v>
      </c>
      <c r="M99" s="9">
        <v>18</v>
      </c>
      <c r="N99" s="16">
        <f>ROUND(IF('Dashboard Visualization'!$U$3="",'Working Data'!$M99,'Working Data'!$M99*(100% +'Dashboard Visualization'!$U$3)),0)</f>
        <v>18</v>
      </c>
      <c r="O99" s="19">
        <v>1227.08</v>
      </c>
      <c r="P99" s="20">
        <f>IF('Dashboard Visualization'!$U$2="",'Working Data'!$O99*'Working Data'!$N99,'Working Data'!$O99*'Working Data'!$N99*(100%+'Dashboard Visualization'!$U$2))</f>
        <v>22087.439999999999</v>
      </c>
      <c r="Q99" s="19">
        <v>1896.62</v>
      </c>
      <c r="R99" s="20">
        <f t="shared" si="14"/>
        <v>1896.62</v>
      </c>
      <c r="S99" s="11">
        <v>0</v>
      </c>
      <c r="T99" s="22">
        <f>IF('Dashboard Visualization'!$U$1="",$S99,IF(S99&gt;'Dashboard Visualization'!$U$1,'Dashboard Visualization'!$U$1,S99))</f>
        <v>0</v>
      </c>
      <c r="U99" s="20">
        <f t="shared" si="15"/>
        <v>34139.159999999996</v>
      </c>
      <c r="V99" s="20">
        <f t="shared" si="16"/>
        <v>12051.719999999998</v>
      </c>
      <c r="W99" s="22">
        <f t="shared" si="12"/>
        <v>0.353017473189147</v>
      </c>
      <c r="X99" s="28" t="str">
        <f>TEXT(B99,"MMM-YYYY")</f>
        <v>May-2024</v>
      </c>
      <c r="Y99" s="7" t="str">
        <f t="shared" si="17"/>
        <v>Q2-2024</v>
      </c>
      <c r="Z99" s="7" t="str">
        <f t="shared" si="18"/>
        <v>Medium Price</v>
      </c>
      <c r="AA99" s="7" t="str">
        <f t="shared" si="19"/>
        <v>Q2</v>
      </c>
      <c r="AB99" s="28" t="str">
        <f t="shared" si="20"/>
        <v>May</v>
      </c>
      <c r="AC99" s="28" t="str">
        <f t="shared" si="21"/>
        <v>2024</v>
      </c>
    </row>
    <row r="100" spans="1:29" x14ac:dyDescent="0.25">
      <c r="A100" s="4" t="s">
        <v>113</v>
      </c>
      <c r="B100" s="14">
        <v>45860</v>
      </c>
      <c r="C100" s="14">
        <v>45887</v>
      </c>
      <c r="D100" s="16">
        <f t="shared" si="13"/>
        <v>27</v>
      </c>
      <c r="E100" s="4" t="s">
        <v>647</v>
      </c>
      <c r="F100" s="4" t="s">
        <v>659</v>
      </c>
      <c r="G100" s="4" t="s">
        <v>676</v>
      </c>
      <c r="H100" s="4" t="s">
        <v>703</v>
      </c>
      <c r="I100" s="4" t="s">
        <v>709</v>
      </c>
      <c r="J100" s="4" t="s">
        <v>724</v>
      </c>
      <c r="K100" s="4" t="s">
        <v>729</v>
      </c>
      <c r="L100" s="4" t="s">
        <v>832</v>
      </c>
      <c r="M100" s="9">
        <v>14</v>
      </c>
      <c r="N100" s="16">
        <f>ROUND(IF('Dashboard Visualization'!$U$3="",'Working Data'!$M100,'Working Data'!$M100*(100% +'Dashboard Visualization'!$U$3)),0)</f>
        <v>14</v>
      </c>
      <c r="O100" s="19">
        <v>547.32000000000005</v>
      </c>
      <c r="P100" s="20">
        <f>IF('Dashboard Visualization'!$U$2="",'Working Data'!$O100*'Working Data'!$N100,'Working Data'!$O100*'Working Data'!$N100*(100%+'Dashboard Visualization'!$U$2))</f>
        <v>7662.4800000000005</v>
      </c>
      <c r="Q100" s="19">
        <v>419.17</v>
      </c>
      <c r="R100" s="20">
        <f t="shared" si="14"/>
        <v>380.60636000000005</v>
      </c>
      <c r="S100" s="11">
        <v>9.1999999999999998E-2</v>
      </c>
      <c r="T100" s="22">
        <f>IF('Dashboard Visualization'!$U$1="",$S100,IF(S100&gt;'Dashboard Visualization'!$U$1,'Dashboard Visualization'!$U$1,S100))</f>
        <v>9.1999999999999998E-2</v>
      </c>
      <c r="U100" s="20">
        <f t="shared" si="15"/>
        <v>4838.2680483200011</v>
      </c>
      <c r="V100" s="20">
        <f t="shared" si="16"/>
        <v>-2824.2119516799994</v>
      </c>
      <c r="W100" s="22">
        <f t="shared" si="12"/>
        <v>0</v>
      </c>
      <c r="X100" s="28" t="str">
        <f>TEXT(B100,"MMM-YYYY")</f>
        <v>Jul-2025</v>
      </c>
      <c r="Y100" s="7" t="str">
        <f t="shared" si="17"/>
        <v>Q3-2025</v>
      </c>
      <c r="Z100" s="7" t="str">
        <f t="shared" si="18"/>
        <v>Low Price</v>
      </c>
      <c r="AA100" s="7" t="str">
        <f t="shared" si="19"/>
        <v>Q3</v>
      </c>
      <c r="AB100" s="28" t="str">
        <f t="shared" si="20"/>
        <v>Jul</v>
      </c>
      <c r="AC100" s="28" t="str">
        <f t="shared" si="21"/>
        <v>2025</v>
      </c>
    </row>
    <row r="101" spans="1:29" x14ac:dyDescent="0.25">
      <c r="A101" s="4" t="s">
        <v>114</v>
      </c>
      <c r="B101" s="14">
        <v>44985</v>
      </c>
      <c r="C101" s="14">
        <v>45005</v>
      </c>
      <c r="D101" s="16">
        <f t="shared" si="13"/>
        <v>20</v>
      </c>
      <c r="E101" s="4" t="s">
        <v>649</v>
      </c>
      <c r="F101" s="4" t="s">
        <v>656</v>
      </c>
      <c r="G101" s="4" t="s">
        <v>671</v>
      </c>
      <c r="H101" s="4" t="s">
        <v>705</v>
      </c>
      <c r="I101" s="4" t="s">
        <v>711</v>
      </c>
      <c r="J101" s="4" t="s">
        <v>722</v>
      </c>
      <c r="K101" s="4" t="s">
        <v>731</v>
      </c>
      <c r="L101" s="4" t="s">
        <v>833</v>
      </c>
      <c r="M101" s="9">
        <v>18</v>
      </c>
      <c r="N101" s="16">
        <f>ROUND(IF('Dashboard Visualization'!$U$3="",'Working Data'!$M101,'Working Data'!$M101*(100% +'Dashboard Visualization'!$U$3)),0)</f>
        <v>18</v>
      </c>
      <c r="O101" s="19">
        <v>1200.78</v>
      </c>
      <c r="P101" s="20">
        <f>IF('Dashboard Visualization'!$U$2="",'Working Data'!$O101*'Working Data'!$N101,'Working Data'!$O101*'Working Data'!$N101*(100%+'Dashboard Visualization'!$U$2))</f>
        <v>21614.04</v>
      </c>
      <c r="Q101" s="19">
        <v>2001.17</v>
      </c>
      <c r="R101" s="20">
        <f t="shared" si="14"/>
        <v>1416.82836</v>
      </c>
      <c r="S101" s="11">
        <v>0.29199999999999998</v>
      </c>
      <c r="T101" s="22">
        <f>IF('Dashboard Visualization'!$U$1="",$S101,IF(S101&gt;'Dashboard Visualization'!$U$1,'Dashboard Visualization'!$U$1,S101))</f>
        <v>0.29199999999999998</v>
      </c>
      <c r="U101" s="20">
        <f t="shared" si="15"/>
        <v>18056.060619839998</v>
      </c>
      <c r="V101" s="20">
        <f t="shared" si="16"/>
        <v>-3557.9793801600026</v>
      </c>
      <c r="W101" s="22">
        <f t="shared" si="12"/>
        <v>0</v>
      </c>
      <c r="X101" s="28" t="str">
        <f>TEXT(B101,"MMM-YYYY")</f>
        <v>Feb-2023</v>
      </c>
      <c r="Y101" s="7" t="str">
        <f t="shared" si="17"/>
        <v>Q1-2023</v>
      </c>
      <c r="Z101" s="7" t="str">
        <f t="shared" si="18"/>
        <v>High Price</v>
      </c>
      <c r="AA101" s="7" t="str">
        <f t="shared" si="19"/>
        <v>Q1</v>
      </c>
      <c r="AB101" s="28" t="str">
        <f t="shared" si="20"/>
        <v>Feb</v>
      </c>
      <c r="AC101" s="28" t="str">
        <f t="shared" si="21"/>
        <v>2023</v>
      </c>
    </row>
    <row r="102" spans="1:29" x14ac:dyDescent="0.25">
      <c r="A102" s="4" t="s">
        <v>115</v>
      </c>
      <c r="B102" s="14">
        <v>45684</v>
      </c>
      <c r="C102" s="14">
        <v>45703</v>
      </c>
      <c r="D102" s="16">
        <f t="shared" si="13"/>
        <v>19</v>
      </c>
      <c r="E102" s="4" t="s">
        <v>647</v>
      </c>
      <c r="F102" s="4" t="s">
        <v>659</v>
      </c>
      <c r="G102" s="4" t="s">
        <v>676</v>
      </c>
      <c r="H102" s="4" t="s">
        <v>703</v>
      </c>
      <c r="I102" s="4" t="s">
        <v>711</v>
      </c>
      <c r="J102" s="4" t="s">
        <v>716</v>
      </c>
      <c r="K102" s="4" t="s">
        <v>730</v>
      </c>
      <c r="L102" s="4" t="s">
        <v>834</v>
      </c>
      <c r="M102" s="9">
        <v>17</v>
      </c>
      <c r="N102" s="16">
        <f>ROUND(IF('Dashboard Visualization'!$U$3="",'Working Data'!$M102,'Working Data'!$M102*(100% +'Dashboard Visualization'!$U$3)),0)</f>
        <v>17</v>
      </c>
      <c r="O102" s="19">
        <v>1253.22</v>
      </c>
      <c r="P102" s="20">
        <f>IF('Dashboard Visualization'!$U$2="",'Working Data'!$O102*'Working Data'!$N102,'Working Data'!$O102*'Working Data'!$N102*(100%+'Dashboard Visualization'!$U$2))</f>
        <v>21304.74</v>
      </c>
      <c r="Q102" s="19">
        <v>3104.71</v>
      </c>
      <c r="R102" s="20">
        <f t="shared" si="14"/>
        <v>3104.71</v>
      </c>
      <c r="S102" s="11">
        <v>0</v>
      </c>
      <c r="T102" s="22">
        <f>IF('Dashboard Visualization'!$U$1="",$S102,IF(S102&gt;'Dashboard Visualization'!$U$1,'Dashboard Visualization'!$U$1,S102))</f>
        <v>0</v>
      </c>
      <c r="U102" s="20">
        <f t="shared" si="15"/>
        <v>52780.07</v>
      </c>
      <c r="V102" s="20">
        <f t="shared" si="16"/>
        <v>31475.329999999998</v>
      </c>
      <c r="W102" s="22">
        <f t="shared" si="12"/>
        <v>0.59634877331538205</v>
      </c>
      <c r="X102" s="28" t="str">
        <f>TEXT(B102,"MMM-YYYY")</f>
        <v>Jan-2025</v>
      </c>
      <c r="Y102" s="7" t="str">
        <f t="shared" si="17"/>
        <v>Q1-2025</v>
      </c>
      <c r="Z102" s="7" t="str">
        <f t="shared" si="18"/>
        <v>Medium Price</v>
      </c>
      <c r="AA102" s="7" t="str">
        <f t="shared" si="19"/>
        <v>Q1</v>
      </c>
      <c r="AB102" s="28" t="str">
        <f t="shared" si="20"/>
        <v>Jan</v>
      </c>
      <c r="AC102" s="28" t="str">
        <f t="shared" si="21"/>
        <v>2025</v>
      </c>
    </row>
    <row r="103" spans="1:29" x14ac:dyDescent="0.25">
      <c r="A103" s="4" t="s">
        <v>116</v>
      </c>
      <c r="B103" s="14">
        <v>45304</v>
      </c>
      <c r="C103" s="14">
        <v>45313</v>
      </c>
      <c r="D103" s="16">
        <f t="shared" si="13"/>
        <v>9</v>
      </c>
      <c r="E103" s="4" t="s">
        <v>647</v>
      </c>
      <c r="F103" s="4" t="s">
        <v>654</v>
      </c>
      <c r="G103" s="4" t="s">
        <v>691</v>
      </c>
      <c r="H103" s="4" t="s">
        <v>706</v>
      </c>
      <c r="I103" s="4" t="s">
        <v>709</v>
      </c>
      <c r="J103" s="4" t="s">
        <v>713</v>
      </c>
      <c r="K103" s="4" t="s">
        <v>727</v>
      </c>
      <c r="L103" s="4" t="s">
        <v>835</v>
      </c>
      <c r="M103" s="9">
        <v>22</v>
      </c>
      <c r="N103" s="16">
        <f>ROUND(IF('Dashboard Visualization'!$U$3="",'Working Data'!$M103,'Working Data'!$M103*(100% +'Dashboard Visualization'!$U$3)),0)</f>
        <v>22</v>
      </c>
      <c r="O103" s="19">
        <v>313.60000000000002</v>
      </c>
      <c r="P103" s="20">
        <f>IF('Dashboard Visualization'!$U$2="",'Working Data'!$O103*'Working Data'!$N103,'Working Data'!$O103*'Working Data'!$N103*(100%+'Dashboard Visualization'!$U$2))</f>
        <v>6899.2000000000007</v>
      </c>
      <c r="Q103" s="19">
        <v>334.28</v>
      </c>
      <c r="R103" s="20">
        <f t="shared" si="14"/>
        <v>287.48079999999999</v>
      </c>
      <c r="S103" s="11">
        <v>0.14000000000000001</v>
      </c>
      <c r="T103" s="22">
        <f>IF('Dashboard Visualization'!$U$1="",$S103,IF(S103&gt;'Dashboard Visualization'!$U$1,'Dashboard Visualization'!$U$1,S103))</f>
        <v>0.14000000000000001</v>
      </c>
      <c r="U103" s="20">
        <f t="shared" si="15"/>
        <v>5439.1367359999995</v>
      </c>
      <c r="V103" s="20">
        <f t="shared" si="16"/>
        <v>-1460.0632640000013</v>
      </c>
      <c r="W103" s="22">
        <f t="shared" si="12"/>
        <v>0</v>
      </c>
      <c r="X103" s="28" t="str">
        <f>TEXT(B103,"MMM-YYYY")</f>
        <v>Jan-2024</v>
      </c>
      <c r="Y103" s="7" t="str">
        <f t="shared" si="17"/>
        <v>Q1-2024</v>
      </c>
      <c r="Z103" s="7" t="str">
        <f t="shared" si="18"/>
        <v>Low Price</v>
      </c>
      <c r="AA103" s="7" t="str">
        <f t="shared" si="19"/>
        <v>Q1</v>
      </c>
      <c r="AB103" s="28" t="str">
        <f t="shared" si="20"/>
        <v>Jan</v>
      </c>
      <c r="AC103" s="28" t="str">
        <f t="shared" si="21"/>
        <v>2024</v>
      </c>
    </row>
    <row r="104" spans="1:29" x14ac:dyDescent="0.25">
      <c r="A104" s="4" t="s">
        <v>117</v>
      </c>
      <c r="B104" s="14">
        <v>45747</v>
      </c>
      <c r="C104" s="14">
        <v>45751</v>
      </c>
      <c r="D104" s="16">
        <f t="shared" si="13"/>
        <v>4</v>
      </c>
      <c r="E104" s="4" t="s">
        <v>646</v>
      </c>
      <c r="F104" s="4" t="s">
        <v>650</v>
      </c>
      <c r="G104" s="4" t="s">
        <v>678</v>
      </c>
      <c r="H104" s="4" t="s">
        <v>701</v>
      </c>
      <c r="I104" s="4" t="s">
        <v>711</v>
      </c>
      <c r="J104" s="4" t="s">
        <v>712</v>
      </c>
      <c r="K104" s="4" t="s">
        <v>731</v>
      </c>
      <c r="L104" s="4" t="s">
        <v>836</v>
      </c>
      <c r="M104" s="9">
        <v>7</v>
      </c>
      <c r="N104" s="16">
        <f>ROUND(IF('Dashboard Visualization'!$U$3="",'Working Data'!$M104,'Working Data'!$M104*(100% +'Dashboard Visualization'!$U$3)),0)</f>
        <v>7</v>
      </c>
      <c r="O104" s="19">
        <v>862.08</v>
      </c>
      <c r="P104" s="20">
        <f>IF('Dashboard Visualization'!$U$2="",'Working Data'!$O104*'Working Data'!$N104,'Working Data'!$O104*'Working Data'!$N104*(100%+'Dashboard Visualization'!$U$2))</f>
        <v>6034.56</v>
      </c>
      <c r="Q104" s="19">
        <v>1952.83</v>
      </c>
      <c r="R104" s="20">
        <f t="shared" si="14"/>
        <v>1952.83</v>
      </c>
      <c r="S104" s="11">
        <v>0</v>
      </c>
      <c r="T104" s="22">
        <f>IF('Dashboard Visualization'!$U$1="",$S104,IF(S104&gt;'Dashboard Visualization'!$U$1,'Dashboard Visualization'!$U$1,S104))</f>
        <v>0</v>
      </c>
      <c r="U104" s="20">
        <f t="shared" si="15"/>
        <v>13669.81</v>
      </c>
      <c r="V104" s="20">
        <f t="shared" si="16"/>
        <v>7635.2499999999991</v>
      </c>
      <c r="W104" s="22">
        <f t="shared" si="12"/>
        <v>0.5585483631447693</v>
      </c>
      <c r="X104" s="28" t="str">
        <f>TEXT(B104,"MMM-YYYY")</f>
        <v>Mar-2025</v>
      </c>
      <c r="Y104" s="7" t="str">
        <f t="shared" si="17"/>
        <v>Q1-2025</v>
      </c>
      <c r="Z104" s="7" t="str">
        <f t="shared" si="18"/>
        <v>Medium Price</v>
      </c>
      <c r="AA104" s="7" t="str">
        <f t="shared" si="19"/>
        <v>Q1</v>
      </c>
      <c r="AB104" s="28" t="str">
        <f t="shared" si="20"/>
        <v>Mar</v>
      </c>
      <c r="AC104" s="28" t="str">
        <f t="shared" si="21"/>
        <v>2025</v>
      </c>
    </row>
    <row r="105" spans="1:29" x14ac:dyDescent="0.25">
      <c r="A105" s="4" t="s">
        <v>118</v>
      </c>
      <c r="B105" s="14">
        <v>45631</v>
      </c>
      <c r="C105" s="14">
        <v>45654</v>
      </c>
      <c r="D105" s="16">
        <f t="shared" si="13"/>
        <v>23</v>
      </c>
      <c r="E105" s="4" t="s">
        <v>648</v>
      </c>
      <c r="F105" s="4" t="s">
        <v>653</v>
      </c>
      <c r="G105" s="4" t="s">
        <v>688</v>
      </c>
      <c r="H105" s="4" t="s">
        <v>701</v>
      </c>
      <c r="I105" s="4" t="s">
        <v>711</v>
      </c>
      <c r="J105" s="4" t="s">
        <v>721</v>
      </c>
      <c r="K105" s="4" t="s">
        <v>733</v>
      </c>
      <c r="L105" s="4" t="s">
        <v>837</v>
      </c>
      <c r="M105" s="9">
        <v>30</v>
      </c>
      <c r="N105" s="16">
        <f>ROUND(IF('Dashboard Visualization'!$U$3="",'Working Data'!$M105,'Working Data'!$M105*(100% +'Dashboard Visualization'!$U$3)),0)</f>
        <v>30</v>
      </c>
      <c r="O105" s="19">
        <v>107.03</v>
      </c>
      <c r="P105" s="20">
        <f>IF('Dashboard Visualization'!$U$2="",'Working Data'!$O105*'Working Data'!$N105,'Working Data'!$O105*'Working Data'!$N105*(100%+'Dashboard Visualization'!$U$2))</f>
        <v>3210.9</v>
      </c>
      <c r="Q105" s="19">
        <v>242.29</v>
      </c>
      <c r="R105" s="20">
        <f t="shared" si="14"/>
        <v>198.67780000000002</v>
      </c>
      <c r="S105" s="11">
        <v>0.18</v>
      </c>
      <c r="T105" s="22">
        <f>IF('Dashboard Visualization'!$U$1="",$S105,IF(S105&gt;'Dashboard Visualization'!$U$1,'Dashboard Visualization'!$U$1,S105))</f>
        <v>0.18</v>
      </c>
      <c r="U105" s="20">
        <f t="shared" si="15"/>
        <v>4887.4738800000005</v>
      </c>
      <c r="V105" s="20">
        <f t="shared" si="16"/>
        <v>1676.5738800000004</v>
      </c>
      <c r="W105" s="22">
        <f t="shared" si="12"/>
        <v>0.34303485218830471</v>
      </c>
      <c r="X105" s="28" t="str">
        <f>TEXT(B105,"MMM-YYYY")</f>
        <v>Dec-2024</v>
      </c>
      <c r="Y105" s="7" t="str">
        <f t="shared" si="17"/>
        <v>Q4-2024</v>
      </c>
      <c r="Z105" s="7" t="str">
        <f t="shared" si="18"/>
        <v>Low Price</v>
      </c>
      <c r="AA105" s="7" t="str">
        <f t="shared" si="19"/>
        <v>Q4</v>
      </c>
      <c r="AB105" s="28" t="str">
        <f t="shared" si="20"/>
        <v>Dec</v>
      </c>
      <c r="AC105" s="28" t="str">
        <f t="shared" si="21"/>
        <v>2024</v>
      </c>
    </row>
    <row r="106" spans="1:29" x14ac:dyDescent="0.25">
      <c r="A106" s="4" t="s">
        <v>119</v>
      </c>
      <c r="B106" s="14">
        <v>45549</v>
      </c>
      <c r="C106" s="14">
        <v>45570</v>
      </c>
      <c r="D106" s="16">
        <f t="shared" si="13"/>
        <v>21</v>
      </c>
      <c r="E106" s="4" t="s">
        <v>647</v>
      </c>
      <c r="F106" s="4" t="s">
        <v>659</v>
      </c>
      <c r="G106" s="4" t="s">
        <v>685</v>
      </c>
      <c r="H106" s="4" t="s">
        <v>705</v>
      </c>
      <c r="I106" s="4" t="s">
        <v>708</v>
      </c>
      <c r="J106" s="4" t="s">
        <v>722</v>
      </c>
      <c r="K106" s="4" t="s">
        <v>731</v>
      </c>
      <c r="L106" s="4" t="s">
        <v>838</v>
      </c>
      <c r="M106" s="9">
        <v>5</v>
      </c>
      <c r="N106" s="16">
        <f>ROUND(IF('Dashboard Visualization'!$U$3="",'Working Data'!$M106,'Working Data'!$M106*(100% +'Dashboard Visualization'!$U$3)),0)</f>
        <v>5</v>
      </c>
      <c r="O106" s="19">
        <v>1405.56</v>
      </c>
      <c r="P106" s="20">
        <f>IF('Dashboard Visualization'!$U$2="",'Working Data'!$O106*'Working Data'!$N106,'Working Data'!$O106*'Working Data'!$N106*(100%+'Dashboard Visualization'!$U$2))</f>
        <v>7027.7999999999993</v>
      </c>
      <c r="Q106" s="19">
        <v>2968.87</v>
      </c>
      <c r="R106" s="20">
        <f t="shared" si="14"/>
        <v>2467.1309699999997</v>
      </c>
      <c r="S106" s="11">
        <v>0.16900000000000001</v>
      </c>
      <c r="T106" s="22">
        <f>IF('Dashboard Visualization'!$U$1="",$S106,IF(S106&gt;'Dashboard Visualization'!$U$1,'Dashboard Visualization'!$U$1,S106))</f>
        <v>0.16900000000000001</v>
      </c>
      <c r="U106" s="20">
        <f t="shared" si="15"/>
        <v>10250.929180349998</v>
      </c>
      <c r="V106" s="20">
        <f t="shared" si="16"/>
        <v>3223.1291803499989</v>
      </c>
      <c r="W106" s="22">
        <f t="shared" si="12"/>
        <v>0.31442312434744102</v>
      </c>
      <c r="X106" s="28" t="str">
        <f>TEXT(B106,"MMM-YYYY")</f>
        <v>Sep-2024</v>
      </c>
      <c r="Y106" s="7" t="str">
        <f t="shared" si="17"/>
        <v>Q3-2024</v>
      </c>
      <c r="Z106" s="7" t="str">
        <f t="shared" si="18"/>
        <v>Medium Price</v>
      </c>
      <c r="AA106" s="7" t="str">
        <f t="shared" si="19"/>
        <v>Q3</v>
      </c>
      <c r="AB106" s="28" t="str">
        <f t="shared" si="20"/>
        <v>Sep</v>
      </c>
      <c r="AC106" s="28" t="str">
        <f t="shared" si="21"/>
        <v>2024</v>
      </c>
    </row>
    <row r="107" spans="1:29" x14ac:dyDescent="0.25">
      <c r="A107" s="4" t="s">
        <v>120</v>
      </c>
      <c r="B107" s="14">
        <v>45433</v>
      </c>
      <c r="C107" s="14">
        <v>45439</v>
      </c>
      <c r="D107" s="16">
        <f t="shared" si="13"/>
        <v>6</v>
      </c>
      <c r="E107" s="4" t="s">
        <v>646</v>
      </c>
      <c r="F107" s="4" t="s">
        <v>661</v>
      </c>
      <c r="G107" s="4" t="s">
        <v>682</v>
      </c>
      <c r="H107" s="4" t="s">
        <v>703</v>
      </c>
      <c r="I107" s="4" t="s">
        <v>708</v>
      </c>
      <c r="J107" s="4" t="s">
        <v>724</v>
      </c>
      <c r="K107" s="4" t="s">
        <v>727</v>
      </c>
      <c r="L107" s="4" t="s">
        <v>839</v>
      </c>
      <c r="M107" s="9">
        <v>12</v>
      </c>
      <c r="N107" s="16">
        <f>ROUND(IF('Dashboard Visualization'!$U$3="",'Working Data'!$M107,'Working Data'!$M107*(100% +'Dashboard Visualization'!$U$3)),0)</f>
        <v>12</v>
      </c>
      <c r="O107" s="19">
        <v>1157.51</v>
      </c>
      <c r="P107" s="20">
        <f>IF('Dashboard Visualization'!$U$2="",'Working Data'!$O107*'Working Data'!$N107,'Working Data'!$O107*'Working Data'!$N107*(100%+'Dashboard Visualization'!$U$2))</f>
        <v>13890.119999999999</v>
      </c>
      <c r="Q107" s="19">
        <v>1394.3</v>
      </c>
      <c r="R107" s="20">
        <f t="shared" si="14"/>
        <v>1006.6845999999999</v>
      </c>
      <c r="S107" s="11">
        <v>0.27800000000000002</v>
      </c>
      <c r="T107" s="22">
        <f>IF('Dashboard Visualization'!$U$1="",$S107,IF(S107&gt;'Dashboard Visualization'!$U$1,'Dashboard Visualization'!$U$1,S107))</f>
        <v>0.27800000000000002</v>
      </c>
      <c r="U107" s="20">
        <f t="shared" si="15"/>
        <v>8721.9153743999996</v>
      </c>
      <c r="V107" s="20">
        <f t="shared" si="16"/>
        <v>-5168.2046255999994</v>
      </c>
      <c r="W107" s="22">
        <f t="shared" si="12"/>
        <v>0</v>
      </c>
      <c r="X107" s="28" t="str">
        <f>TEXT(B107,"MMM-YYYY")</f>
        <v>May-2024</v>
      </c>
      <c r="Y107" s="7" t="str">
        <f t="shared" si="17"/>
        <v>Q2-2024</v>
      </c>
      <c r="Z107" s="7" t="str">
        <f t="shared" si="18"/>
        <v>High Price</v>
      </c>
      <c r="AA107" s="7" t="str">
        <f t="shared" si="19"/>
        <v>Q2</v>
      </c>
      <c r="AB107" s="28" t="str">
        <f t="shared" si="20"/>
        <v>May</v>
      </c>
      <c r="AC107" s="28" t="str">
        <f t="shared" si="21"/>
        <v>2024</v>
      </c>
    </row>
    <row r="108" spans="1:29" x14ac:dyDescent="0.25">
      <c r="A108" s="4" t="s">
        <v>121</v>
      </c>
      <c r="B108" s="14">
        <v>45057</v>
      </c>
      <c r="C108" s="14">
        <v>45084</v>
      </c>
      <c r="D108" s="16">
        <f t="shared" si="13"/>
        <v>27</v>
      </c>
      <c r="E108" s="4" t="s">
        <v>646</v>
      </c>
      <c r="F108" s="4" t="s">
        <v>650</v>
      </c>
      <c r="G108" s="4" t="s">
        <v>675</v>
      </c>
      <c r="H108" s="4" t="s">
        <v>701</v>
      </c>
      <c r="I108" s="4" t="s">
        <v>708</v>
      </c>
      <c r="J108" s="4" t="s">
        <v>713</v>
      </c>
      <c r="K108" s="4" t="s">
        <v>730</v>
      </c>
      <c r="L108" s="4" t="s">
        <v>840</v>
      </c>
      <c r="M108" s="9">
        <v>39</v>
      </c>
      <c r="N108" s="16">
        <f>ROUND(IF('Dashboard Visualization'!$U$3="",'Working Data'!$M108,'Working Data'!$M108*(100% +'Dashboard Visualization'!$U$3)),0)</f>
        <v>39</v>
      </c>
      <c r="O108" s="19">
        <v>12.85</v>
      </c>
      <c r="P108" s="20">
        <f>IF('Dashboard Visualization'!$U$2="",'Working Data'!$O108*'Working Data'!$N108,'Working Data'!$O108*'Working Data'!$N108*(100%+'Dashboard Visualization'!$U$2))</f>
        <v>501.15</v>
      </c>
      <c r="Q108" s="19">
        <v>15.41</v>
      </c>
      <c r="R108" s="20">
        <f t="shared" si="14"/>
        <v>13.298830000000001</v>
      </c>
      <c r="S108" s="11">
        <v>0.13700000000000001</v>
      </c>
      <c r="T108" s="22">
        <f>IF('Dashboard Visualization'!$U$1="",$S108,IF(S108&gt;'Dashboard Visualization'!$U$1,'Dashboard Visualization'!$U$1,S108))</f>
        <v>0.13700000000000001</v>
      </c>
      <c r="U108" s="20">
        <f t="shared" si="15"/>
        <v>447.59872130999997</v>
      </c>
      <c r="V108" s="20">
        <f t="shared" si="16"/>
        <v>-53.551278690000004</v>
      </c>
      <c r="W108" s="22">
        <f t="shared" si="12"/>
        <v>0</v>
      </c>
      <c r="X108" s="28" t="str">
        <f>TEXT(B108,"MMM-YYYY")</f>
        <v>May-2023</v>
      </c>
      <c r="Y108" s="7" t="str">
        <f t="shared" si="17"/>
        <v>Q2-2023</v>
      </c>
      <c r="Z108" s="7" t="str">
        <f t="shared" si="18"/>
        <v>Low Price</v>
      </c>
      <c r="AA108" s="7" t="str">
        <f t="shared" si="19"/>
        <v>Q2</v>
      </c>
      <c r="AB108" s="28" t="str">
        <f t="shared" si="20"/>
        <v>May</v>
      </c>
      <c r="AC108" s="28" t="str">
        <f t="shared" si="21"/>
        <v>2023</v>
      </c>
    </row>
    <row r="109" spans="1:29" x14ac:dyDescent="0.25">
      <c r="A109" s="4" t="s">
        <v>122</v>
      </c>
      <c r="B109" s="14">
        <v>45518</v>
      </c>
      <c r="C109" s="14">
        <v>45539</v>
      </c>
      <c r="D109" s="16">
        <f t="shared" si="13"/>
        <v>21</v>
      </c>
      <c r="E109" s="4" t="s">
        <v>649</v>
      </c>
      <c r="F109" s="4" t="s">
        <v>658</v>
      </c>
      <c r="G109" s="4" t="s">
        <v>693</v>
      </c>
      <c r="H109" s="4" t="s">
        <v>703</v>
      </c>
      <c r="I109" s="4" t="s">
        <v>708</v>
      </c>
      <c r="J109" s="4" t="s">
        <v>713</v>
      </c>
      <c r="K109" s="4" t="s">
        <v>730</v>
      </c>
      <c r="L109" s="4" t="s">
        <v>841</v>
      </c>
      <c r="M109" s="9">
        <v>12</v>
      </c>
      <c r="N109" s="16">
        <f>ROUND(IF('Dashboard Visualization'!$U$3="",'Working Data'!$M109,'Working Data'!$M109*(100% +'Dashboard Visualization'!$U$3)),0)</f>
        <v>12</v>
      </c>
      <c r="O109" s="19">
        <v>1138.8</v>
      </c>
      <c r="P109" s="20">
        <f>IF('Dashboard Visualization'!$U$2="",'Working Data'!$O109*'Working Data'!$N109,'Working Data'!$O109*'Working Data'!$N109*(100%+'Dashboard Visualization'!$U$2))</f>
        <v>13665.599999999999</v>
      </c>
      <c r="Q109" s="19">
        <v>2250.81</v>
      </c>
      <c r="R109" s="20">
        <f t="shared" si="14"/>
        <v>1973.96037</v>
      </c>
      <c r="S109" s="11">
        <v>0.123</v>
      </c>
      <c r="T109" s="22">
        <f>IF('Dashboard Visualization'!$U$1="",$S109,IF(S109&gt;'Dashboard Visualization'!$U$1,'Dashboard Visualization'!$U$1,S109))</f>
        <v>0.123</v>
      </c>
      <c r="U109" s="20">
        <f t="shared" si="15"/>
        <v>20773.95893388</v>
      </c>
      <c r="V109" s="20">
        <f t="shared" si="16"/>
        <v>7108.3589338800011</v>
      </c>
      <c r="W109" s="22">
        <f t="shared" si="12"/>
        <v>0.34217642176460955</v>
      </c>
      <c r="X109" s="28" t="str">
        <f>TEXT(B109,"MMM-YYYY")</f>
        <v>Aug-2024</v>
      </c>
      <c r="Y109" s="7" t="str">
        <f t="shared" si="17"/>
        <v>Q3-2024</v>
      </c>
      <c r="Z109" s="7" t="str">
        <f t="shared" si="18"/>
        <v>Medium Price</v>
      </c>
      <c r="AA109" s="7" t="str">
        <f t="shared" si="19"/>
        <v>Q3</v>
      </c>
      <c r="AB109" s="28" t="str">
        <f t="shared" si="20"/>
        <v>Aug</v>
      </c>
      <c r="AC109" s="28" t="str">
        <f t="shared" si="21"/>
        <v>2024</v>
      </c>
    </row>
    <row r="110" spans="1:29" x14ac:dyDescent="0.25">
      <c r="A110" s="4" t="s">
        <v>123</v>
      </c>
      <c r="B110" s="14">
        <v>45581</v>
      </c>
      <c r="C110" s="14">
        <v>45604</v>
      </c>
      <c r="D110" s="16">
        <f t="shared" si="13"/>
        <v>23</v>
      </c>
      <c r="E110" s="4" t="s">
        <v>647</v>
      </c>
      <c r="F110" s="4" t="s">
        <v>652</v>
      </c>
      <c r="G110" s="4" t="s">
        <v>666</v>
      </c>
      <c r="H110" s="4" t="s">
        <v>705</v>
      </c>
      <c r="I110" s="4" t="s">
        <v>707</v>
      </c>
      <c r="J110" s="4" t="s">
        <v>713</v>
      </c>
      <c r="K110" s="4" t="s">
        <v>729</v>
      </c>
      <c r="L110" s="4" t="s">
        <v>842</v>
      </c>
      <c r="M110" s="9">
        <v>10</v>
      </c>
      <c r="N110" s="16">
        <f>ROUND(IF('Dashboard Visualization'!$U$3="",'Working Data'!$M110,'Working Data'!$M110*(100% +'Dashboard Visualization'!$U$3)),0)</f>
        <v>10</v>
      </c>
      <c r="O110" s="19">
        <v>82.14</v>
      </c>
      <c r="P110" s="20">
        <f>IF('Dashboard Visualization'!$U$2="",'Working Data'!$O110*'Working Data'!$N110,'Working Data'!$O110*'Working Data'!$N110*(100%+'Dashboard Visualization'!$U$2))</f>
        <v>821.4</v>
      </c>
      <c r="Q110" s="19">
        <v>166.04</v>
      </c>
      <c r="R110" s="20">
        <f t="shared" si="14"/>
        <v>166.04</v>
      </c>
      <c r="S110" s="11">
        <v>0</v>
      </c>
      <c r="T110" s="22">
        <f>IF('Dashboard Visualization'!$U$1="",$S110,IF(S110&gt;'Dashboard Visualization'!$U$1,'Dashboard Visualization'!$U$1,S110))</f>
        <v>0</v>
      </c>
      <c r="U110" s="20">
        <f t="shared" si="15"/>
        <v>1660.3999999999999</v>
      </c>
      <c r="V110" s="20">
        <f t="shared" si="16"/>
        <v>838.99999999999989</v>
      </c>
      <c r="W110" s="22">
        <f t="shared" si="12"/>
        <v>0.50529992772825827</v>
      </c>
      <c r="X110" s="28" t="str">
        <f>TEXT(B110,"MMM-YYYY")</f>
        <v>Oct-2024</v>
      </c>
      <c r="Y110" s="7" t="str">
        <f t="shared" si="17"/>
        <v>Q4-2024</v>
      </c>
      <c r="Z110" s="7" t="str">
        <f t="shared" si="18"/>
        <v>Low Price</v>
      </c>
      <c r="AA110" s="7" t="str">
        <f t="shared" si="19"/>
        <v>Q4</v>
      </c>
      <c r="AB110" s="28" t="str">
        <f t="shared" si="20"/>
        <v>Oct</v>
      </c>
      <c r="AC110" s="28" t="str">
        <f t="shared" si="21"/>
        <v>2024</v>
      </c>
    </row>
    <row r="111" spans="1:29" x14ac:dyDescent="0.25">
      <c r="A111" s="4" t="s">
        <v>124</v>
      </c>
      <c r="B111" s="14">
        <v>45445</v>
      </c>
      <c r="C111" s="14">
        <v>45451</v>
      </c>
      <c r="D111" s="16">
        <f t="shared" si="13"/>
        <v>6</v>
      </c>
      <c r="E111" s="4" t="s">
        <v>646</v>
      </c>
      <c r="F111" s="4" t="s">
        <v>650</v>
      </c>
      <c r="G111" s="4" t="s">
        <v>662</v>
      </c>
      <c r="H111" s="4" t="s">
        <v>704</v>
      </c>
      <c r="I111" s="4" t="s">
        <v>709</v>
      </c>
      <c r="J111" s="4" t="s">
        <v>720</v>
      </c>
      <c r="K111" s="4" t="s">
        <v>733</v>
      </c>
      <c r="L111" s="4" t="s">
        <v>843</v>
      </c>
      <c r="M111" s="9">
        <v>2</v>
      </c>
      <c r="N111" s="16">
        <f>ROUND(IF('Dashboard Visualization'!$U$3="",'Working Data'!$M111,'Working Data'!$M111*(100% +'Dashboard Visualization'!$U$3)),0)</f>
        <v>2</v>
      </c>
      <c r="O111" s="19">
        <v>292.94</v>
      </c>
      <c r="P111" s="20">
        <f>IF('Dashboard Visualization'!$U$2="",'Working Data'!$O111*'Working Data'!$N111,'Working Data'!$O111*'Working Data'!$N111*(100%+'Dashboard Visualization'!$U$2))</f>
        <v>585.88</v>
      </c>
      <c r="Q111" s="19">
        <v>356.55</v>
      </c>
      <c r="R111" s="20">
        <f t="shared" si="14"/>
        <v>274.90005000000002</v>
      </c>
      <c r="S111" s="11">
        <v>0.22900000000000001</v>
      </c>
      <c r="T111" s="22">
        <f>IF('Dashboard Visualization'!$U$1="",$S111,IF(S111&gt;'Dashboard Visualization'!$U$1,'Dashboard Visualization'!$U$1,S111))</f>
        <v>0.22900000000000001</v>
      </c>
      <c r="U111" s="20">
        <f t="shared" si="15"/>
        <v>423.89587710000006</v>
      </c>
      <c r="V111" s="20">
        <f t="shared" si="16"/>
        <v>-161.98412289999993</v>
      </c>
      <c r="W111" s="22">
        <f t="shared" si="12"/>
        <v>0</v>
      </c>
      <c r="X111" s="28" t="str">
        <f>TEXT(B111,"MMM-YYYY")</f>
        <v>Jun-2024</v>
      </c>
      <c r="Y111" s="7" t="str">
        <f t="shared" si="17"/>
        <v>Q2-2024</v>
      </c>
      <c r="Z111" s="7" t="str">
        <f t="shared" si="18"/>
        <v>Low Price</v>
      </c>
      <c r="AA111" s="7" t="str">
        <f t="shared" si="19"/>
        <v>Q2</v>
      </c>
      <c r="AB111" s="28" t="str">
        <f t="shared" si="20"/>
        <v>Jun</v>
      </c>
      <c r="AC111" s="28" t="str">
        <f t="shared" si="21"/>
        <v>2024</v>
      </c>
    </row>
    <row r="112" spans="1:29" x14ac:dyDescent="0.25">
      <c r="A112" s="4" t="s">
        <v>125</v>
      </c>
      <c r="B112" s="14">
        <v>45452</v>
      </c>
      <c r="C112" s="14">
        <v>45480</v>
      </c>
      <c r="D112" s="16">
        <f t="shared" si="13"/>
        <v>28</v>
      </c>
      <c r="E112" s="4" t="s">
        <v>647</v>
      </c>
      <c r="F112" s="4" t="s">
        <v>659</v>
      </c>
      <c r="G112" s="4" t="s">
        <v>676</v>
      </c>
      <c r="H112" s="4" t="s">
        <v>701</v>
      </c>
      <c r="I112" s="4" t="s">
        <v>708</v>
      </c>
      <c r="J112" s="4" t="s">
        <v>713</v>
      </c>
      <c r="K112" s="4" t="s">
        <v>727</v>
      </c>
      <c r="L112" s="4" t="s">
        <v>844</v>
      </c>
      <c r="M112" s="9">
        <v>27</v>
      </c>
      <c r="N112" s="16">
        <f>ROUND(IF('Dashboard Visualization'!$U$3="",'Working Data'!$M112,'Working Data'!$M112*(100% +'Dashboard Visualization'!$U$3)),0)</f>
        <v>27</v>
      </c>
      <c r="O112" s="19">
        <v>550.22</v>
      </c>
      <c r="P112" s="20">
        <f>IF('Dashboard Visualization'!$U$2="",'Working Data'!$O112*'Working Data'!$N112,'Working Data'!$O112*'Working Data'!$N112*(100%+'Dashboard Visualization'!$U$2))</f>
        <v>14855.94</v>
      </c>
      <c r="Q112" s="19">
        <v>1025.05</v>
      </c>
      <c r="R112" s="20">
        <f t="shared" si="14"/>
        <v>1025.05</v>
      </c>
      <c r="S112" s="11">
        <v>0</v>
      </c>
      <c r="T112" s="22">
        <f>IF('Dashboard Visualization'!$U$1="",$S112,IF(S112&gt;'Dashboard Visualization'!$U$1,'Dashboard Visualization'!$U$1,S112))</f>
        <v>0</v>
      </c>
      <c r="U112" s="20">
        <f t="shared" si="15"/>
        <v>27676.35</v>
      </c>
      <c r="V112" s="20">
        <f t="shared" si="16"/>
        <v>12820.409999999998</v>
      </c>
      <c r="W112" s="22">
        <f t="shared" si="12"/>
        <v>0.46322618408858102</v>
      </c>
      <c r="X112" s="28" t="str">
        <f>TEXT(B112,"MMM-YYYY")</f>
        <v>Jun-2024</v>
      </c>
      <c r="Y112" s="7" t="str">
        <f t="shared" si="17"/>
        <v>Q2-2024</v>
      </c>
      <c r="Z112" s="7" t="str">
        <f t="shared" si="18"/>
        <v>High Price</v>
      </c>
      <c r="AA112" s="7" t="str">
        <f t="shared" si="19"/>
        <v>Q2</v>
      </c>
      <c r="AB112" s="28" t="str">
        <f t="shared" si="20"/>
        <v>Jun</v>
      </c>
      <c r="AC112" s="28" t="str">
        <f t="shared" si="21"/>
        <v>2024</v>
      </c>
    </row>
    <row r="113" spans="1:29" x14ac:dyDescent="0.25">
      <c r="A113" s="4" t="s">
        <v>126</v>
      </c>
      <c r="B113" s="14">
        <v>45453</v>
      </c>
      <c r="C113" s="14">
        <v>45454</v>
      </c>
      <c r="D113" s="16">
        <f t="shared" si="13"/>
        <v>1</v>
      </c>
      <c r="E113" s="4" t="s">
        <v>649</v>
      </c>
      <c r="F113" s="4" t="s">
        <v>658</v>
      </c>
      <c r="G113" s="4" t="s">
        <v>674</v>
      </c>
      <c r="H113" s="4" t="s">
        <v>705</v>
      </c>
      <c r="I113" s="4" t="s">
        <v>709</v>
      </c>
      <c r="J113" s="4" t="s">
        <v>724</v>
      </c>
      <c r="K113" s="4" t="s">
        <v>731</v>
      </c>
      <c r="L113" s="4" t="s">
        <v>845</v>
      </c>
      <c r="M113" s="9">
        <v>17</v>
      </c>
      <c r="N113" s="16">
        <f>ROUND(IF('Dashboard Visualization'!$U$3="",'Working Data'!$M113,'Working Data'!$M113*(100% +'Dashboard Visualization'!$U$3)),0)</f>
        <v>17</v>
      </c>
      <c r="O113" s="19">
        <v>1187.1300000000001</v>
      </c>
      <c r="P113" s="20">
        <f>IF('Dashboard Visualization'!$U$2="",'Working Data'!$O113*'Working Data'!$N113,'Working Data'!$O113*'Working Data'!$N113*(100%+'Dashboard Visualization'!$U$2))</f>
        <v>20181.210000000003</v>
      </c>
      <c r="Q113" s="19">
        <v>1795.17</v>
      </c>
      <c r="R113" s="20">
        <f t="shared" si="14"/>
        <v>1773.62796</v>
      </c>
      <c r="S113" s="11">
        <v>1.2E-2</v>
      </c>
      <c r="T113" s="22">
        <f>IF('Dashboard Visualization'!$U$1="",$S113,IF(S113&gt;'Dashboard Visualization'!$U$1,'Dashboard Visualization'!$U$1,S113))</f>
        <v>1.2E-2</v>
      </c>
      <c r="U113" s="20">
        <f t="shared" si="15"/>
        <v>29789.855216160002</v>
      </c>
      <c r="V113" s="20">
        <f t="shared" si="16"/>
        <v>9608.6452161599991</v>
      </c>
      <c r="W113" s="22">
        <f t="shared" si="12"/>
        <v>0.32254756347213226</v>
      </c>
      <c r="X113" s="28" t="str">
        <f>TEXT(B113,"MMM-YYYY")</f>
        <v>Jun-2024</v>
      </c>
      <c r="Y113" s="7" t="str">
        <f t="shared" si="17"/>
        <v>Q2-2024</v>
      </c>
      <c r="Z113" s="7" t="str">
        <f t="shared" si="18"/>
        <v>Medium Price</v>
      </c>
      <c r="AA113" s="7" t="str">
        <f t="shared" si="19"/>
        <v>Q2</v>
      </c>
      <c r="AB113" s="28" t="str">
        <f t="shared" si="20"/>
        <v>Jun</v>
      </c>
      <c r="AC113" s="28" t="str">
        <f t="shared" si="21"/>
        <v>2024</v>
      </c>
    </row>
    <row r="114" spans="1:29" x14ac:dyDescent="0.25">
      <c r="A114" s="4" t="s">
        <v>127</v>
      </c>
      <c r="B114" s="14">
        <v>45472</v>
      </c>
      <c r="C114" s="14">
        <v>45499</v>
      </c>
      <c r="D114" s="16">
        <f t="shared" si="13"/>
        <v>27</v>
      </c>
      <c r="E114" s="4" t="s">
        <v>646</v>
      </c>
      <c r="F114" s="4" t="s">
        <v>661</v>
      </c>
      <c r="G114" s="4" t="s">
        <v>687</v>
      </c>
      <c r="H114" s="4" t="s">
        <v>706</v>
      </c>
      <c r="I114" s="4" t="s">
        <v>710</v>
      </c>
      <c r="J114" s="4" t="s">
        <v>717</v>
      </c>
      <c r="K114" s="4" t="s">
        <v>729</v>
      </c>
      <c r="L114" s="4" t="s">
        <v>846</v>
      </c>
      <c r="M114" s="9">
        <v>9</v>
      </c>
      <c r="N114" s="16">
        <f>ROUND(IF('Dashboard Visualization'!$U$3="",'Working Data'!$M114,'Working Data'!$M114*(100% +'Dashboard Visualization'!$U$3)),0)</f>
        <v>9</v>
      </c>
      <c r="O114" s="19">
        <v>5.36</v>
      </c>
      <c r="P114" s="20">
        <f>IF('Dashboard Visualization'!$U$2="",'Working Data'!$O114*'Working Data'!$N114,'Working Data'!$O114*'Working Data'!$N114*(100%+'Dashboard Visualization'!$U$2))</f>
        <v>48.24</v>
      </c>
      <c r="Q114" s="19">
        <v>4.37</v>
      </c>
      <c r="R114" s="20">
        <f t="shared" si="14"/>
        <v>3.8543400000000001</v>
      </c>
      <c r="S114" s="11">
        <v>0.11799999999999999</v>
      </c>
      <c r="T114" s="22">
        <f>IF('Dashboard Visualization'!$U$1="",$S114,IF(S114&gt;'Dashboard Visualization'!$U$1,'Dashboard Visualization'!$U$1,S114))</f>
        <v>0.11799999999999999</v>
      </c>
      <c r="U114" s="20">
        <f t="shared" si="15"/>
        <v>30.59575092</v>
      </c>
      <c r="V114" s="20">
        <f t="shared" si="16"/>
        <v>-17.644249080000002</v>
      </c>
      <c r="W114" s="22">
        <f t="shared" si="12"/>
        <v>0</v>
      </c>
      <c r="X114" s="28" t="str">
        <f>TEXT(B114,"MMM-YYYY")</f>
        <v>Jun-2024</v>
      </c>
      <c r="Y114" s="7" t="str">
        <f t="shared" si="17"/>
        <v>Q2-2024</v>
      </c>
      <c r="Z114" s="7" t="str">
        <f t="shared" si="18"/>
        <v>Low Price</v>
      </c>
      <c r="AA114" s="7" t="str">
        <f t="shared" si="19"/>
        <v>Q2</v>
      </c>
      <c r="AB114" s="28" t="str">
        <f t="shared" si="20"/>
        <v>Jun</v>
      </c>
      <c r="AC114" s="28" t="str">
        <f t="shared" si="21"/>
        <v>2024</v>
      </c>
    </row>
    <row r="115" spans="1:29" x14ac:dyDescent="0.25">
      <c r="A115" s="4" t="s">
        <v>128</v>
      </c>
      <c r="B115" s="14">
        <v>45674</v>
      </c>
      <c r="C115" s="14">
        <v>45681</v>
      </c>
      <c r="D115" s="16">
        <f t="shared" si="13"/>
        <v>7</v>
      </c>
      <c r="E115" s="4" t="s">
        <v>648</v>
      </c>
      <c r="F115" s="4" t="s">
        <v>660</v>
      </c>
      <c r="G115" s="4" t="s">
        <v>697</v>
      </c>
      <c r="H115" s="4" t="s">
        <v>706</v>
      </c>
      <c r="I115" s="4" t="s">
        <v>708</v>
      </c>
      <c r="J115" s="4" t="s">
        <v>715</v>
      </c>
      <c r="K115" s="4" t="s">
        <v>733</v>
      </c>
      <c r="L115" s="4" t="s">
        <v>847</v>
      </c>
      <c r="M115" s="9">
        <v>11</v>
      </c>
      <c r="N115" s="16">
        <f>ROUND(IF('Dashboard Visualization'!$U$3="",'Working Data'!$M115,'Working Data'!$M115*(100% +'Dashboard Visualization'!$U$3)),0)</f>
        <v>11</v>
      </c>
      <c r="O115" s="19">
        <v>142.09</v>
      </c>
      <c r="P115" s="20">
        <f>IF('Dashboard Visualization'!$U$2="",'Working Data'!$O115*'Working Data'!$N115,'Working Data'!$O115*'Working Data'!$N115*(100%+'Dashboard Visualization'!$U$2))</f>
        <v>1562.99</v>
      </c>
      <c r="Q115" s="19">
        <v>218.5</v>
      </c>
      <c r="R115" s="20">
        <f t="shared" si="14"/>
        <v>192.49850000000001</v>
      </c>
      <c r="S115" s="11">
        <v>0.11899999999999999</v>
      </c>
      <c r="T115" s="22">
        <f>IF('Dashboard Visualization'!$U$1="",$S115,IF(S115&gt;'Dashboard Visualization'!$U$1,'Dashboard Visualization'!$U$1,S115))</f>
        <v>0.11899999999999999</v>
      </c>
      <c r="U115" s="20">
        <f t="shared" si="15"/>
        <v>1865.5029635000001</v>
      </c>
      <c r="V115" s="20">
        <f t="shared" si="16"/>
        <v>302.51296350000007</v>
      </c>
      <c r="W115" s="22">
        <f t="shared" si="12"/>
        <v>0.16216160972075563</v>
      </c>
      <c r="X115" s="28" t="str">
        <f>TEXT(B115,"MMM-YYYY")</f>
        <v>Jan-2025</v>
      </c>
      <c r="Y115" s="7" t="str">
        <f t="shared" si="17"/>
        <v>Q1-2025</v>
      </c>
      <c r="Z115" s="7" t="str">
        <f t="shared" si="18"/>
        <v>Low Price</v>
      </c>
      <c r="AA115" s="7" t="str">
        <f t="shared" si="19"/>
        <v>Q1</v>
      </c>
      <c r="AB115" s="28" t="str">
        <f t="shared" si="20"/>
        <v>Jan</v>
      </c>
      <c r="AC115" s="28" t="str">
        <f t="shared" si="21"/>
        <v>2025</v>
      </c>
    </row>
    <row r="116" spans="1:29" x14ac:dyDescent="0.25">
      <c r="A116" s="4" t="s">
        <v>129</v>
      </c>
      <c r="B116" s="14">
        <v>45250</v>
      </c>
      <c r="C116" s="14">
        <v>45265</v>
      </c>
      <c r="D116" s="16">
        <f t="shared" si="13"/>
        <v>15</v>
      </c>
      <c r="E116" s="4" t="s">
        <v>647</v>
      </c>
      <c r="F116" s="4" t="s">
        <v>652</v>
      </c>
      <c r="G116" s="4" t="s">
        <v>689</v>
      </c>
      <c r="H116" s="4" t="s">
        <v>706</v>
      </c>
      <c r="I116" s="4" t="s">
        <v>707</v>
      </c>
      <c r="J116" s="4" t="s">
        <v>716</v>
      </c>
      <c r="K116" s="4" t="s">
        <v>729</v>
      </c>
      <c r="L116" s="4" t="s">
        <v>848</v>
      </c>
      <c r="M116" s="9">
        <v>6</v>
      </c>
      <c r="N116" s="16">
        <f>ROUND(IF('Dashboard Visualization'!$U$3="",'Working Data'!$M116,'Working Data'!$M116*(100% +'Dashboard Visualization'!$U$3)),0)</f>
        <v>6</v>
      </c>
      <c r="O116" s="19">
        <v>354.24</v>
      </c>
      <c r="P116" s="20">
        <f>IF('Dashboard Visualization'!$U$2="",'Working Data'!$O116*'Working Data'!$N116,'Working Data'!$O116*'Working Data'!$N116*(100%+'Dashboard Visualization'!$U$2))</f>
        <v>2125.44</v>
      </c>
      <c r="Q116" s="19">
        <v>249.87</v>
      </c>
      <c r="R116" s="20">
        <f t="shared" si="14"/>
        <v>249.87</v>
      </c>
      <c r="S116" s="11">
        <v>0</v>
      </c>
      <c r="T116" s="22">
        <f>IF('Dashboard Visualization'!$U$1="",$S116,IF(S116&gt;'Dashboard Visualization'!$U$1,'Dashboard Visualization'!$U$1,S116))</f>
        <v>0</v>
      </c>
      <c r="U116" s="20">
        <f t="shared" si="15"/>
        <v>1499.22</v>
      </c>
      <c r="V116" s="20">
        <f t="shared" si="16"/>
        <v>-626.22</v>
      </c>
      <c r="W116" s="22">
        <f t="shared" si="12"/>
        <v>0</v>
      </c>
      <c r="X116" s="28" t="str">
        <f>TEXT(B116,"MMM-YYYY")</f>
        <v>Nov-2023</v>
      </c>
      <c r="Y116" s="7" t="str">
        <f t="shared" si="17"/>
        <v>Q4-2023</v>
      </c>
      <c r="Z116" s="7" t="str">
        <f t="shared" si="18"/>
        <v>Low Price</v>
      </c>
      <c r="AA116" s="7" t="str">
        <f t="shared" si="19"/>
        <v>Q4</v>
      </c>
      <c r="AB116" s="28" t="str">
        <f t="shared" si="20"/>
        <v>Nov</v>
      </c>
      <c r="AC116" s="28" t="str">
        <f t="shared" si="21"/>
        <v>2023</v>
      </c>
    </row>
    <row r="117" spans="1:29" x14ac:dyDescent="0.25">
      <c r="A117" s="4" t="s">
        <v>130</v>
      </c>
      <c r="B117" s="14">
        <v>44987</v>
      </c>
      <c r="C117" s="14">
        <v>44990</v>
      </c>
      <c r="D117" s="16">
        <f t="shared" si="13"/>
        <v>3</v>
      </c>
      <c r="E117" s="4" t="s">
        <v>648</v>
      </c>
      <c r="F117" s="4" t="s">
        <v>655</v>
      </c>
      <c r="G117" s="4" t="s">
        <v>672</v>
      </c>
      <c r="H117" s="4" t="s">
        <v>706</v>
      </c>
      <c r="I117" s="4" t="s">
        <v>711</v>
      </c>
      <c r="J117" s="4" t="s">
        <v>715</v>
      </c>
      <c r="K117" s="4" t="s">
        <v>732</v>
      </c>
      <c r="L117" s="4" t="s">
        <v>849</v>
      </c>
      <c r="M117" s="9">
        <v>8</v>
      </c>
      <c r="N117" s="16">
        <f>ROUND(IF('Dashboard Visualization'!$U$3="",'Working Data'!$M117,'Working Data'!$M117*(100% +'Dashboard Visualization'!$U$3)),0)</f>
        <v>8</v>
      </c>
      <c r="O117" s="19">
        <v>1473.58</v>
      </c>
      <c r="P117" s="20">
        <f>IF('Dashboard Visualization'!$U$2="",'Working Data'!$O117*'Working Data'!$N117,'Working Data'!$O117*'Working Data'!$N117*(100%+'Dashboard Visualization'!$U$2))</f>
        <v>11788.64</v>
      </c>
      <c r="Q117" s="19">
        <v>3436.52</v>
      </c>
      <c r="R117" s="20">
        <f t="shared" si="14"/>
        <v>3065.3758400000002</v>
      </c>
      <c r="S117" s="11">
        <v>0.108</v>
      </c>
      <c r="T117" s="22">
        <f>IF('Dashboard Visualization'!$U$1="",$S117,IF(S117&gt;'Dashboard Visualization'!$U$1,'Dashboard Visualization'!$U$1,S117))</f>
        <v>0.108</v>
      </c>
      <c r="U117" s="20">
        <f t="shared" si="15"/>
        <v>21874.52199424</v>
      </c>
      <c r="V117" s="20">
        <f t="shared" si="16"/>
        <v>10085.88199424</v>
      </c>
      <c r="W117" s="22">
        <f t="shared" si="12"/>
        <v>0.46107896652076857</v>
      </c>
      <c r="X117" s="28" t="str">
        <f>TEXT(B117,"MMM-YYYY")</f>
        <v>Mar-2023</v>
      </c>
      <c r="Y117" s="7" t="str">
        <f t="shared" si="17"/>
        <v>Q1-2023</v>
      </c>
      <c r="Z117" s="7" t="str">
        <f t="shared" si="18"/>
        <v>Medium Price</v>
      </c>
      <c r="AA117" s="7" t="str">
        <f t="shared" si="19"/>
        <v>Q1</v>
      </c>
      <c r="AB117" s="28" t="str">
        <f t="shared" si="20"/>
        <v>Mar</v>
      </c>
      <c r="AC117" s="28" t="str">
        <f t="shared" si="21"/>
        <v>2023</v>
      </c>
    </row>
    <row r="118" spans="1:29" x14ac:dyDescent="0.25">
      <c r="A118" s="4" t="s">
        <v>131</v>
      </c>
      <c r="B118" s="14">
        <v>45811</v>
      </c>
      <c r="C118" s="14">
        <v>45818</v>
      </c>
      <c r="D118" s="16">
        <f t="shared" si="13"/>
        <v>7</v>
      </c>
      <c r="E118" s="4" t="s">
        <v>648</v>
      </c>
      <c r="F118" s="4" t="s">
        <v>653</v>
      </c>
      <c r="G118" s="4" t="s">
        <v>667</v>
      </c>
      <c r="H118" s="4" t="s">
        <v>704</v>
      </c>
      <c r="I118" s="4" t="s">
        <v>710</v>
      </c>
      <c r="J118" s="4" t="s">
        <v>719</v>
      </c>
      <c r="K118" s="4" t="s">
        <v>728</v>
      </c>
      <c r="L118" s="4" t="s">
        <v>850</v>
      </c>
      <c r="M118" s="9">
        <v>17</v>
      </c>
      <c r="N118" s="16">
        <f>ROUND(IF('Dashboard Visualization'!$U$3="",'Working Data'!$M118,'Working Data'!$M118*(100% +'Dashboard Visualization'!$U$3)),0)</f>
        <v>17</v>
      </c>
      <c r="O118" s="19">
        <v>75.180000000000007</v>
      </c>
      <c r="P118" s="20">
        <f>IF('Dashboard Visualization'!$U$2="",'Working Data'!$O118*'Working Data'!$N118,'Working Data'!$O118*'Working Data'!$N118*(100%+'Dashboard Visualization'!$U$2))</f>
        <v>1278.0600000000002</v>
      </c>
      <c r="Q118" s="19">
        <v>53.45</v>
      </c>
      <c r="R118" s="20">
        <f t="shared" si="14"/>
        <v>45.058350000000004</v>
      </c>
      <c r="S118" s="11">
        <v>0.157</v>
      </c>
      <c r="T118" s="22">
        <f>IF('Dashboard Visualization'!$U$1="",$S118,IF(S118&gt;'Dashboard Visualization'!$U$1,'Dashboard Visualization'!$U$1,S118))</f>
        <v>0.157</v>
      </c>
      <c r="U118" s="20">
        <f t="shared" si="15"/>
        <v>645.73121385000013</v>
      </c>
      <c r="V118" s="20">
        <f t="shared" si="16"/>
        <v>-632.32878615000004</v>
      </c>
      <c r="W118" s="22">
        <f t="shared" si="12"/>
        <v>0</v>
      </c>
      <c r="X118" s="28" t="str">
        <f>TEXT(B118,"MMM-YYYY")</f>
        <v>Jun-2025</v>
      </c>
      <c r="Y118" s="7" t="str">
        <f t="shared" si="17"/>
        <v>Q2-2025</v>
      </c>
      <c r="Z118" s="7" t="str">
        <f t="shared" si="18"/>
        <v>Low Price</v>
      </c>
      <c r="AA118" s="7" t="str">
        <f t="shared" si="19"/>
        <v>Q2</v>
      </c>
      <c r="AB118" s="28" t="str">
        <f t="shared" si="20"/>
        <v>Jun</v>
      </c>
      <c r="AC118" s="28" t="str">
        <f t="shared" si="21"/>
        <v>2025</v>
      </c>
    </row>
    <row r="119" spans="1:29" x14ac:dyDescent="0.25">
      <c r="A119" s="4" t="s">
        <v>132</v>
      </c>
      <c r="B119" s="14">
        <v>45653</v>
      </c>
      <c r="C119" s="14">
        <v>45659</v>
      </c>
      <c r="D119" s="16">
        <f t="shared" si="13"/>
        <v>6</v>
      </c>
      <c r="E119" s="4" t="s">
        <v>649</v>
      </c>
      <c r="F119" s="4" t="s">
        <v>656</v>
      </c>
      <c r="G119" s="4" t="s">
        <v>698</v>
      </c>
      <c r="H119" s="4" t="s">
        <v>702</v>
      </c>
      <c r="I119" s="4" t="s">
        <v>711</v>
      </c>
      <c r="J119" s="4" t="s">
        <v>721</v>
      </c>
      <c r="K119" s="4" t="s">
        <v>731</v>
      </c>
      <c r="L119" s="4" t="s">
        <v>851</v>
      </c>
      <c r="M119" s="9">
        <v>23</v>
      </c>
      <c r="N119" s="16">
        <f>ROUND(IF('Dashboard Visualization'!$U$3="",'Working Data'!$M119,'Working Data'!$M119*(100% +'Dashboard Visualization'!$U$3)),0)</f>
        <v>23</v>
      </c>
      <c r="O119" s="19">
        <v>1391.99</v>
      </c>
      <c r="P119" s="20">
        <f>IF('Dashboard Visualization'!$U$2="",'Working Data'!$O119*'Working Data'!$N119,'Working Data'!$O119*'Working Data'!$N119*(100%+'Dashboard Visualization'!$U$2))</f>
        <v>32015.77</v>
      </c>
      <c r="Q119" s="19">
        <v>3469.7</v>
      </c>
      <c r="R119" s="20">
        <f t="shared" si="14"/>
        <v>2831.2752</v>
      </c>
      <c r="S119" s="11">
        <v>0.184</v>
      </c>
      <c r="T119" s="22">
        <f>IF('Dashboard Visualization'!$U$1="",$S119,IF(S119&gt;'Dashboard Visualization'!$U$1,'Dashboard Visualization'!$U$1,S119))</f>
        <v>0.184</v>
      </c>
      <c r="U119" s="20">
        <f t="shared" si="15"/>
        <v>53137.37295360001</v>
      </c>
      <c r="V119" s="20">
        <f t="shared" si="16"/>
        <v>21121.60295360001</v>
      </c>
      <c r="W119" s="22">
        <f t="shared" si="12"/>
        <v>0.39749053781871313</v>
      </c>
      <c r="X119" s="28" t="str">
        <f>TEXT(B119,"MMM-YYYY")</f>
        <v>Dec-2024</v>
      </c>
      <c r="Y119" s="7" t="str">
        <f t="shared" si="17"/>
        <v>Q4-2024</v>
      </c>
      <c r="Z119" s="7" t="str">
        <f t="shared" si="18"/>
        <v>Medium Price</v>
      </c>
      <c r="AA119" s="7" t="str">
        <f t="shared" si="19"/>
        <v>Q4</v>
      </c>
      <c r="AB119" s="28" t="str">
        <f t="shared" si="20"/>
        <v>Dec</v>
      </c>
      <c r="AC119" s="28" t="str">
        <f t="shared" si="21"/>
        <v>2024</v>
      </c>
    </row>
    <row r="120" spans="1:29" x14ac:dyDescent="0.25">
      <c r="A120" s="4" t="s">
        <v>133</v>
      </c>
      <c r="B120" s="14">
        <v>45086</v>
      </c>
      <c r="C120" s="14">
        <v>45096</v>
      </c>
      <c r="D120" s="16">
        <f t="shared" si="13"/>
        <v>10</v>
      </c>
      <c r="E120" s="4" t="s">
        <v>647</v>
      </c>
      <c r="F120" s="4" t="s">
        <v>659</v>
      </c>
      <c r="G120" s="4" t="s">
        <v>699</v>
      </c>
      <c r="H120" s="4" t="s">
        <v>706</v>
      </c>
      <c r="I120" s="4" t="s">
        <v>707</v>
      </c>
      <c r="J120" s="4" t="s">
        <v>721</v>
      </c>
      <c r="K120" s="4" t="s">
        <v>732</v>
      </c>
      <c r="L120" s="4" t="s">
        <v>852</v>
      </c>
      <c r="M120" s="9">
        <v>10</v>
      </c>
      <c r="N120" s="16">
        <f>ROUND(IF('Dashboard Visualization'!$U$3="",'Working Data'!$M120,'Working Data'!$M120*(100% +'Dashboard Visualization'!$U$3)),0)</f>
        <v>10</v>
      </c>
      <c r="O120" s="19">
        <v>339.61</v>
      </c>
      <c r="P120" s="20">
        <f>IF('Dashboard Visualization'!$U$2="",'Working Data'!$O120*'Working Data'!$N120,'Working Data'!$O120*'Working Data'!$N120*(100%+'Dashboard Visualization'!$U$2))</f>
        <v>3396.1000000000004</v>
      </c>
      <c r="Q120" s="19">
        <v>621.02</v>
      </c>
      <c r="R120" s="20">
        <f t="shared" si="14"/>
        <v>576.92758000000003</v>
      </c>
      <c r="S120" s="11">
        <v>7.0999999999999994E-2</v>
      </c>
      <c r="T120" s="22">
        <f>IF('Dashboard Visualization'!$U$1="",$S120,IF(S120&gt;'Dashboard Visualization'!$U$1,'Dashboard Visualization'!$U$1,S120))</f>
        <v>7.0999999999999994E-2</v>
      </c>
      <c r="U120" s="20">
        <f t="shared" si="15"/>
        <v>5359.6572182000009</v>
      </c>
      <c r="V120" s="20">
        <f t="shared" si="16"/>
        <v>1963.5572182000005</v>
      </c>
      <c r="W120" s="22">
        <f t="shared" si="12"/>
        <v>0.36635873121368123</v>
      </c>
      <c r="X120" s="28" t="str">
        <f>TEXT(B120,"MMM-YYYY")</f>
        <v>Jun-2023</v>
      </c>
      <c r="Y120" s="7" t="str">
        <f t="shared" si="17"/>
        <v>Q2-2023</v>
      </c>
      <c r="Z120" s="7" t="str">
        <f t="shared" si="18"/>
        <v>High Price</v>
      </c>
      <c r="AA120" s="7" t="str">
        <f t="shared" si="19"/>
        <v>Q2</v>
      </c>
      <c r="AB120" s="28" t="str">
        <f t="shared" si="20"/>
        <v>Jun</v>
      </c>
      <c r="AC120" s="28" t="str">
        <f t="shared" si="21"/>
        <v>2023</v>
      </c>
    </row>
    <row r="121" spans="1:29" x14ac:dyDescent="0.25">
      <c r="A121" s="4" t="s">
        <v>134</v>
      </c>
      <c r="B121" s="14">
        <v>45847</v>
      </c>
      <c r="C121" s="14">
        <v>45856</v>
      </c>
      <c r="D121" s="16">
        <f t="shared" si="13"/>
        <v>9</v>
      </c>
      <c r="E121" s="4" t="s">
        <v>648</v>
      </c>
      <c r="F121" s="4" t="s">
        <v>653</v>
      </c>
      <c r="G121" s="4" t="s">
        <v>688</v>
      </c>
      <c r="H121" s="4" t="s">
        <v>702</v>
      </c>
      <c r="I121" s="4" t="s">
        <v>710</v>
      </c>
      <c r="J121" s="4" t="s">
        <v>714</v>
      </c>
      <c r="K121" s="4" t="s">
        <v>731</v>
      </c>
      <c r="L121" s="4" t="s">
        <v>853</v>
      </c>
      <c r="M121" s="9">
        <v>7</v>
      </c>
      <c r="N121" s="16">
        <f>ROUND(IF('Dashboard Visualization'!$U$3="",'Working Data'!$M121,'Working Data'!$M121*(100% +'Dashboard Visualization'!$U$3)),0)</f>
        <v>7</v>
      </c>
      <c r="O121" s="19">
        <v>57.96</v>
      </c>
      <c r="P121" s="20">
        <f>IF('Dashboard Visualization'!$U$2="",'Working Data'!$O121*'Working Data'!$N121,'Working Data'!$O121*'Working Data'!$N121*(100%+'Dashboard Visualization'!$U$2))</f>
        <v>405.72</v>
      </c>
      <c r="Q121" s="19">
        <v>88.51</v>
      </c>
      <c r="R121" s="20">
        <f t="shared" si="14"/>
        <v>84.704070000000002</v>
      </c>
      <c r="S121" s="11">
        <v>4.2999999999999997E-2</v>
      </c>
      <c r="T121" s="22">
        <f>IF('Dashboard Visualization'!$U$1="",$S121,IF(S121&gt;'Dashboard Visualization'!$U$1,'Dashboard Visualization'!$U$1,S121))</f>
        <v>4.2999999999999997E-2</v>
      </c>
      <c r="U121" s="20">
        <f t="shared" si="15"/>
        <v>567.43256493000001</v>
      </c>
      <c r="V121" s="20">
        <f t="shared" si="16"/>
        <v>161.71256492999998</v>
      </c>
      <c r="W121" s="22">
        <f t="shared" si="12"/>
        <v>0.28498992642403115</v>
      </c>
      <c r="X121" s="28" t="str">
        <f>TEXT(B121,"MMM-YYYY")</f>
        <v>Jul-2025</v>
      </c>
      <c r="Y121" s="7" t="str">
        <f t="shared" si="17"/>
        <v>Q3-2025</v>
      </c>
      <c r="Z121" s="7" t="str">
        <f t="shared" si="18"/>
        <v>Low Price</v>
      </c>
      <c r="AA121" s="7" t="str">
        <f t="shared" si="19"/>
        <v>Q3</v>
      </c>
      <c r="AB121" s="28" t="str">
        <f t="shared" si="20"/>
        <v>Jul</v>
      </c>
      <c r="AC121" s="28" t="str">
        <f t="shared" si="21"/>
        <v>2025</v>
      </c>
    </row>
    <row r="122" spans="1:29" x14ac:dyDescent="0.25">
      <c r="A122" s="4" t="s">
        <v>135</v>
      </c>
      <c r="B122" s="14">
        <v>45827</v>
      </c>
      <c r="C122" s="14">
        <v>45850</v>
      </c>
      <c r="D122" s="16">
        <f t="shared" si="13"/>
        <v>23</v>
      </c>
      <c r="E122" s="4" t="s">
        <v>649</v>
      </c>
      <c r="F122" s="4" t="s">
        <v>658</v>
      </c>
      <c r="G122" s="12" t="s">
        <v>1430</v>
      </c>
      <c r="H122" s="4" t="s">
        <v>703</v>
      </c>
      <c r="I122" s="4" t="s">
        <v>711</v>
      </c>
      <c r="J122" s="12" t="s">
        <v>1430</v>
      </c>
      <c r="K122" s="4" t="s">
        <v>729</v>
      </c>
      <c r="L122" s="4" t="s">
        <v>854</v>
      </c>
      <c r="M122" s="9">
        <v>23</v>
      </c>
      <c r="N122" s="16">
        <f>ROUND(IF('Dashboard Visualization'!$U$3="",'Working Data'!$M122,'Working Data'!$M122*(100% +'Dashboard Visualization'!$U$3)),0)</f>
        <v>23</v>
      </c>
      <c r="O122" s="19">
        <v>801.24</v>
      </c>
      <c r="P122" s="20">
        <f>IF('Dashboard Visualization'!$U$2="",'Working Data'!$O122*'Working Data'!$N122,'Working Data'!$O122*'Working Data'!$N122*(100%+'Dashboard Visualization'!$U$2))</f>
        <v>18428.52</v>
      </c>
      <c r="Q122" s="19">
        <v>1959.09</v>
      </c>
      <c r="R122" s="20">
        <f t="shared" si="14"/>
        <v>1718.12193</v>
      </c>
      <c r="S122" s="11">
        <v>0.123</v>
      </c>
      <c r="T122" s="22">
        <f>IF('Dashboard Visualization'!$U$1="",$S122,IF(S122&gt;'Dashboard Visualization'!$U$1,'Dashboard Visualization'!$U$1,S122))</f>
        <v>0.123</v>
      </c>
      <c r="U122" s="20">
        <f t="shared" si="15"/>
        <v>34656.237450029999</v>
      </c>
      <c r="V122" s="20">
        <f t="shared" si="16"/>
        <v>16227.717450029999</v>
      </c>
      <c r="W122" s="22">
        <f t="shared" si="12"/>
        <v>0.4682481032001341</v>
      </c>
      <c r="X122" s="28" t="str">
        <f>TEXT(B122,"MMM-YYYY")</f>
        <v>Jun-2025</v>
      </c>
      <c r="Y122" s="7" t="str">
        <f t="shared" si="17"/>
        <v>Q2-2025</v>
      </c>
      <c r="Z122" s="7" t="str">
        <f t="shared" si="18"/>
        <v>Medium Price</v>
      </c>
      <c r="AA122" s="7" t="str">
        <f t="shared" si="19"/>
        <v>Q2</v>
      </c>
      <c r="AB122" s="28" t="str">
        <f t="shared" si="20"/>
        <v>Jun</v>
      </c>
      <c r="AC122" s="28" t="str">
        <f t="shared" si="21"/>
        <v>2025</v>
      </c>
    </row>
    <row r="123" spans="1:29" x14ac:dyDescent="0.25">
      <c r="A123" s="4" t="s">
        <v>136</v>
      </c>
      <c r="B123" s="14">
        <v>45249</v>
      </c>
      <c r="C123" s="14">
        <v>45273</v>
      </c>
      <c r="D123" s="16">
        <f t="shared" si="13"/>
        <v>24</v>
      </c>
      <c r="E123" s="4" t="s">
        <v>649</v>
      </c>
      <c r="F123" s="4" t="s">
        <v>657</v>
      </c>
      <c r="G123" s="4" t="s">
        <v>679</v>
      </c>
      <c r="H123" s="4" t="s">
        <v>703</v>
      </c>
      <c r="I123" s="4" t="s">
        <v>711</v>
      </c>
      <c r="J123" s="4" t="s">
        <v>722</v>
      </c>
      <c r="K123" s="4" t="s">
        <v>732</v>
      </c>
      <c r="L123" s="4" t="s">
        <v>855</v>
      </c>
      <c r="M123" s="9">
        <v>9</v>
      </c>
      <c r="N123" s="16">
        <f>ROUND(IF('Dashboard Visualization'!$U$3="",'Working Data'!$M123,'Working Data'!$M123*(100% +'Dashboard Visualization'!$U$3)),0)</f>
        <v>9</v>
      </c>
      <c r="O123" s="19">
        <v>1297.42</v>
      </c>
      <c r="P123" s="20">
        <f>IF('Dashboard Visualization'!$U$2="",'Working Data'!$O123*'Working Data'!$N123,'Working Data'!$O123*'Working Data'!$N123*(100%+'Dashboard Visualization'!$U$2))</f>
        <v>11676.78</v>
      </c>
      <c r="Q123" s="19">
        <v>2742.97</v>
      </c>
      <c r="R123" s="20">
        <f t="shared" si="14"/>
        <v>2553.70507</v>
      </c>
      <c r="S123" s="11">
        <v>6.9000000000000006E-2</v>
      </c>
      <c r="T123" s="22">
        <f>IF('Dashboard Visualization'!$U$1="",$S123,IF(S123&gt;'Dashboard Visualization'!$U$1,'Dashboard Visualization'!$U$1,S123))</f>
        <v>6.9000000000000006E-2</v>
      </c>
      <c r="U123" s="20">
        <f t="shared" si="15"/>
        <v>21397.49478153</v>
      </c>
      <c r="V123" s="20">
        <f t="shared" si="16"/>
        <v>9720.7147815299995</v>
      </c>
      <c r="W123" s="22">
        <f t="shared" si="12"/>
        <v>0.45429219078117389</v>
      </c>
      <c r="X123" s="28" t="str">
        <f>TEXT(B123,"MMM-YYYY")</f>
        <v>Nov-2023</v>
      </c>
      <c r="Y123" s="7" t="str">
        <f t="shared" si="17"/>
        <v>Q4-2023</v>
      </c>
      <c r="Z123" s="7" t="str">
        <f t="shared" si="18"/>
        <v>Medium Price</v>
      </c>
      <c r="AA123" s="7" t="str">
        <f t="shared" si="19"/>
        <v>Q4</v>
      </c>
      <c r="AB123" s="28" t="str">
        <f t="shared" si="20"/>
        <v>Nov</v>
      </c>
      <c r="AC123" s="28" t="str">
        <f t="shared" si="21"/>
        <v>2023</v>
      </c>
    </row>
    <row r="124" spans="1:29" x14ac:dyDescent="0.25">
      <c r="A124" s="4" t="s">
        <v>137</v>
      </c>
      <c r="B124" s="14">
        <v>45289</v>
      </c>
      <c r="C124" s="14">
        <v>45311</v>
      </c>
      <c r="D124" s="16">
        <f t="shared" si="13"/>
        <v>22</v>
      </c>
      <c r="E124" s="4" t="s">
        <v>646</v>
      </c>
      <c r="F124" s="4" t="s">
        <v>650</v>
      </c>
      <c r="G124" s="4" t="s">
        <v>662</v>
      </c>
      <c r="H124" s="4" t="s">
        <v>701</v>
      </c>
      <c r="I124" s="4" t="s">
        <v>711</v>
      </c>
      <c r="J124" s="4" t="s">
        <v>716</v>
      </c>
      <c r="K124" s="4" t="s">
        <v>730</v>
      </c>
      <c r="L124" s="4" t="s">
        <v>856</v>
      </c>
      <c r="M124" s="9">
        <v>12</v>
      </c>
      <c r="N124" s="16">
        <f>ROUND(IF('Dashboard Visualization'!$U$3="",'Working Data'!$M124,'Working Data'!$M124*(100% +'Dashboard Visualization'!$U$3)),0)</f>
        <v>12</v>
      </c>
      <c r="O124" s="19">
        <v>1395.49</v>
      </c>
      <c r="P124" s="20">
        <f>IF('Dashboard Visualization'!$U$2="",'Working Data'!$O124*'Working Data'!$N124,'Working Data'!$O124*'Working Data'!$N124*(100%+'Dashboard Visualization'!$U$2))</f>
        <v>16745.88</v>
      </c>
      <c r="Q124" s="19">
        <v>1679.42</v>
      </c>
      <c r="R124" s="20">
        <f t="shared" si="14"/>
        <v>1338.49774</v>
      </c>
      <c r="S124" s="11">
        <v>0.20300000000000001</v>
      </c>
      <c r="T124" s="22">
        <f>IF('Dashboard Visualization'!$U$1="",$S124,IF(S124&gt;'Dashboard Visualization'!$U$1,'Dashboard Visualization'!$U$1,S124))</f>
        <v>0.20300000000000001</v>
      </c>
      <c r="U124" s="20">
        <f t="shared" si="15"/>
        <v>12801.392385359999</v>
      </c>
      <c r="V124" s="20">
        <f t="shared" si="16"/>
        <v>-3944.487614640002</v>
      </c>
      <c r="W124" s="22">
        <f t="shared" si="12"/>
        <v>0</v>
      </c>
      <c r="X124" s="28" t="str">
        <f>TEXT(B124,"MMM-YYYY")</f>
        <v>Dec-2023</v>
      </c>
      <c r="Y124" s="7" t="str">
        <f t="shared" si="17"/>
        <v>Q4-2023</v>
      </c>
      <c r="Z124" s="7" t="str">
        <f t="shared" si="18"/>
        <v>High Price</v>
      </c>
      <c r="AA124" s="7" t="str">
        <f t="shared" si="19"/>
        <v>Q4</v>
      </c>
      <c r="AB124" s="28" t="str">
        <f t="shared" si="20"/>
        <v>Dec</v>
      </c>
      <c r="AC124" s="28" t="str">
        <f t="shared" si="21"/>
        <v>2023</v>
      </c>
    </row>
    <row r="125" spans="1:29" x14ac:dyDescent="0.25">
      <c r="A125" s="4" t="s">
        <v>138</v>
      </c>
      <c r="B125" s="14">
        <v>45598</v>
      </c>
      <c r="C125" s="14">
        <v>45625</v>
      </c>
      <c r="D125" s="16">
        <f t="shared" si="13"/>
        <v>27</v>
      </c>
      <c r="E125" s="4" t="s">
        <v>648</v>
      </c>
      <c r="F125" s="4" t="s">
        <v>655</v>
      </c>
      <c r="G125" s="4" t="s">
        <v>672</v>
      </c>
      <c r="H125" s="4" t="s">
        <v>705</v>
      </c>
      <c r="I125" s="4" t="s">
        <v>711</v>
      </c>
      <c r="J125" s="4" t="s">
        <v>714</v>
      </c>
      <c r="K125" s="4" t="s">
        <v>729</v>
      </c>
      <c r="L125" s="4" t="s">
        <v>857</v>
      </c>
      <c r="M125" s="9">
        <v>8</v>
      </c>
      <c r="N125" s="16">
        <f>ROUND(IF('Dashboard Visualization'!$U$3="",'Working Data'!$M125,'Working Data'!$M125*(100% +'Dashboard Visualization'!$U$3)),0)</f>
        <v>8</v>
      </c>
      <c r="O125" s="19">
        <v>1363.51</v>
      </c>
      <c r="P125" s="20">
        <f>IF('Dashboard Visualization'!$U$2="",'Working Data'!$O125*'Working Data'!$N125,'Working Data'!$O125*'Working Data'!$N125*(100%+'Dashboard Visualization'!$U$2))</f>
        <v>10908.08</v>
      </c>
      <c r="Q125" s="19">
        <v>1433.9</v>
      </c>
      <c r="R125" s="20">
        <f t="shared" si="14"/>
        <v>1352.1677</v>
      </c>
      <c r="S125" s="11">
        <v>5.7000000000000002E-2</v>
      </c>
      <c r="T125" s="22">
        <f>IF('Dashboard Visualization'!$U$1="",$S125,IF(S125&gt;'Dashboard Visualization'!$U$1,'Dashboard Visualization'!$U$1,S125))</f>
        <v>5.7000000000000002E-2</v>
      </c>
      <c r="U125" s="20">
        <f t="shared" si="15"/>
        <v>10200.753128799999</v>
      </c>
      <c r="V125" s="20">
        <f t="shared" si="16"/>
        <v>-707.32687120000082</v>
      </c>
      <c r="W125" s="22">
        <f t="shared" si="12"/>
        <v>0</v>
      </c>
      <c r="X125" s="28" t="str">
        <f>TEXT(B125,"MMM-YYYY")</f>
        <v>Nov-2024</v>
      </c>
      <c r="Y125" s="7" t="str">
        <f t="shared" si="17"/>
        <v>Q4-2024</v>
      </c>
      <c r="Z125" s="7" t="str">
        <f t="shared" si="18"/>
        <v>High Price</v>
      </c>
      <c r="AA125" s="7" t="str">
        <f t="shared" si="19"/>
        <v>Q4</v>
      </c>
      <c r="AB125" s="28" t="str">
        <f t="shared" si="20"/>
        <v>Nov</v>
      </c>
      <c r="AC125" s="28" t="str">
        <f t="shared" si="21"/>
        <v>2024</v>
      </c>
    </row>
    <row r="126" spans="1:29" x14ac:dyDescent="0.25">
      <c r="A126" s="4" t="s">
        <v>139</v>
      </c>
      <c r="B126" s="14">
        <v>45159</v>
      </c>
      <c r="C126" s="14">
        <v>45173</v>
      </c>
      <c r="D126" s="16">
        <f t="shared" si="13"/>
        <v>14</v>
      </c>
      <c r="E126" s="4" t="s">
        <v>648</v>
      </c>
      <c r="F126" s="4" t="s">
        <v>653</v>
      </c>
      <c r="G126" s="4" t="s">
        <v>681</v>
      </c>
      <c r="H126" s="4" t="s">
        <v>702</v>
      </c>
      <c r="I126" s="4" t="s">
        <v>710</v>
      </c>
      <c r="J126" s="4" t="s">
        <v>721</v>
      </c>
      <c r="K126" s="4" t="s">
        <v>727</v>
      </c>
      <c r="L126" s="4" t="s">
        <v>858</v>
      </c>
      <c r="M126" s="9">
        <v>8</v>
      </c>
      <c r="N126" s="16">
        <f>ROUND(IF('Dashboard Visualization'!$U$3="",'Working Data'!$M126,'Working Data'!$M126*(100% +'Dashboard Visualization'!$U$3)),0)</f>
        <v>8</v>
      </c>
      <c r="O126" s="19">
        <v>178.19</v>
      </c>
      <c r="P126" s="20">
        <f>IF('Dashboard Visualization'!$U$2="",'Working Data'!$O126*'Working Data'!$N126,'Working Data'!$O126*'Working Data'!$N126*(100%+'Dashboard Visualization'!$U$2))</f>
        <v>1425.52</v>
      </c>
      <c r="Q126" s="19">
        <v>284.43</v>
      </c>
      <c r="R126" s="20">
        <f t="shared" si="14"/>
        <v>259.11573000000004</v>
      </c>
      <c r="S126" s="11">
        <v>8.8999999999999996E-2</v>
      </c>
      <c r="T126" s="22">
        <f>IF('Dashboard Visualization'!$U$1="",$S126,IF(S126&gt;'Dashboard Visualization'!$U$1,'Dashboard Visualization'!$U$1,S126))</f>
        <v>8.8999999999999996E-2</v>
      </c>
      <c r="U126" s="20">
        <f t="shared" si="15"/>
        <v>1888.4354402400004</v>
      </c>
      <c r="V126" s="20">
        <f t="shared" si="16"/>
        <v>462.91544024000041</v>
      </c>
      <c r="W126" s="22">
        <f t="shared" si="12"/>
        <v>0.24513172670661629</v>
      </c>
      <c r="X126" s="28" t="str">
        <f>TEXT(B126,"MMM-YYYY")</f>
        <v>Aug-2023</v>
      </c>
      <c r="Y126" s="7" t="str">
        <f t="shared" si="17"/>
        <v>Q3-2023</v>
      </c>
      <c r="Z126" s="7" t="str">
        <f t="shared" si="18"/>
        <v>Low Price</v>
      </c>
      <c r="AA126" s="7" t="str">
        <f t="shared" si="19"/>
        <v>Q3</v>
      </c>
      <c r="AB126" s="28" t="str">
        <f t="shared" si="20"/>
        <v>Aug</v>
      </c>
      <c r="AC126" s="28" t="str">
        <f t="shared" si="21"/>
        <v>2023</v>
      </c>
    </row>
    <row r="127" spans="1:29" x14ac:dyDescent="0.25">
      <c r="A127" s="4" t="s">
        <v>140</v>
      </c>
      <c r="B127" s="14">
        <v>45150</v>
      </c>
      <c r="C127" s="14">
        <v>45175</v>
      </c>
      <c r="D127" s="16">
        <f t="shared" si="13"/>
        <v>25</v>
      </c>
      <c r="E127" s="4" t="s">
        <v>647</v>
      </c>
      <c r="F127" s="4" t="s">
        <v>659</v>
      </c>
      <c r="G127" s="4" t="s">
        <v>685</v>
      </c>
      <c r="H127" s="4" t="s">
        <v>705</v>
      </c>
      <c r="I127" s="4" t="s">
        <v>707</v>
      </c>
      <c r="J127" s="4" t="s">
        <v>717</v>
      </c>
      <c r="K127" s="4" t="s">
        <v>727</v>
      </c>
      <c r="L127" s="4" t="s">
        <v>859</v>
      </c>
      <c r="M127" s="9">
        <v>14</v>
      </c>
      <c r="N127" s="16">
        <f>ROUND(IF('Dashboard Visualization'!$U$3="",'Working Data'!$M127,'Working Data'!$M127*(100% +'Dashboard Visualization'!$U$3)),0)</f>
        <v>14</v>
      </c>
      <c r="O127" s="19">
        <v>950.77</v>
      </c>
      <c r="P127" s="20">
        <f>IF('Dashboard Visualization'!$U$2="",'Working Data'!$O127*'Working Data'!$N127,'Working Data'!$O127*'Working Data'!$N127*(100%+'Dashboard Visualization'!$U$2))</f>
        <v>13310.779999999999</v>
      </c>
      <c r="Q127" s="19">
        <v>694.78</v>
      </c>
      <c r="R127" s="20">
        <f t="shared" si="14"/>
        <v>636.41848000000005</v>
      </c>
      <c r="S127" s="11">
        <v>8.4000000000000005E-2</v>
      </c>
      <c r="T127" s="22">
        <f>IF('Dashboard Visualization'!$U$1="",$S127,IF(S127&gt;'Dashboard Visualization'!$U$1,'Dashboard Visualization'!$U$1,S127))</f>
        <v>8.4000000000000005E-2</v>
      </c>
      <c r="U127" s="20">
        <f t="shared" si="15"/>
        <v>8161.4305875200016</v>
      </c>
      <c r="V127" s="20">
        <f t="shared" si="16"/>
        <v>-5149.3494124799972</v>
      </c>
      <c r="W127" s="22">
        <f t="shared" si="12"/>
        <v>0</v>
      </c>
      <c r="X127" s="28" t="str">
        <f>TEXT(B127,"MMM-YYYY")</f>
        <v>Aug-2023</v>
      </c>
      <c r="Y127" s="7" t="str">
        <f t="shared" si="17"/>
        <v>Q3-2023</v>
      </c>
      <c r="Z127" s="7" t="str">
        <f t="shared" si="18"/>
        <v>High Price</v>
      </c>
      <c r="AA127" s="7" t="str">
        <f t="shared" si="19"/>
        <v>Q3</v>
      </c>
      <c r="AB127" s="28" t="str">
        <f t="shared" si="20"/>
        <v>Aug</v>
      </c>
      <c r="AC127" s="28" t="str">
        <f t="shared" si="21"/>
        <v>2023</v>
      </c>
    </row>
    <row r="128" spans="1:29" x14ac:dyDescent="0.25">
      <c r="A128" s="4" t="s">
        <v>141</v>
      </c>
      <c r="B128" s="14">
        <v>45450</v>
      </c>
      <c r="C128" s="14">
        <v>45469</v>
      </c>
      <c r="D128" s="16">
        <f t="shared" si="13"/>
        <v>19</v>
      </c>
      <c r="E128" s="4" t="s">
        <v>649</v>
      </c>
      <c r="F128" s="4" t="s">
        <v>656</v>
      </c>
      <c r="G128" s="4" t="s">
        <v>671</v>
      </c>
      <c r="H128" s="4" t="s">
        <v>703</v>
      </c>
      <c r="I128" s="4" t="s">
        <v>709</v>
      </c>
      <c r="J128" s="4" t="s">
        <v>724</v>
      </c>
      <c r="K128" s="4" t="s">
        <v>727</v>
      </c>
      <c r="L128" s="4" t="s">
        <v>860</v>
      </c>
      <c r="M128" s="9">
        <v>38</v>
      </c>
      <c r="N128" s="16">
        <f>ROUND(IF('Dashboard Visualization'!$U$3="",'Working Data'!$M128,'Working Data'!$M128*(100% +'Dashboard Visualization'!$U$3)),0)</f>
        <v>38</v>
      </c>
      <c r="O128" s="19">
        <v>1064.32</v>
      </c>
      <c r="P128" s="20">
        <f>IF('Dashboard Visualization'!$U$2="",'Working Data'!$O128*'Working Data'!$N128,'Working Data'!$O128*'Working Data'!$N128*(100%+'Dashboard Visualization'!$U$2))</f>
        <v>40444.159999999996</v>
      </c>
      <c r="Q128" s="19">
        <v>1848.39</v>
      </c>
      <c r="R128" s="20">
        <f t="shared" si="14"/>
        <v>1713.4575300000001</v>
      </c>
      <c r="S128" s="11">
        <v>7.2999999999999995E-2</v>
      </c>
      <c r="T128" s="22">
        <f>IF('Dashboard Visualization'!$U$1="",$S128,IF(S128&gt;'Dashboard Visualization'!$U$1,'Dashboard Visualization'!$U$1,S128))</f>
        <v>7.2999999999999995E-2</v>
      </c>
      <c r="U128" s="20">
        <f t="shared" si="15"/>
        <v>60358.254951780007</v>
      </c>
      <c r="V128" s="20">
        <f t="shared" si="16"/>
        <v>19914.094951780011</v>
      </c>
      <c r="W128" s="22">
        <f t="shared" si="12"/>
        <v>0.32993158877255996</v>
      </c>
      <c r="X128" s="28" t="str">
        <f>TEXT(B128,"MMM-YYYY")</f>
        <v>Jun-2024</v>
      </c>
      <c r="Y128" s="7" t="str">
        <f t="shared" si="17"/>
        <v>Q2-2024</v>
      </c>
      <c r="Z128" s="7" t="str">
        <f t="shared" si="18"/>
        <v>Medium Price</v>
      </c>
      <c r="AA128" s="7" t="str">
        <f t="shared" si="19"/>
        <v>Q2</v>
      </c>
      <c r="AB128" s="28" t="str">
        <f t="shared" si="20"/>
        <v>Jun</v>
      </c>
      <c r="AC128" s="28" t="str">
        <f t="shared" si="21"/>
        <v>2024</v>
      </c>
    </row>
    <row r="129" spans="1:29" x14ac:dyDescent="0.25">
      <c r="A129" s="4" t="s">
        <v>142</v>
      </c>
      <c r="B129" s="14">
        <v>45874</v>
      </c>
      <c r="C129" s="14">
        <v>45883</v>
      </c>
      <c r="D129" s="16">
        <f t="shared" si="13"/>
        <v>9</v>
      </c>
      <c r="E129" s="4" t="s">
        <v>649</v>
      </c>
      <c r="F129" s="4" t="s">
        <v>658</v>
      </c>
      <c r="G129" s="4" t="s">
        <v>683</v>
      </c>
      <c r="H129" s="4" t="s">
        <v>703</v>
      </c>
      <c r="I129" s="4" t="s">
        <v>711</v>
      </c>
      <c r="J129" s="4" t="s">
        <v>718</v>
      </c>
      <c r="K129" s="4" t="s">
        <v>727</v>
      </c>
      <c r="L129" s="4" t="s">
        <v>861</v>
      </c>
      <c r="M129" s="9">
        <v>23</v>
      </c>
      <c r="N129" s="16">
        <f>ROUND(IF('Dashboard Visualization'!$U$3="",'Working Data'!$M129,'Working Data'!$M129*(100% +'Dashboard Visualization'!$U$3)),0)</f>
        <v>23</v>
      </c>
      <c r="O129" s="19">
        <v>41.76</v>
      </c>
      <c r="P129" s="20">
        <f>IF('Dashboard Visualization'!$U$2="",'Working Data'!$O129*'Working Data'!$N129,'Working Data'!$O129*'Working Data'!$N129*(100%+'Dashboard Visualization'!$U$2))</f>
        <v>960.4799999999999</v>
      </c>
      <c r="Q129" s="19">
        <v>45.19</v>
      </c>
      <c r="R129" s="20">
        <f t="shared" si="14"/>
        <v>37.100989999999996</v>
      </c>
      <c r="S129" s="11">
        <v>0.17899999999999999</v>
      </c>
      <c r="T129" s="22">
        <f>IF('Dashboard Visualization'!$U$1="",$S129,IF(S129&gt;'Dashboard Visualization'!$U$1,'Dashboard Visualization'!$U$1,S129))</f>
        <v>0.17899999999999999</v>
      </c>
      <c r="U129" s="20">
        <f t="shared" si="15"/>
        <v>700.5779941699999</v>
      </c>
      <c r="V129" s="20">
        <f t="shared" si="16"/>
        <v>-259.90200583000001</v>
      </c>
      <c r="W129" s="22">
        <f t="shared" si="12"/>
        <v>0</v>
      </c>
      <c r="X129" s="28" t="str">
        <f>TEXT(B129,"MMM-YYYY")</f>
        <v>Aug-2025</v>
      </c>
      <c r="Y129" s="7" t="str">
        <f t="shared" si="17"/>
        <v>Q3-2025</v>
      </c>
      <c r="Z129" s="7" t="str">
        <f t="shared" si="18"/>
        <v>Low Price</v>
      </c>
      <c r="AA129" s="7" t="str">
        <f t="shared" si="19"/>
        <v>Q3</v>
      </c>
      <c r="AB129" s="28" t="str">
        <f t="shared" si="20"/>
        <v>Aug</v>
      </c>
      <c r="AC129" s="28" t="str">
        <f t="shared" si="21"/>
        <v>2025</v>
      </c>
    </row>
    <row r="130" spans="1:29" x14ac:dyDescent="0.25">
      <c r="A130" s="4" t="s">
        <v>143</v>
      </c>
      <c r="B130" s="14">
        <v>45442</v>
      </c>
      <c r="C130" s="14">
        <v>45456</v>
      </c>
      <c r="D130" s="16">
        <f t="shared" si="13"/>
        <v>14</v>
      </c>
      <c r="E130" s="4" t="s">
        <v>648</v>
      </c>
      <c r="F130" s="4" t="s">
        <v>660</v>
      </c>
      <c r="G130" s="4" t="s">
        <v>686</v>
      </c>
      <c r="H130" s="4" t="s">
        <v>705</v>
      </c>
      <c r="I130" s="4" t="s">
        <v>707</v>
      </c>
      <c r="J130" s="4" t="s">
        <v>721</v>
      </c>
      <c r="K130" s="4" t="s">
        <v>730</v>
      </c>
      <c r="L130" s="4" t="s">
        <v>862</v>
      </c>
      <c r="M130" s="9">
        <v>9</v>
      </c>
      <c r="N130" s="16">
        <f>ROUND(IF('Dashboard Visualization'!$U$3="",'Working Data'!$M130,'Working Data'!$M130*(100% +'Dashboard Visualization'!$U$3)),0)</f>
        <v>9</v>
      </c>
      <c r="O130" s="19">
        <v>157.78</v>
      </c>
      <c r="P130" s="20">
        <f>IF('Dashboard Visualization'!$U$2="",'Working Data'!$O130*'Working Data'!$N130,'Working Data'!$O130*'Working Data'!$N130*(100%+'Dashboard Visualization'!$U$2))</f>
        <v>1420.02</v>
      </c>
      <c r="Q130" s="19">
        <v>361.1</v>
      </c>
      <c r="R130" s="20">
        <f t="shared" si="14"/>
        <v>293.57429999999999</v>
      </c>
      <c r="S130" s="11">
        <v>0.187</v>
      </c>
      <c r="T130" s="22">
        <f>IF('Dashboard Visualization'!$U$1="",$S130,IF(S130&gt;'Dashboard Visualization'!$U$1,'Dashboard Visualization'!$U$1,S130))</f>
        <v>0.187</v>
      </c>
      <c r="U130" s="20">
        <f t="shared" si="15"/>
        <v>2148.0831530999999</v>
      </c>
      <c r="V130" s="20">
        <f t="shared" si="16"/>
        <v>728.06315309999991</v>
      </c>
      <c r="W130" s="22">
        <f t="shared" ref="W130:W193" si="22">IFERROR(IF(V130&lt;=0,0,V130/U130),0)</f>
        <v>0.33893620554180953</v>
      </c>
      <c r="X130" s="28" t="str">
        <f>TEXT(B130,"MMM-YYYY")</f>
        <v>May-2024</v>
      </c>
      <c r="Y130" s="7" t="str">
        <f t="shared" si="17"/>
        <v>Q2-2024</v>
      </c>
      <c r="Z130" s="7" t="str">
        <f t="shared" si="18"/>
        <v>Low Price</v>
      </c>
      <c r="AA130" s="7" t="str">
        <f t="shared" si="19"/>
        <v>Q2</v>
      </c>
      <c r="AB130" s="28" t="str">
        <f t="shared" si="20"/>
        <v>May</v>
      </c>
      <c r="AC130" s="28" t="str">
        <f t="shared" si="21"/>
        <v>2024</v>
      </c>
    </row>
    <row r="131" spans="1:29" x14ac:dyDescent="0.25">
      <c r="A131" s="4" t="s">
        <v>144</v>
      </c>
      <c r="B131" s="14">
        <v>44948</v>
      </c>
      <c r="C131" s="14">
        <v>44956</v>
      </c>
      <c r="D131" s="16">
        <f t="shared" ref="D131:D194" si="23">IFERROR(DATEDIF(B131,C131,"D"),"")</f>
        <v>8</v>
      </c>
      <c r="E131" s="4" t="s">
        <v>648</v>
      </c>
      <c r="F131" s="4" t="s">
        <v>660</v>
      </c>
      <c r="G131" s="4" t="s">
        <v>686</v>
      </c>
      <c r="H131" s="4" t="s">
        <v>705</v>
      </c>
      <c r="I131" s="4" t="s">
        <v>708</v>
      </c>
      <c r="J131" s="4" t="s">
        <v>720</v>
      </c>
      <c r="K131" s="4" t="s">
        <v>729</v>
      </c>
      <c r="L131" s="4" t="s">
        <v>863</v>
      </c>
      <c r="M131" s="9">
        <v>18</v>
      </c>
      <c r="N131" s="16">
        <f>ROUND(IF('Dashboard Visualization'!$U$3="",'Working Data'!$M131,'Working Data'!$M131*(100% +'Dashboard Visualization'!$U$3)),0)</f>
        <v>18</v>
      </c>
      <c r="O131" s="19">
        <v>413.52</v>
      </c>
      <c r="P131" s="20">
        <f>IF('Dashboard Visualization'!$U$2="",'Working Data'!$O131*'Working Data'!$N131,'Working Data'!$O131*'Working Data'!$N131*(100%+'Dashboard Visualization'!$U$2))</f>
        <v>7443.36</v>
      </c>
      <c r="Q131" s="19">
        <v>1004.34</v>
      </c>
      <c r="R131" s="20">
        <f t="shared" ref="R131:R194" si="24">(1-T131)*Q131</f>
        <v>892.85826000000009</v>
      </c>
      <c r="S131" s="11">
        <v>0.111</v>
      </c>
      <c r="T131" s="22">
        <f>IF('Dashboard Visualization'!$U$1="",$S131,IF(S131&gt;'Dashboard Visualization'!$U$1,'Dashboard Visualization'!$U$1,S131))</f>
        <v>0.111</v>
      </c>
      <c r="U131" s="20">
        <f t="shared" ref="U131:U194" si="25">IFERROR(R131*(1-T131)*N131,"-")</f>
        <v>14287.517876520002</v>
      </c>
      <c r="V131" s="20">
        <f t="shared" ref="V131:V194" si="26">IFERROR(U131-P131,"-")</f>
        <v>6844.157876520002</v>
      </c>
      <c r="W131" s="22">
        <f t="shared" si="22"/>
        <v>0.47903057309678954</v>
      </c>
      <c r="X131" s="28" t="str">
        <f>TEXT(B131,"MMM-YYYY")</f>
        <v>Jan-2023</v>
      </c>
      <c r="Y131" s="7" t="str">
        <f t="shared" ref="Y131:Y194" si="27">"Q" &amp; ROUNDUP(MONTH(X131)/3,0) &amp; "-" &amp; TEXT(X131,"YYYY")</f>
        <v>Q1-2023</v>
      </c>
      <c r="Z131" s="7" t="str">
        <f t="shared" ref="Z131:Z194" si="28">IF(R131&lt;QUARTILE(R:R,1), "Low Price", IF(R131&lt;QUARTILE(R:R,3), "High Price", "Medium Price"))</f>
        <v>High Price</v>
      </c>
      <c r="AA131" s="7" t="str">
        <f t="shared" ref="AA131:AA194" si="29">"Q"&amp;ROUNDUP(MONTH(X131)/3,0)</f>
        <v>Q1</v>
      </c>
      <c r="AB131" s="28" t="str">
        <f t="shared" ref="AB131:AB194" si="30">TEXT(X131,"MMM")</f>
        <v>Jan</v>
      </c>
      <c r="AC131" s="28" t="str">
        <f t="shared" ref="AC131:AC194" si="31">TEXT(X131,"YYYY")</f>
        <v>2023</v>
      </c>
    </row>
    <row r="132" spans="1:29" x14ac:dyDescent="0.25">
      <c r="A132" s="4" t="s">
        <v>145</v>
      </c>
      <c r="B132" s="14">
        <v>45700</v>
      </c>
      <c r="C132" s="14">
        <v>45716</v>
      </c>
      <c r="D132" s="16">
        <f t="shared" si="23"/>
        <v>16</v>
      </c>
      <c r="E132" s="4" t="s">
        <v>648</v>
      </c>
      <c r="F132" s="4" t="s">
        <v>655</v>
      </c>
      <c r="G132" s="4" t="s">
        <v>670</v>
      </c>
      <c r="H132" s="4" t="s">
        <v>703</v>
      </c>
      <c r="I132" s="4" t="s">
        <v>711</v>
      </c>
      <c r="J132" s="4" t="s">
        <v>717</v>
      </c>
      <c r="K132" s="4" t="s">
        <v>732</v>
      </c>
      <c r="L132" s="4" t="s">
        <v>864</v>
      </c>
      <c r="M132" s="9">
        <v>8</v>
      </c>
      <c r="N132" s="16">
        <f>ROUND(IF('Dashboard Visualization'!$U$3="",'Working Data'!$M132,'Working Data'!$M132*(100% +'Dashboard Visualization'!$U$3)),0)</f>
        <v>8</v>
      </c>
      <c r="O132" s="19">
        <v>414.95</v>
      </c>
      <c r="P132" s="20">
        <f>IF('Dashboard Visualization'!$U$2="",'Working Data'!$O132*'Working Data'!$N132,'Working Data'!$O132*'Working Data'!$N132*(100%+'Dashboard Visualization'!$U$2))</f>
        <v>3319.6</v>
      </c>
      <c r="Q132" s="19">
        <v>1027.73</v>
      </c>
      <c r="R132" s="20">
        <f t="shared" si="24"/>
        <v>962.98301000000004</v>
      </c>
      <c r="S132" s="11">
        <v>6.3E-2</v>
      </c>
      <c r="T132" s="22">
        <f>IF('Dashboard Visualization'!$U$1="",$S132,IF(S132&gt;'Dashboard Visualization'!$U$1,'Dashboard Visualization'!$U$1,S132))</f>
        <v>6.3E-2</v>
      </c>
      <c r="U132" s="20">
        <f t="shared" si="25"/>
        <v>7218.5206429600003</v>
      </c>
      <c r="V132" s="20">
        <f t="shared" si="26"/>
        <v>3898.9206429600004</v>
      </c>
      <c r="W132" s="22">
        <f t="shared" si="22"/>
        <v>0.54012738008341044</v>
      </c>
      <c r="X132" s="28" t="str">
        <f>TEXT(B132,"MMM-YYYY")</f>
        <v>Feb-2025</v>
      </c>
      <c r="Y132" s="7" t="str">
        <f t="shared" si="27"/>
        <v>Q1-2025</v>
      </c>
      <c r="Z132" s="7" t="str">
        <f t="shared" si="28"/>
        <v>High Price</v>
      </c>
      <c r="AA132" s="7" t="str">
        <f t="shared" si="29"/>
        <v>Q1</v>
      </c>
      <c r="AB132" s="28" t="str">
        <f t="shared" si="30"/>
        <v>Feb</v>
      </c>
      <c r="AC132" s="28" t="str">
        <f t="shared" si="31"/>
        <v>2025</v>
      </c>
    </row>
    <row r="133" spans="1:29" x14ac:dyDescent="0.25">
      <c r="A133" s="4" t="s">
        <v>146</v>
      </c>
      <c r="B133" s="14">
        <v>45719</v>
      </c>
      <c r="C133" s="14">
        <v>45740</v>
      </c>
      <c r="D133" s="16">
        <f t="shared" si="23"/>
        <v>21</v>
      </c>
      <c r="E133" s="4" t="s">
        <v>646</v>
      </c>
      <c r="F133" s="4" t="s">
        <v>651</v>
      </c>
      <c r="G133" s="4" t="s">
        <v>669</v>
      </c>
      <c r="H133" s="4" t="s">
        <v>706</v>
      </c>
      <c r="I133" s="4" t="s">
        <v>711</v>
      </c>
      <c r="J133" s="4" t="s">
        <v>722</v>
      </c>
      <c r="K133" s="4" t="s">
        <v>733</v>
      </c>
      <c r="L133" s="4" t="s">
        <v>865</v>
      </c>
      <c r="M133" s="9">
        <v>11</v>
      </c>
      <c r="N133" s="16">
        <f>ROUND(IF('Dashboard Visualization'!$U$3="",'Working Data'!$M133,'Working Data'!$M133*(100% +'Dashboard Visualization'!$U$3)),0)</f>
        <v>11</v>
      </c>
      <c r="O133" s="19">
        <v>555.95000000000005</v>
      </c>
      <c r="P133" s="20">
        <f>IF('Dashboard Visualization'!$U$2="",'Working Data'!$O133*'Working Data'!$N133,'Working Data'!$O133*'Working Data'!$N133*(100%+'Dashboard Visualization'!$U$2))</f>
        <v>6115.4500000000007</v>
      </c>
      <c r="Q133" s="19">
        <v>468.09</v>
      </c>
      <c r="R133" s="20">
        <f t="shared" si="24"/>
        <v>401.62121999999999</v>
      </c>
      <c r="S133" s="11">
        <v>0.14199999999999999</v>
      </c>
      <c r="T133" s="22">
        <f>IF('Dashboard Visualization'!$U$1="",$S133,IF(S133&gt;'Dashboard Visualization'!$U$1,'Dashboard Visualization'!$U$1,S133))</f>
        <v>0.14199999999999999</v>
      </c>
      <c r="U133" s="20">
        <f t="shared" si="25"/>
        <v>3790.5010743599996</v>
      </c>
      <c r="V133" s="20">
        <f t="shared" si="26"/>
        <v>-2324.9489256400011</v>
      </c>
      <c r="W133" s="22">
        <f t="shared" si="22"/>
        <v>0</v>
      </c>
      <c r="X133" s="28" t="str">
        <f>TEXT(B133,"MMM-YYYY")</f>
        <v>Mar-2025</v>
      </c>
      <c r="Y133" s="7" t="str">
        <f t="shared" si="27"/>
        <v>Q1-2025</v>
      </c>
      <c r="Z133" s="7" t="str">
        <f t="shared" si="28"/>
        <v>Low Price</v>
      </c>
      <c r="AA133" s="7" t="str">
        <f t="shared" si="29"/>
        <v>Q1</v>
      </c>
      <c r="AB133" s="28" t="str">
        <f t="shared" si="30"/>
        <v>Mar</v>
      </c>
      <c r="AC133" s="28" t="str">
        <f t="shared" si="31"/>
        <v>2025</v>
      </c>
    </row>
    <row r="134" spans="1:29" x14ac:dyDescent="0.25">
      <c r="A134" s="4" t="s">
        <v>147</v>
      </c>
      <c r="B134" s="14">
        <v>44953</v>
      </c>
      <c r="C134" s="14">
        <v>44957</v>
      </c>
      <c r="D134" s="16">
        <f t="shared" si="23"/>
        <v>4</v>
      </c>
      <c r="E134" s="4" t="s">
        <v>649</v>
      </c>
      <c r="F134" s="4" t="s">
        <v>658</v>
      </c>
      <c r="G134" s="4" t="s">
        <v>693</v>
      </c>
      <c r="H134" s="4" t="s">
        <v>706</v>
      </c>
      <c r="I134" s="4" t="s">
        <v>708</v>
      </c>
      <c r="J134" s="4" t="s">
        <v>725</v>
      </c>
      <c r="K134" s="4" t="s">
        <v>731</v>
      </c>
      <c r="L134" s="4" t="s">
        <v>866</v>
      </c>
      <c r="M134" s="9">
        <v>16</v>
      </c>
      <c r="N134" s="16">
        <f>ROUND(IF('Dashboard Visualization'!$U$3="",'Working Data'!$M134,'Working Data'!$M134*(100% +'Dashboard Visualization'!$U$3)),0)</f>
        <v>16</v>
      </c>
      <c r="O134" s="19">
        <v>941.2</v>
      </c>
      <c r="P134" s="20">
        <f>IF('Dashboard Visualization'!$U$2="",'Working Data'!$O134*'Working Data'!$N134,'Working Data'!$O134*'Working Data'!$N134*(100%+'Dashboard Visualization'!$U$2))</f>
        <v>15059.2</v>
      </c>
      <c r="Q134" s="19">
        <v>668.02</v>
      </c>
      <c r="R134" s="20">
        <f t="shared" si="24"/>
        <v>521.05560000000003</v>
      </c>
      <c r="S134" s="11">
        <v>0.22</v>
      </c>
      <c r="T134" s="22">
        <f>IF('Dashboard Visualization'!$U$1="",$S134,IF(S134&gt;'Dashboard Visualization'!$U$1,'Dashboard Visualization'!$U$1,S134))</f>
        <v>0.22</v>
      </c>
      <c r="U134" s="20">
        <f t="shared" si="25"/>
        <v>6502.7738880000006</v>
      </c>
      <c r="V134" s="20">
        <f t="shared" si="26"/>
        <v>-8556.426112000001</v>
      </c>
      <c r="W134" s="22">
        <f t="shared" si="22"/>
        <v>0</v>
      </c>
      <c r="X134" s="28" t="str">
        <f>TEXT(B134,"MMM-YYYY")</f>
        <v>Jan-2023</v>
      </c>
      <c r="Y134" s="7" t="str">
        <f t="shared" si="27"/>
        <v>Q1-2023</v>
      </c>
      <c r="Z134" s="7" t="str">
        <f t="shared" si="28"/>
        <v>Low Price</v>
      </c>
      <c r="AA134" s="7" t="str">
        <f t="shared" si="29"/>
        <v>Q1</v>
      </c>
      <c r="AB134" s="28" t="str">
        <f t="shared" si="30"/>
        <v>Jan</v>
      </c>
      <c r="AC134" s="28" t="str">
        <f t="shared" si="31"/>
        <v>2023</v>
      </c>
    </row>
    <row r="135" spans="1:29" x14ac:dyDescent="0.25">
      <c r="A135" s="4" t="s">
        <v>148</v>
      </c>
      <c r="B135" s="14">
        <v>45666</v>
      </c>
      <c r="C135" s="14">
        <v>45672</v>
      </c>
      <c r="D135" s="16">
        <f t="shared" si="23"/>
        <v>6</v>
      </c>
      <c r="E135" s="4" t="s">
        <v>647</v>
      </c>
      <c r="F135" s="4" t="s">
        <v>659</v>
      </c>
      <c r="G135" s="4" t="s">
        <v>699</v>
      </c>
      <c r="H135" s="4" t="s">
        <v>702</v>
      </c>
      <c r="I135" s="4" t="s">
        <v>708</v>
      </c>
      <c r="J135" s="4" t="s">
        <v>712</v>
      </c>
      <c r="K135" s="4" t="s">
        <v>730</v>
      </c>
      <c r="L135" s="4" t="s">
        <v>867</v>
      </c>
      <c r="M135" s="9">
        <v>8</v>
      </c>
      <c r="N135" s="16">
        <f>ROUND(IF('Dashboard Visualization'!$U$3="",'Working Data'!$M135,'Working Data'!$M135*(100% +'Dashboard Visualization'!$U$3)),0)</f>
        <v>8</v>
      </c>
      <c r="O135" s="19">
        <v>304.77999999999997</v>
      </c>
      <c r="P135" s="20">
        <f>IF('Dashboard Visualization'!$U$2="",'Working Data'!$O135*'Working Data'!$N135,'Working Data'!$O135*'Working Data'!$N135*(100%+'Dashboard Visualization'!$U$2))</f>
        <v>2438.2399999999998</v>
      </c>
      <c r="Q135" s="19">
        <v>537.27</v>
      </c>
      <c r="R135" s="20">
        <f t="shared" si="24"/>
        <v>436.80050999999997</v>
      </c>
      <c r="S135" s="11">
        <v>0.187</v>
      </c>
      <c r="T135" s="22">
        <f>IF('Dashboard Visualization'!$U$1="",$S135,IF(S135&gt;'Dashboard Visualization'!$U$1,'Dashboard Visualization'!$U$1,S135))</f>
        <v>0.187</v>
      </c>
      <c r="U135" s="20">
        <f t="shared" si="25"/>
        <v>2840.9505170399998</v>
      </c>
      <c r="V135" s="20">
        <f t="shared" si="26"/>
        <v>402.71051704000001</v>
      </c>
      <c r="W135" s="22">
        <f t="shared" si="22"/>
        <v>0.14175203497017824</v>
      </c>
      <c r="X135" s="28" t="str">
        <f>TEXT(B135,"MMM-YYYY")</f>
        <v>Jan-2025</v>
      </c>
      <c r="Y135" s="7" t="str">
        <f t="shared" si="27"/>
        <v>Q1-2025</v>
      </c>
      <c r="Z135" s="7" t="str">
        <f t="shared" si="28"/>
        <v>Low Price</v>
      </c>
      <c r="AA135" s="7" t="str">
        <f t="shared" si="29"/>
        <v>Q1</v>
      </c>
      <c r="AB135" s="28" t="str">
        <f t="shared" si="30"/>
        <v>Jan</v>
      </c>
      <c r="AC135" s="28" t="str">
        <f t="shared" si="31"/>
        <v>2025</v>
      </c>
    </row>
    <row r="136" spans="1:29" x14ac:dyDescent="0.25">
      <c r="A136" s="4" t="s">
        <v>149</v>
      </c>
      <c r="B136" s="14">
        <v>45647</v>
      </c>
      <c r="C136" s="14">
        <v>45652</v>
      </c>
      <c r="D136" s="16">
        <f t="shared" si="23"/>
        <v>5</v>
      </c>
      <c r="E136" s="4" t="s">
        <v>648</v>
      </c>
      <c r="F136" s="4" t="s">
        <v>660</v>
      </c>
      <c r="G136" s="4" t="s">
        <v>686</v>
      </c>
      <c r="H136" s="4" t="s">
        <v>704</v>
      </c>
      <c r="I136" s="4" t="s">
        <v>709</v>
      </c>
      <c r="J136" s="4" t="s">
        <v>724</v>
      </c>
      <c r="K136" s="4" t="s">
        <v>728</v>
      </c>
      <c r="L136" s="4" t="s">
        <v>868</v>
      </c>
      <c r="M136" s="9">
        <v>26</v>
      </c>
      <c r="N136" s="16">
        <f>ROUND(IF('Dashboard Visualization'!$U$3="",'Working Data'!$M136,'Working Data'!$M136*(100% +'Dashboard Visualization'!$U$3)),0)</f>
        <v>26</v>
      </c>
      <c r="O136" s="19">
        <v>699.57</v>
      </c>
      <c r="P136" s="20">
        <f>IF('Dashboard Visualization'!$U$2="",'Working Data'!$O136*'Working Data'!$N136,'Working Data'!$O136*'Working Data'!$N136*(100%+'Dashboard Visualization'!$U$2))</f>
        <v>18188.82</v>
      </c>
      <c r="Q136" s="19">
        <v>572.71</v>
      </c>
      <c r="R136" s="20">
        <f t="shared" si="24"/>
        <v>462.74968000000007</v>
      </c>
      <c r="S136" s="11">
        <v>0.192</v>
      </c>
      <c r="T136" s="22">
        <f>IF('Dashboard Visualization'!$U$1="",$S136,IF(S136&gt;'Dashboard Visualization'!$U$1,'Dashboard Visualization'!$U$1,S136))</f>
        <v>0.192</v>
      </c>
      <c r="U136" s="20">
        <f t="shared" si="25"/>
        <v>9721.4452774400015</v>
      </c>
      <c r="V136" s="20">
        <f t="shared" si="26"/>
        <v>-8467.3747225599982</v>
      </c>
      <c r="W136" s="22">
        <f t="shared" si="22"/>
        <v>0</v>
      </c>
      <c r="X136" s="28" t="str">
        <f>TEXT(B136,"MMM-YYYY")</f>
        <v>Dec-2024</v>
      </c>
      <c r="Y136" s="7" t="str">
        <f t="shared" si="27"/>
        <v>Q4-2024</v>
      </c>
      <c r="Z136" s="7" t="str">
        <f t="shared" si="28"/>
        <v>Low Price</v>
      </c>
      <c r="AA136" s="7" t="str">
        <f t="shared" si="29"/>
        <v>Q4</v>
      </c>
      <c r="AB136" s="28" t="str">
        <f t="shared" si="30"/>
        <v>Dec</v>
      </c>
      <c r="AC136" s="28" t="str">
        <f t="shared" si="31"/>
        <v>2024</v>
      </c>
    </row>
    <row r="137" spans="1:29" x14ac:dyDescent="0.25">
      <c r="A137" s="4" t="s">
        <v>150</v>
      </c>
      <c r="B137" s="14">
        <v>45028</v>
      </c>
      <c r="C137" s="14">
        <v>45033</v>
      </c>
      <c r="D137" s="16">
        <f t="shared" si="23"/>
        <v>5</v>
      </c>
      <c r="E137" s="4" t="s">
        <v>649</v>
      </c>
      <c r="F137" s="4" t="s">
        <v>657</v>
      </c>
      <c r="G137" s="4" t="s">
        <v>679</v>
      </c>
      <c r="H137" s="4" t="s">
        <v>706</v>
      </c>
      <c r="I137" s="4" t="s">
        <v>711</v>
      </c>
      <c r="J137" s="4" t="s">
        <v>718</v>
      </c>
      <c r="K137" s="4" t="s">
        <v>732</v>
      </c>
      <c r="L137" s="4" t="s">
        <v>869</v>
      </c>
      <c r="M137" s="9">
        <v>13</v>
      </c>
      <c r="N137" s="16">
        <f>ROUND(IF('Dashboard Visualization'!$U$3="",'Working Data'!$M137,'Working Data'!$M137*(100% +'Dashboard Visualization'!$U$3)),0)</f>
        <v>13</v>
      </c>
      <c r="O137" s="19">
        <v>1087.81</v>
      </c>
      <c r="P137" s="20">
        <f>IF('Dashboard Visualization'!$U$2="",'Working Data'!$O137*'Working Data'!$N137,'Working Data'!$O137*'Working Data'!$N137*(100%+'Dashboard Visualization'!$U$2))</f>
        <v>14141.529999999999</v>
      </c>
      <c r="Q137" s="19">
        <v>2323.87</v>
      </c>
      <c r="R137" s="20">
        <f t="shared" si="24"/>
        <v>2105.4262199999998</v>
      </c>
      <c r="S137" s="11">
        <v>9.4E-2</v>
      </c>
      <c r="T137" s="22">
        <f>IF('Dashboard Visualization'!$U$1="",$S137,IF(S137&gt;'Dashboard Visualization'!$U$1,'Dashboard Visualization'!$U$1,S137))</f>
        <v>9.4E-2</v>
      </c>
      <c r="U137" s="20">
        <f t="shared" si="25"/>
        <v>24797.710019159997</v>
      </c>
      <c r="V137" s="20">
        <f t="shared" si="26"/>
        <v>10656.180019159998</v>
      </c>
      <c r="W137" s="22">
        <f t="shared" si="22"/>
        <v>0.42972435805267828</v>
      </c>
      <c r="X137" s="28" t="str">
        <f>TEXT(B137,"MMM-YYYY")</f>
        <v>Apr-2023</v>
      </c>
      <c r="Y137" s="7" t="str">
        <f t="shared" si="27"/>
        <v>Q2-2023</v>
      </c>
      <c r="Z137" s="7" t="str">
        <f t="shared" si="28"/>
        <v>Medium Price</v>
      </c>
      <c r="AA137" s="7" t="str">
        <f t="shared" si="29"/>
        <v>Q2</v>
      </c>
      <c r="AB137" s="28" t="str">
        <f t="shared" si="30"/>
        <v>Apr</v>
      </c>
      <c r="AC137" s="28" t="str">
        <f t="shared" si="31"/>
        <v>2023</v>
      </c>
    </row>
    <row r="138" spans="1:29" x14ac:dyDescent="0.25">
      <c r="A138" s="4" t="s">
        <v>151</v>
      </c>
      <c r="B138" s="14">
        <v>45640</v>
      </c>
      <c r="C138" s="14">
        <v>45669</v>
      </c>
      <c r="D138" s="16">
        <f t="shared" si="23"/>
        <v>29</v>
      </c>
      <c r="E138" s="4" t="s">
        <v>647</v>
      </c>
      <c r="F138" s="4" t="s">
        <v>659</v>
      </c>
      <c r="G138" s="4" t="s">
        <v>676</v>
      </c>
      <c r="H138" s="4" t="s">
        <v>702</v>
      </c>
      <c r="I138" s="4" t="s">
        <v>708</v>
      </c>
      <c r="J138" s="4" t="s">
        <v>713</v>
      </c>
      <c r="K138" s="4" t="s">
        <v>727</v>
      </c>
      <c r="L138" s="4" t="s">
        <v>870</v>
      </c>
      <c r="M138" s="9">
        <v>6</v>
      </c>
      <c r="N138" s="16">
        <f>ROUND(IF('Dashboard Visualization'!$U$3="",'Working Data'!$M138,'Working Data'!$M138*(100% +'Dashboard Visualization'!$U$3)),0)</f>
        <v>6</v>
      </c>
      <c r="O138" s="19">
        <v>1412.15</v>
      </c>
      <c r="P138" s="20">
        <f>IF('Dashboard Visualization'!$U$2="",'Working Data'!$O138*'Working Data'!$N138,'Working Data'!$O138*'Working Data'!$N138*(100%+'Dashboard Visualization'!$U$2))</f>
        <v>8472.9000000000015</v>
      </c>
      <c r="Q138" s="19">
        <v>1631.04</v>
      </c>
      <c r="R138" s="20">
        <f t="shared" si="24"/>
        <v>1616.3606399999999</v>
      </c>
      <c r="S138" s="11">
        <v>8.9999999999999993E-3</v>
      </c>
      <c r="T138" s="22">
        <f>IF('Dashboard Visualization'!$U$1="",$S138,IF(S138&gt;'Dashboard Visualization'!$U$1,'Dashboard Visualization'!$U$1,S138))</f>
        <v>8.9999999999999993E-3</v>
      </c>
      <c r="U138" s="20">
        <f t="shared" si="25"/>
        <v>9610.8803654399981</v>
      </c>
      <c r="V138" s="20">
        <f t="shared" si="26"/>
        <v>1137.9803654399966</v>
      </c>
      <c r="W138" s="22">
        <f t="shared" si="22"/>
        <v>0.11840542407874395</v>
      </c>
      <c r="X138" s="28" t="str">
        <f>TEXT(B138,"MMM-YYYY")</f>
        <v>Dec-2024</v>
      </c>
      <c r="Y138" s="7" t="str">
        <f t="shared" si="27"/>
        <v>Q4-2024</v>
      </c>
      <c r="Z138" s="7" t="str">
        <f t="shared" si="28"/>
        <v>High Price</v>
      </c>
      <c r="AA138" s="7" t="str">
        <f t="shared" si="29"/>
        <v>Q4</v>
      </c>
      <c r="AB138" s="28" t="str">
        <f t="shared" si="30"/>
        <v>Dec</v>
      </c>
      <c r="AC138" s="28" t="str">
        <f t="shared" si="31"/>
        <v>2024</v>
      </c>
    </row>
    <row r="139" spans="1:29" x14ac:dyDescent="0.25">
      <c r="A139" s="4" t="s">
        <v>152</v>
      </c>
      <c r="B139" s="14">
        <v>45016</v>
      </c>
      <c r="C139" s="14">
        <v>45028</v>
      </c>
      <c r="D139" s="16">
        <f t="shared" si="23"/>
        <v>12</v>
      </c>
      <c r="E139" s="4" t="s">
        <v>646</v>
      </c>
      <c r="F139" s="4" t="s">
        <v>650</v>
      </c>
      <c r="G139" s="4" t="s">
        <v>675</v>
      </c>
      <c r="H139" s="4" t="s">
        <v>705</v>
      </c>
      <c r="I139" s="4" t="s">
        <v>708</v>
      </c>
      <c r="J139" s="4" t="s">
        <v>712</v>
      </c>
      <c r="K139" s="4" t="s">
        <v>730</v>
      </c>
      <c r="L139" s="4" t="s">
        <v>871</v>
      </c>
      <c r="M139" s="9">
        <v>15</v>
      </c>
      <c r="N139" s="16">
        <f>ROUND(IF('Dashboard Visualization'!$U$3="",'Working Data'!$M139,'Working Data'!$M139*(100% +'Dashboard Visualization'!$U$3)),0)</f>
        <v>15</v>
      </c>
      <c r="O139" s="19">
        <v>304.22000000000003</v>
      </c>
      <c r="P139" s="20">
        <f>IF('Dashboard Visualization'!$U$2="",'Working Data'!$O139*'Working Data'!$N139,'Working Data'!$O139*'Working Data'!$N139*(100%+'Dashboard Visualization'!$U$2))</f>
        <v>4563.3</v>
      </c>
      <c r="Q139" s="19">
        <v>393.31</v>
      </c>
      <c r="R139" s="20">
        <f t="shared" si="24"/>
        <v>289.08285000000001</v>
      </c>
      <c r="S139" s="11">
        <v>0.26500000000000001</v>
      </c>
      <c r="T139" s="22">
        <f>IF('Dashboard Visualization'!$U$1="",$S139,IF(S139&gt;'Dashboard Visualization'!$U$1,'Dashboard Visualization'!$U$1,S139))</f>
        <v>0.26500000000000001</v>
      </c>
      <c r="U139" s="20">
        <f t="shared" si="25"/>
        <v>3187.1384212500002</v>
      </c>
      <c r="V139" s="20">
        <f t="shared" si="26"/>
        <v>-1376.16157875</v>
      </c>
      <c r="W139" s="22">
        <f t="shared" si="22"/>
        <v>0</v>
      </c>
      <c r="X139" s="28" t="str">
        <f>TEXT(B139,"MMM-YYYY")</f>
        <v>Mar-2023</v>
      </c>
      <c r="Y139" s="7" t="str">
        <f t="shared" si="27"/>
        <v>Q1-2023</v>
      </c>
      <c r="Z139" s="7" t="str">
        <f t="shared" si="28"/>
        <v>Low Price</v>
      </c>
      <c r="AA139" s="7" t="str">
        <f t="shared" si="29"/>
        <v>Q1</v>
      </c>
      <c r="AB139" s="28" t="str">
        <f t="shared" si="30"/>
        <v>Mar</v>
      </c>
      <c r="AC139" s="28" t="str">
        <f t="shared" si="31"/>
        <v>2023</v>
      </c>
    </row>
    <row r="140" spans="1:29" x14ac:dyDescent="0.25">
      <c r="A140" s="4" t="s">
        <v>153</v>
      </c>
      <c r="B140" s="14">
        <v>45616</v>
      </c>
      <c r="C140" s="14">
        <v>45641</v>
      </c>
      <c r="D140" s="16">
        <f t="shared" si="23"/>
        <v>25</v>
      </c>
      <c r="E140" s="4" t="s">
        <v>649</v>
      </c>
      <c r="F140" s="4" t="s">
        <v>657</v>
      </c>
      <c r="G140" s="4" t="s">
        <v>690</v>
      </c>
      <c r="H140" s="4" t="s">
        <v>701</v>
      </c>
      <c r="I140" s="4" t="s">
        <v>708</v>
      </c>
      <c r="J140" s="4" t="s">
        <v>715</v>
      </c>
      <c r="K140" s="4" t="s">
        <v>728</v>
      </c>
      <c r="L140" s="4" t="s">
        <v>872</v>
      </c>
      <c r="M140" s="9">
        <v>22</v>
      </c>
      <c r="N140" s="16">
        <f>ROUND(IF('Dashboard Visualization'!$U$3="",'Working Data'!$M140,'Working Data'!$M140*(100% +'Dashboard Visualization'!$U$3)),0)</f>
        <v>22</v>
      </c>
      <c r="O140" s="19">
        <v>1203.58</v>
      </c>
      <c r="P140" s="20">
        <f>IF('Dashboard Visualization'!$U$2="",'Working Data'!$O140*'Working Data'!$N140,'Working Data'!$O140*'Working Data'!$N140*(100%+'Dashboard Visualization'!$U$2))</f>
        <v>26478.76</v>
      </c>
      <c r="Q140" s="19">
        <v>1856.16</v>
      </c>
      <c r="R140" s="20">
        <f t="shared" si="24"/>
        <v>1616.7153600000001</v>
      </c>
      <c r="S140" s="11">
        <v>0.129</v>
      </c>
      <c r="T140" s="22">
        <f>IF('Dashboard Visualization'!$U$1="",$S140,IF(S140&gt;'Dashboard Visualization'!$U$1,'Dashboard Visualization'!$U$1,S140))</f>
        <v>0.129</v>
      </c>
      <c r="U140" s="20">
        <f t="shared" si="25"/>
        <v>30979.499728320003</v>
      </c>
      <c r="V140" s="20">
        <f t="shared" si="26"/>
        <v>4500.7397283200044</v>
      </c>
      <c r="W140" s="22">
        <f t="shared" si="22"/>
        <v>0.14528122686905881</v>
      </c>
      <c r="X140" s="28" t="str">
        <f>TEXT(B140,"MMM-YYYY")</f>
        <v>Nov-2024</v>
      </c>
      <c r="Y140" s="7" t="str">
        <f t="shared" si="27"/>
        <v>Q4-2024</v>
      </c>
      <c r="Z140" s="7" t="str">
        <f t="shared" si="28"/>
        <v>High Price</v>
      </c>
      <c r="AA140" s="7" t="str">
        <f t="shared" si="29"/>
        <v>Q4</v>
      </c>
      <c r="AB140" s="28" t="str">
        <f t="shared" si="30"/>
        <v>Nov</v>
      </c>
      <c r="AC140" s="28" t="str">
        <f t="shared" si="31"/>
        <v>2024</v>
      </c>
    </row>
    <row r="141" spans="1:29" x14ac:dyDescent="0.25">
      <c r="A141" s="4" t="s">
        <v>154</v>
      </c>
      <c r="B141" s="14">
        <v>45336</v>
      </c>
      <c r="C141" s="14">
        <v>45336</v>
      </c>
      <c r="D141" s="16">
        <f t="shared" si="23"/>
        <v>0</v>
      </c>
      <c r="E141" s="4" t="s">
        <v>647</v>
      </c>
      <c r="F141" s="4" t="s">
        <v>659</v>
      </c>
      <c r="G141" s="4" t="s">
        <v>699</v>
      </c>
      <c r="H141" s="4" t="s">
        <v>701</v>
      </c>
      <c r="I141" s="4" t="s">
        <v>710</v>
      </c>
      <c r="J141" s="4" t="s">
        <v>716</v>
      </c>
      <c r="K141" s="4" t="s">
        <v>733</v>
      </c>
      <c r="L141" s="4" t="s">
        <v>873</v>
      </c>
      <c r="M141" s="9">
        <v>23</v>
      </c>
      <c r="N141" s="16">
        <f>ROUND(IF('Dashboard Visualization'!$U$3="",'Working Data'!$M141,'Working Data'!$M141*(100% +'Dashboard Visualization'!$U$3)),0)</f>
        <v>23</v>
      </c>
      <c r="O141" s="19">
        <v>65.930000000000007</v>
      </c>
      <c r="P141" s="20">
        <f>IF('Dashboard Visualization'!$U$2="",'Working Data'!$O141*'Working Data'!$N141,'Working Data'!$O141*'Working Data'!$N141*(100%+'Dashboard Visualization'!$U$2))</f>
        <v>1516.39</v>
      </c>
      <c r="Q141" s="19">
        <v>84.9</v>
      </c>
      <c r="R141" s="20">
        <f t="shared" si="24"/>
        <v>62.910900000000005</v>
      </c>
      <c r="S141" s="11">
        <v>0.25900000000000001</v>
      </c>
      <c r="T141" s="22">
        <f>IF('Dashboard Visualization'!$U$1="",$S141,IF(S141&gt;'Dashboard Visualization'!$U$1,'Dashboard Visualization'!$U$1,S141))</f>
        <v>0.25900000000000001</v>
      </c>
      <c r="U141" s="20">
        <f t="shared" si="25"/>
        <v>1072.1904687000001</v>
      </c>
      <c r="V141" s="20">
        <f t="shared" si="26"/>
        <v>-444.19953129999999</v>
      </c>
      <c r="W141" s="22">
        <f t="shared" si="22"/>
        <v>0</v>
      </c>
      <c r="X141" s="28" t="str">
        <f>TEXT(B141,"MMM-YYYY")</f>
        <v>Feb-2024</v>
      </c>
      <c r="Y141" s="7" t="str">
        <f t="shared" si="27"/>
        <v>Q1-2024</v>
      </c>
      <c r="Z141" s="7" t="str">
        <f t="shared" si="28"/>
        <v>Low Price</v>
      </c>
      <c r="AA141" s="7" t="str">
        <f t="shared" si="29"/>
        <v>Q1</v>
      </c>
      <c r="AB141" s="28" t="str">
        <f t="shared" si="30"/>
        <v>Feb</v>
      </c>
      <c r="AC141" s="28" t="str">
        <f t="shared" si="31"/>
        <v>2024</v>
      </c>
    </row>
    <row r="142" spans="1:29" x14ac:dyDescent="0.25">
      <c r="A142" s="4" t="s">
        <v>155</v>
      </c>
      <c r="B142" s="14">
        <v>45048</v>
      </c>
      <c r="C142" s="14">
        <v>45064</v>
      </c>
      <c r="D142" s="16">
        <f t="shared" si="23"/>
        <v>16</v>
      </c>
      <c r="E142" s="4" t="s">
        <v>647</v>
      </c>
      <c r="F142" s="4" t="s">
        <v>654</v>
      </c>
      <c r="G142" s="4" t="s">
        <v>680</v>
      </c>
      <c r="H142" s="4" t="s">
        <v>705</v>
      </c>
      <c r="I142" s="4" t="s">
        <v>709</v>
      </c>
      <c r="J142" s="4" t="s">
        <v>723</v>
      </c>
      <c r="K142" s="4" t="s">
        <v>732</v>
      </c>
      <c r="L142" s="4" t="s">
        <v>874</v>
      </c>
      <c r="M142" s="9">
        <v>44</v>
      </c>
      <c r="N142" s="16">
        <f>ROUND(IF('Dashboard Visualization'!$U$3="",'Working Data'!$M142,'Working Data'!$M142*(100% +'Dashboard Visualization'!$U$3)),0)</f>
        <v>44</v>
      </c>
      <c r="O142" s="19">
        <v>1463.92</v>
      </c>
      <c r="P142" s="20">
        <f>IF('Dashboard Visualization'!$U$2="",'Working Data'!$O142*'Working Data'!$N142,'Working Data'!$O142*'Working Data'!$N142*(100%+'Dashboard Visualization'!$U$2))</f>
        <v>64412.480000000003</v>
      </c>
      <c r="Q142" s="19">
        <v>2252.2399999999998</v>
      </c>
      <c r="R142" s="20">
        <f t="shared" si="24"/>
        <v>1986.4756799999998</v>
      </c>
      <c r="S142" s="11">
        <v>0.11799999999999999</v>
      </c>
      <c r="T142" s="22">
        <f>IF('Dashboard Visualization'!$U$1="",$S142,IF(S142&gt;'Dashboard Visualization'!$U$1,'Dashboard Visualization'!$U$1,S142))</f>
        <v>0.11799999999999999</v>
      </c>
      <c r="U142" s="20">
        <f t="shared" si="25"/>
        <v>77091.148189439991</v>
      </c>
      <c r="V142" s="20">
        <f t="shared" si="26"/>
        <v>12678.668189439988</v>
      </c>
      <c r="W142" s="22">
        <f t="shared" si="22"/>
        <v>0.16446334614557892</v>
      </c>
      <c r="X142" s="28" t="str">
        <f>TEXT(B142,"MMM-YYYY")</f>
        <v>May-2023</v>
      </c>
      <c r="Y142" s="7" t="str">
        <f t="shared" si="27"/>
        <v>Q2-2023</v>
      </c>
      <c r="Z142" s="7" t="str">
        <f t="shared" si="28"/>
        <v>Medium Price</v>
      </c>
      <c r="AA142" s="7" t="str">
        <f t="shared" si="29"/>
        <v>Q2</v>
      </c>
      <c r="AB142" s="28" t="str">
        <f t="shared" si="30"/>
        <v>May</v>
      </c>
      <c r="AC142" s="28" t="str">
        <f t="shared" si="31"/>
        <v>2023</v>
      </c>
    </row>
    <row r="143" spans="1:29" x14ac:dyDescent="0.25">
      <c r="A143" s="4" t="s">
        <v>156</v>
      </c>
      <c r="B143" s="14">
        <v>45649</v>
      </c>
      <c r="C143" s="14">
        <v>45668</v>
      </c>
      <c r="D143" s="16">
        <f t="shared" si="23"/>
        <v>19</v>
      </c>
      <c r="E143" s="4" t="s">
        <v>649</v>
      </c>
      <c r="F143" s="4" t="s">
        <v>656</v>
      </c>
      <c r="G143" s="4" t="s">
        <v>671</v>
      </c>
      <c r="H143" s="4" t="s">
        <v>702</v>
      </c>
      <c r="I143" s="4" t="s">
        <v>707</v>
      </c>
      <c r="J143" s="4" t="s">
        <v>723</v>
      </c>
      <c r="K143" s="4" t="s">
        <v>730</v>
      </c>
      <c r="L143" s="4" t="s">
        <v>875</v>
      </c>
      <c r="M143" s="9">
        <v>9</v>
      </c>
      <c r="N143" s="16">
        <f>ROUND(IF('Dashboard Visualization'!$U$3="",'Working Data'!$M143,'Working Data'!$M143*(100% +'Dashboard Visualization'!$U$3)),0)</f>
        <v>9</v>
      </c>
      <c r="O143" s="19">
        <v>501.81</v>
      </c>
      <c r="P143" s="20">
        <f>IF('Dashboard Visualization'!$U$2="",'Working Data'!$O143*'Working Data'!$N143,'Working Data'!$O143*'Working Data'!$N143*(100%+'Dashboard Visualization'!$U$2))</f>
        <v>4516.29</v>
      </c>
      <c r="Q143" s="19">
        <v>921.62</v>
      </c>
      <c r="R143" s="20">
        <f t="shared" si="24"/>
        <v>912.40380000000005</v>
      </c>
      <c r="S143" s="11">
        <v>0.01</v>
      </c>
      <c r="T143" s="22">
        <f>IF('Dashboard Visualization'!$U$1="",$S143,IF(S143&gt;'Dashboard Visualization'!$U$1,'Dashboard Visualization'!$U$1,S143))</f>
        <v>0.01</v>
      </c>
      <c r="U143" s="20">
        <f t="shared" si="25"/>
        <v>8129.5178580000002</v>
      </c>
      <c r="V143" s="20">
        <f t="shared" si="26"/>
        <v>3613.2278580000002</v>
      </c>
      <c r="W143" s="22">
        <f t="shared" si="22"/>
        <v>0.44445782900204067</v>
      </c>
      <c r="X143" s="28" t="str">
        <f>TEXT(B143,"MMM-YYYY")</f>
        <v>Dec-2024</v>
      </c>
      <c r="Y143" s="7" t="str">
        <f t="shared" si="27"/>
        <v>Q4-2024</v>
      </c>
      <c r="Z143" s="7" t="str">
        <f t="shared" si="28"/>
        <v>High Price</v>
      </c>
      <c r="AA143" s="7" t="str">
        <f t="shared" si="29"/>
        <v>Q4</v>
      </c>
      <c r="AB143" s="28" t="str">
        <f t="shared" si="30"/>
        <v>Dec</v>
      </c>
      <c r="AC143" s="28" t="str">
        <f t="shared" si="31"/>
        <v>2024</v>
      </c>
    </row>
    <row r="144" spans="1:29" x14ac:dyDescent="0.25">
      <c r="A144" s="4" t="s">
        <v>157</v>
      </c>
      <c r="B144" s="14">
        <v>45133</v>
      </c>
      <c r="C144" s="14">
        <v>45163</v>
      </c>
      <c r="D144" s="16">
        <f t="shared" si="23"/>
        <v>30</v>
      </c>
      <c r="E144" s="4" t="s">
        <v>648</v>
      </c>
      <c r="F144" s="4" t="s">
        <v>660</v>
      </c>
      <c r="G144" s="4" t="s">
        <v>700</v>
      </c>
      <c r="H144" s="4" t="s">
        <v>704</v>
      </c>
      <c r="I144" s="4" t="s">
        <v>707</v>
      </c>
      <c r="J144" s="4" t="s">
        <v>724</v>
      </c>
      <c r="K144" s="4" t="s">
        <v>733</v>
      </c>
      <c r="L144" s="4" t="s">
        <v>876</v>
      </c>
      <c r="M144" s="9">
        <v>23</v>
      </c>
      <c r="N144" s="16">
        <f>ROUND(IF('Dashboard Visualization'!$U$3="",'Working Data'!$M144,'Working Data'!$M144*(100% +'Dashboard Visualization'!$U$3)),0)</f>
        <v>23</v>
      </c>
      <c r="O144" s="19">
        <v>1261.48</v>
      </c>
      <c r="P144" s="20">
        <f>IF('Dashboard Visualization'!$U$2="",'Working Data'!$O144*'Working Data'!$N144,'Working Data'!$O144*'Working Data'!$N144*(100%+'Dashboard Visualization'!$U$2))</f>
        <v>29014.04</v>
      </c>
      <c r="Q144" s="19">
        <v>1643.18</v>
      </c>
      <c r="R144" s="20">
        <f t="shared" si="24"/>
        <v>1395.0598199999999</v>
      </c>
      <c r="S144" s="11">
        <v>0.151</v>
      </c>
      <c r="T144" s="22">
        <f>IF('Dashboard Visualization'!$U$1="",$S144,IF(S144&gt;'Dashboard Visualization'!$U$1,'Dashboard Visualization'!$U$1,S144))</f>
        <v>0.151</v>
      </c>
      <c r="U144" s="20">
        <f t="shared" si="25"/>
        <v>27241.333105139995</v>
      </c>
      <c r="V144" s="20">
        <f t="shared" si="26"/>
        <v>-1772.7068948600063</v>
      </c>
      <c r="W144" s="22">
        <f t="shared" si="22"/>
        <v>0</v>
      </c>
      <c r="X144" s="28" t="str">
        <f>TEXT(B144,"MMM-YYYY")</f>
        <v>Jul-2023</v>
      </c>
      <c r="Y144" s="7" t="str">
        <f t="shared" si="27"/>
        <v>Q3-2023</v>
      </c>
      <c r="Z144" s="7" t="str">
        <f t="shared" si="28"/>
        <v>High Price</v>
      </c>
      <c r="AA144" s="7" t="str">
        <f t="shared" si="29"/>
        <v>Q3</v>
      </c>
      <c r="AB144" s="28" t="str">
        <f t="shared" si="30"/>
        <v>Jul</v>
      </c>
      <c r="AC144" s="28" t="str">
        <f t="shared" si="31"/>
        <v>2023</v>
      </c>
    </row>
    <row r="145" spans="1:29" x14ac:dyDescent="0.25">
      <c r="A145" s="4" t="s">
        <v>158</v>
      </c>
      <c r="B145" s="14">
        <v>45458</v>
      </c>
      <c r="C145" s="14">
        <v>45479</v>
      </c>
      <c r="D145" s="16">
        <f t="shared" si="23"/>
        <v>21</v>
      </c>
      <c r="E145" s="4" t="s">
        <v>648</v>
      </c>
      <c r="F145" s="4" t="s">
        <v>653</v>
      </c>
      <c r="G145" s="4" t="s">
        <v>667</v>
      </c>
      <c r="H145" s="4" t="s">
        <v>706</v>
      </c>
      <c r="I145" s="4" t="s">
        <v>710</v>
      </c>
      <c r="J145" s="4" t="s">
        <v>716</v>
      </c>
      <c r="K145" s="4" t="s">
        <v>728</v>
      </c>
      <c r="L145" s="4" t="s">
        <v>877</v>
      </c>
      <c r="M145" s="9">
        <v>9</v>
      </c>
      <c r="N145" s="16">
        <f>ROUND(IF('Dashboard Visualization'!$U$3="",'Working Data'!$M145,'Working Data'!$M145*(100% +'Dashboard Visualization'!$U$3)),0)</f>
        <v>9</v>
      </c>
      <c r="O145" s="19">
        <v>817.23</v>
      </c>
      <c r="P145" s="20">
        <f>IF('Dashboard Visualization'!$U$2="",'Working Data'!$O145*'Working Data'!$N145,'Working Data'!$O145*'Working Data'!$N145*(100%+'Dashboard Visualization'!$U$2))</f>
        <v>7355.07</v>
      </c>
      <c r="Q145" s="19">
        <v>1467.17</v>
      </c>
      <c r="R145" s="20">
        <f t="shared" si="24"/>
        <v>1107.71335</v>
      </c>
      <c r="S145" s="11">
        <v>0.245</v>
      </c>
      <c r="T145" s="22">
        <f>IF('Dashboard Visualization'!$U$1="",$S145,IF(S145&gt;'Dashboard Visualization'!$U$1,'Dashboard Visualization'!$U$1,S145))</f>
        <v>0.245</v>
      </c>
      <c r="U145" s="20">
        <f t="shared" si="25"/>
        <v>7526.9122132499997</v>
      </c>
      <c r="V145" s="20">
        <f t="shared" si="26"/>
        <v>171.84221324999999</v>
      </c>
      <c r="W145" s="22">
        <f t="shared" si="22"/>
        <v>2.2830372984488586E-2</v>
      </c>
      <c r="X145" s="28" t="str">
        <f>TEXT(B145,"MMM-YYYY")</f>
        <v>Jun-2024</v>
      </c>
      <c r="Y145" s="7" t="str">
        <f t="shared" si="27"/>
        <v>Q2-2024</v>
      </c>
      <c r="Z145" s="7" t="str">
        <f t="shared" si="28"/>
        <v>High Price</v>
      </c>
      <c r="AA145" s="7" t="str">
        <f t="shared" si="29"/>
        <v>Q2</v>
      </c>
      <c r="AB145" s="28" t="str">
        <f t="shared" si="30"/>
        <v>Jun</v>
      </c>
      <c r="AC145" s="28" t="str">
        <f t="shared" si="31"/>
        <v>2024</v>
      </c>
    </row>
    <row r="146" spans="1:29" x14ac:dyDescent="0.25">
      <c r="A146" s="4" t="s">
        <v>159</v>
      </c>
      <c r="B146" s="14">
        <v>45112</v>
      </c>
      <c r="C146" s="14">
        <v>45121</v>
      </c>
      <c r="D146" s="16">
        <f t="shared" si="23"/>
        <v>9</v>
      </c>
      <c r="E146" s="4" t="s">
        <v>648</v>
      </c>
      <c r="F146" s="4" t="s">
        <v>655</v>
      </c>
      <c r="G146" s="4" t="s">
        <v>672</v>
      </c>
      <c r="H146" s="4" t="s">
        <v>706</v>
      </c>
      <c r="I146" s="4" t="s">
        <v>711</v>
      </c>
      <c r="J146" s="4" t="s">
        <v>717</v>
      </c>
      <c r="K146" s="4" t="s">
        <v>729</v>
      </c>
      <c r="L146" s="4" t="s">
        <v>878</v>
      </c>
      <c r="M146" s="9">
        <v>28</v>
      </c>
      <c r="N146" s="16">
        <f>ROUND(IF('Dashboard Visualization'!$U$3="",'Working Data'!$M146,'Working Data'!$M146*(100% +'Dashboard Visualization'!$U$3)),0)</f>
        <v>28</v>
      </c>
      <c r="O146" s="19">
        <v>578.85</v>
      </c>
      <c r="P146" s="20">
        <f>IF('Dashboard Visualization'!$U$2="",'Working Data'!$O146*'Working Data'!$N146,'Working Data'!$O146*'Working Data'!$N146*(100%+'Dashboard Visualization'!$U$2))</f>
        <v>16207.800000000001</v>
      </c>
      <c r="Q146" s="19">
        <v>998.76</v>
      </c>
      <c r="R146" s="20">
        <f t="shared" si="24"/>
        <v>916.86167999999998</v>
      </c>
      <c r="S146" s="11">
        <v>8.2000000000000003E-2</v>
      </c>
      <c r="T146" s="22">
        <f>IF('Dashboard Visualization'!$U$1="",$S146,IF(S146&gt;'Dashboard Visualization'!$U$1,'Dashboard Visualization'!$U$1,S146))</f>
        <v>8.2000000000000003E-2</v>
      </c>
      <c r="U146" s="20">
        <f t="shared" si="25"/>
        <v>23567.012622720002</v>
      </c>
      <c r="V146" s="20">
        <f t="shared" si="26"/>
        <v>7359.2126227200006</v>
      </c>
      <c r="W146" s="22">
        <f t="shared" si="22"/>
        <v>0.3122675215790941</v>
      </c>
      <c r="X146" s="28" t="str">
        <f>TEXT(B146,"MMM-YYYY")</f>
        <v>Jul-2023</v>
      </c>
      <c r="Y146" s="7" t="str">
        <f t="shared" si="27"/>
        <v>Q3-2023</v>
      </c>
      <c r="Z146" s="7" t="str">
        <f t="shared" si="28"/>
        <v>High Price</v>
      </c>
      <c r="AA146" s="7" t="str">
        <f t="shared" si="29"/>
        <v>Q3</v>
      </c>
      <c r="AB146" s="28" t="str">
        <f t="shared" si="30"/>
        <v>Jul</v>
      </c>
      <c r="AC146" s="28" t="str">
        <f t="shared" si="31"/>
        <v>2023</v>
      </c>
    </row>
    <row r="147" spans="1:29" x14ac:dyDescent="0.25">
      <c r="A147" s="4" t="s">
        <v>160</v>
      </c>
      <c r="B147" s="14">
        <v>45260</v>
      </c>
      <c r="C147" s="14">
        <v>45259</v>
      </c>
      <c r="D147" s="16" t="str">
        <f t="shared" si="23"/>
        <v/>
      </c>
      <c r="E147" s="4" t="s">
        <v>646</v>
      </c>
      <c r="F147" s="4" t="s">
        <v>661</v>
      </c>
      <c r="G147" s="4" t="s">
        <v>687</v>
      </c>
      <c r="H147" s="4" t="s">
        <v>705</v>
      </c>
      <c r="I147" s="4" t="s">
        <v>709</v>
      </c>
      <c r="J147" s="4" t="s">
        <v>718</v>
      </c>
      <c r="K147" s="4" t="s">
        <v>731</v>
      </c>
      <c r="L147" s="4" t="s">
        <v>879</v>
      </c>
      <c r="M147" s="9">
        <v>23</v>
      </c>
      <c r="N147" s="16">
        <f>ROUND(IF('Dashboard Visualization'!$U$3="",'Working Data'!$M147,'Working Data'!$M147*(100% +'Dashboard Visualization'!$U$3)),0)</f>
        <v>23</v>
      </c>
      <c r="O147" s="19">
        <v>275.56</v>
      </c>
      <c r="P147" s="20">
        <f>IF('Dashboard Visualization'!$U$2="",'Working Data'!$O147*'Working Data'!$N147,'Working Data'!$O147*'Working Data'!$N147*(100%+'Dashboard Visualization'!$U$2))</f>
        <v>6337.88</v>
      </c>
      <c r="Q147" s="19">
        <v>630.72</v>
      </c>
      <c r="R147" s="20">
        <f t="shared" si="24"/>
        <v>563.23296000000005</v>
      </c>
      <c r="S147" s="11">
        <v>0.107</v>
      </c>
      <c r="T147" s="22">
        <f>IF('Dashboard Visualization'!$U$1="",$S147,IF(S147&gt;'Dashboard Visualization'!$U$1,'Dashboard Visualization'!$U$1,S147))</f>
        <v>0.107</v>
      </c>
      <c r="U147" s="20">
        <f t="shared" si="25"/>
        <v>11568.241765440001</v>
      </c>
      <c r="V147" s="20">
        <f t="shared" si="26"/>
        <v>5230.3617654400014</v>
      </c>
      <c r="W147" s="22">
        <f t="shared" si="22"/>
        <v>0.45213109057468448</v>
      </c>
      <c r="X147" s="28" t="str">
        <f>TEXT(B147,"MMM-YYYY")</f>
        <v>Nov-2023</v>
      </c>
      <c r="Y147" s="7" t="str">
        <f t="shared" si="27"/>
        <v>Q4-2023</v>
      </c>
      <c r="Z147" s="7" t="str">
        <f t="shared" si="28"/>
        <v>High Price</v>
      </c>
      <c r="AA147" s="7" t="str">
        <f t="shared" si="29"/>
        <v>Q4</v>
      </c>
      <c r="AB147" s="28" t="str">
        <f t="shared" si="30"/>
        <v>Nov</v>
      </c>
      <c r="AC147" s="28" t="str">
        <f t="shared" si="31"/>
        <v>2023</v>
      </c>
    </row>
    <row r="148" spans="1:29" x14ac:dyDescent="0.25">
      <c r="A148" s="4" t="s">
        <v>161</v>
      </c>
      <c r="B148" s="14">
        <v>45911</v>
      </c>
      <c r="C148" s="14">
        <v>45928</v>
      </c>
      <c r="D148" s="16">
        <f t="shared" si="23"/>
        <v>17</v>
      </c>
      <c r="E148" s="4" t="s">
        <v>646</v>
      </c>
      <c r="F148" s="4" t="s">
        <v>650</v>
      </c>
      <c r="G148" s="4" t="s">
        <v>664</v>
      </c>
      <c r="H148" s="4" t="s">
        <v>703</v>
      </c>
      <c r="I148" s="4" t="s">
        <v>710</v>
      </c>
      <c r="J148" s="4" t="s">
        <v>713</v>
      </c>
      <c r="K148" s="4" t="s">
        <v>731</v>
      </c>
      <c r="L148" s="4" t="s">
        <v>880</v>
      </c>
      <c r="M148" s="9">
        <v>6</v>
      </c>
      <c r="N148" s="16">
        <f>ROUND(IF('Dashboard Visualization'!$U$3="",'Working Data'!$M148,'Working Data'!$M148*(100% +'Dashboard Visualization'!$U$3)),0)</f>
        <v>6</v>
      </c>
      <c r="O148" s="19">
        <v>891.46</v>
      </c>
      <c r="P148" s="20">
        <f>IF('Dashboard Visualization'!$U$2="",'Working Data'!$O148*'Working Data'!$N148,'Working Data'!$O148*'Working Data'!$N148*(100%+'Dashboard Visualization'!$U$2))</f>
        <v>5348.76</v>
      </c>
      <c r="Q148" s="19">
        <v>728.61</v>
      </c>
      <c r="R148" s="20">
        <f t="shared" si="24"/>
        <v>593.81714999999997</v>
      </c>
      <c r="S148" s="11">
        <v>0.185</v>
      </c>
      <c r="T148" s="22">
        <f>IF('Dashboard Visualization'!$U$1="",$S148,IF(S148&gt;'Dashboard Visualization'!$U$1,'Dashboard Visualization'!$U$1,S148))</f>
        <v>0.185</v>
      </c>
      <c r="U148" s="20">
        <f t="shared" si="25"/>
        <v>2903.7658634999998</v>
      </c>
      <c r="V148" s="20">
        <f t="shared" si="26"/>
        <v>-2444.9941365000004</v>
      </c>
      <c r="W148" s="22">
        <f t="shared" si="22"/>
        <v>0</v>
      </c>
      <c r="X148" s="28" t="str">
        <f>TEXT(B148,"MMM-YYYY")</f>
        <v>Sep-2025</v>
      </c>
      <c r="Y148" s="7" t="str">
        <f t="shared" si="27"/>
        <v>Q3-2025</v>
      </c>
      <c r="Z148" s="7" t="str">
        <f t="shared" si="28"/>
        <v>High Price</v>
      </c>
      <c r="AA148" s="7" t="str">
        <f t="shared" si="29"/>
        <v>Q3</v>
      </c>
      <c r="AB148" s="28" t="str">
        <f t="shared" si="30"/>
        <v>Sep</v>
      </c>
      <c r="AC148" s="28" t="str">
        <f t="shared" si="31"/>
        <v>2025</v>
      </c>
    </row>
    <row r="149" spans="1:29" x14ac:dyDescent="0.25">
      <c r="A149" s="4" t="s">
        <v>162</v>
      </c>
      <c r="B149" s="14">
        <v>45386</v>
      </c>
      <c r="C149" s="14">
        <v>45406</v>
      </c>
      <c r="D149" s="16">
        <f t="shared" si="23"/>
        <v>20</v>
      </c>
      <c r="E149" s="4" t="s">
        <v>649</v>
      </c>
      <c r="F149" s="4" t="s">
        <v>656</v>
      </c>
      <c r="G149" s="4" t="s">
        <v>698</v>
      </c>
      <c r="H149" s="4" t="s">
        <v>703</v>
      </c>
      <c r="I149" s="4" t="s">
        <v>711</v>
      </c>
      <c r="J149" s="4" t="s">
        <v>719</v>
      </c>
      <c r="K149" s="4" t="s">
        <v>733</v>
      </c>
      <c r="L149" s="4" t="s">
        <v>881</v>
      </c>
      <c r="M149" s="9">
        <v>14</v>
      </c>
      <c r="N149" s="16">
        <f>ROUND(IF('Dashboard Visualization'!$U$3="",'Working Data'!$M149,'Working Data'!$M149*(100% +'Dashboard Visualization'!$U$3)),0)</f>
        <v>14</v>
      </c>
      <c r="O149" s="19">
        <v>683.42</v>
      </c>
      <c r="P149" s="20">
        <f>IF('Dashboard Visualization'!$U$2="",'Working Data'!$O149*'Working Data'!$N149,'Working Data'!$O149*'Working Data'!$N149*(100%+'Dashboard Visualization'!$U$2))</f>
        <v>9567.8799999999992</v>
      </c>
      <c r="Q149" s="19">
        <v>951.51</v>
      </c>
      <c r="R149" s="20">
        <f t="shared" si="24"/>
        <v>951.51</v>
      </c>
      <c r="S149" s="11">
        <v>0</v>
      </c>
      <c r="T149" s="22">
        <f>IF('Dashboard Visualization'!$U$1="",$S149,IF(S149&gt;'Dashboard Visualization'!$U$1,'Dashboard Visualization'!$U$1,S149))</f>
        <v>0</v>
      </c>
      <c r="U149" s="20">
        <f t="shared" si="25"/>
        <v>13321.14</v>
      </c>
      <c r="V149" s="20">
        <f t="shared" si="26"/>
        <v>3753.26</v>
      </c>
      <c r="W149" s="22">
        <f t="shared" si="22"/>
        <v>0.28175216235247136</v>
      </c>
      <c r="X149" s="28" t="str">
        <f>TEXT(B149,"MMM-YYYY")</f>
        <v>Apr-2024</v>
      </c>
      <c r="Y149" s="7" t="str">
        <f t="shared" si="27"/>
        <v>Q2-2024</v>
      </c>
      <c r="Z149" s="7" t="str">
        <f t="shared" si="28"/>
        <v>High Price</v>
      </c>
      <c r="AA149" s="7" t="str">
        <f t="shared" si="29"/>
        <v>Q2</v>
      </c>
      <c r="AB149" s="28" t="str">
        <f t="shared" si="30"/>
        <v>Apr</v>
      </c>
      <c r="AC149" s="28" t="str">
        <f t="shared" si="31"/>
        <v>2024</v>
      </c>
    </row>
    <row r="150" spans="1:29" x14ac:dyDescent="0.25">
      <c r="A150" s="4" t="s">
        <v>163</v>
      </c>
      <c r="B150" s="14">
        <v>45183</v>
      </c>
      <c r="C150" s="14">
        <v>45185</v>
      </c>
      <c r="D150" s="16">
        <f t="shared" si="23"/>
        <v>2</v>
      </c>
      <c r="E150" s="4" t="s">
        <v>649</v>
      </c>
      <c r="F150" s="4" t="s">
        <v>657</v>
      </c>
      <c r="G150" s="4" t="s">
        <v>679</v>
      </c>
      <c r="H150" s="4" t="s">
        <v>703</v>
      </c>
      <c r="I150" s="4" t="s">
        <v>711</v>
      </c>
      <c r="J150" s="4" t="s">
        <v>717</v>
      </c>
      <c r="K150" s="4" t="s">
        <v>728</v>
      </c>
      <c r="L150" s="4" t="s">
        <v>882</v>
      </c>
      <c r="M150" s="9">
        <v>25</v>
      </c>
      <c r="N150" s="16">
        <f>ROUND(IF('Dashboard Visualization'!$U$3="",'Working Data'!$M150,'Working Data'!$M150*(100% +'Dashboard Visualization'!$U$3)),0)</f>
        <v>25</v>
      </c>
      <c r="O150" s="19">
        <v>376.83</v>
      </c>
      <c r="P150" s="20">
        <f>IF('Dashboard Visualization'!$U$2="",'Working Data'!$O150*'Working Data'!$N150,'Working Data'!$O150*'Working Data'!$N150*(100%+'Dashboard Visualization'!$U$2))</f>
        <v>9420.75</v>
      </c>
      <c r="Q150" s="19">
        <v>732.88</v>
      </c>
      <c r="R150" s="20">
        <f t="shared" si="24"/>
        <v>595.09856000000002</v>
      </c>
      <c r="S150" s="11">
        <v>0.188</v>
      </c>
      <c r="T150" s="22">
        <f>IF('Dashboard Visualization'!$U$1="",$S150,IF(S150&gt;'Dashboard Visualization'!$U$1,'Dashboard Visualization'!$U$1,S150))</f>
        <v>0.188</v>
      </c>
      <c r="U150" s="20">
        <f t="shared" si="25"/>
        <v>12080.500768000002</v>
      </c>
      <c r="V150" s="20">
        <f t="shared" si="26"/>
        <v>2659.7507680000017</v>
      </c>
      <c r="W150" s="22">
        <f t="shared" si="22"/>
        <v>0.22016891675926273</v>
      </c>
      <c r="X150" s="28" t="str">
        <f>TEXT(B150,"MMM-YYYY")</f>
        <v>Sep-2023</v>
      </c>
      <c r="Y150" s="7" t="str">
        <f t="shared" si="27"/>
        <v>Q3-2023</v>
      </c>
      <c r="Z150" s="7" t="str">
        <f t="shared" si="28"/>
        <v>High Price</v>
      </c>
      <c r="AA150" s="7" t="str">
        <f t="shared" si="29"/>
        <v>Q3</v>
      </c>
      <c r="AB150" s="28" t="str">
        <f t="shared" si="30"/>
        <v>Sep</v>
      </c>
      <c r="AC150" s="28" t="str">
        <f t="shared" si="31"/>
        <v>2023</v>
      </c>
    </row>
    <row r="151" spans="1:29" x14ac:dyDescent="0.25">
      <c r="A151" s="4" t="s">
        <v>164</v>
      </c>
      <c r="B151" s="14">
        <v>45558</v>
      </c>
      <c r="C151" s="14">
        <v>45583</v>
      </c>
      <c r="D151" s="16">
        <f t="shared" si="23"/>
        <v>25</v>
      </c>
      <c r="E151" s="4" t="s">
        <v>648</v>
      </c>
      <c r="F151" s="4" t="s">
        <v>653</v>
      </c>
      <c r="G151" s="4" t="s">
        <v>688</v>
      </c>
      <c r="H151" s="4" t="s">
        <v>705</v>
      </c>
      <c r="I151" s="4" t="s">
        <v>708</v>
      </c>
      <c r="J151" s="4" t="s">
        <v>725</v>
      </c>
      <c r="K151" s="4" t="s">
        <v>730</v>
      </c>
      <c r="L151" s="4" t="s">
        <v>883</v>
      </c>
      <c r="M151" s="9">
        <v>18</v>
      </c>
      <c r="N151" s="16">
        <f>ROUND(IF('Dashboard Visualization'!$U$3="",'Working Data'!$M151,'Working Data'!$M151*(100% +'Dashboard Visualization'!$U$3)),0)</f>
        <v>18</v>
      </c>
      <c r="O151" s="19">
        <v>1297</v>
      </c>
      <c r="P151" s="20">
        <f>IF('Dashboard Visualization'!$U$2="",'Working Data'!$O151*'Working Data'!$N151,'Working Data'!$O151*'Working Data'!$N151*(100%+'Dashboard Visualization'!$U$2))</f>
        <v>23346</v>
      </c>
      <c r="Q151" s="19">
        <v>2411.52</v>
      </c>
      <c r="R151" s="20">
        <f t="shared" si="24"/>
        <v>2360.87808</v>
      </c>
      <c r="S151" s="11">
        <v>2.1000000000000001E-2</v>
      </c>
      <c r="T151" s="22">
        <f>IF('Dashboard Visualization'!$U$1="",$S151,IF(S151&gt;'Dashboard Visualization'!$U$1,'Dashboard Visualization'!$U$1,S151))</f>
        <v>2.1000000000000001E-2</v>
      </c>
      <c r="U151" s="20">
        <f t="shared" si="25"/>
        <v>41603.393525760002</v>
      </c>
      <c r="V151" s="20">
        <f t="shared" si="26"/>
        <v>18257.393525760002</v>
      </c>
      <c r="W151" s="22">
        <f t="shared" si="22"/>
        <v>0.43884385331344145</v>
      </c>
      <c r="X151" s="28" t="str">
        <f>TEXT(B151,"MMM-YYYY")</f>
        <v>Sep-2024</v>
      </c>
      <c r="Y151" s="7" t="str">
        <f t="shared" si="27"/>
        <v>Q3-2024</v>
      </c>
      <c r="Z151" s="7" t="str">
        <f t="shared" si="28"/>
        <v>Medium Price</v>
      </c>
      <c r="AA151" s="7" t="str">
        <f t="shared" si="29"/>
        <v>Q3</v>
      </c>
      <c r="AB151" s="28" t="str">
        <f t="shared" si="30"/>
        <v>Sep</v>
      </c>
      <c r="AC151" s="28" t="str">
        <f t="shared" si="31"/>
        <v>2024</v>
      </c>
    </row>
    <row r="152" spans="1:29" x14ac:dyDescent="0.25">
      <c r="A152" s="4" t="s">
        <v>165</v>
      </c>
      <c r="B152" s="14">
        <v>45763</v>
      </c>
      <c r="C152" s="14">
        <v>45793</v>
      </c>
      <c r="D152" s="16">
        <f t="shared" si="23"/>
        <v>30</v>
      </c>
      <c r="E152" s="4" t="s">
        <v>648</v>
      </c>
      <c r="F152" s="4" t="s">
        <v>653</v>
      </c>
      <c r="G152" s="4" t="s">
        <v>681</v>
      </c>
      <c r="H152" s="4" t="s">
        <v>706</v>
      </c>
      <c r="I152" s="4" t="s">
        <v>710</v>
      </c>
      <c r="J152" s="4" t="s">
        <v>723</v>
      </c>
      <c r="K152" s="4" t="s">
        <v>728</v>
      </c>
      <c r="L152" s="4" t="s">
        <v>884</v>
      </c>
      <c r="M152" s="9">
        <v>16</v>
      </c>
      <c r="N152" s="16">
        <f>ROUND(IF('Dashboard Visualization'!$U$3="",'Working Data'!$M152,'Working Data'!$M152*(100% +'Dashboard Visualization'!$U$3)),0)</f>
        <v>16</v>
      </c>
      <c r="O152" s="19">
        <v>763.32</v>
      </c>
      <c r="P152" s="20">
        <f>IF('Dashboard Visualization'!$U$2="",'Working Data'!$O152*'Working Data'!$N152,'Working Data'!$O152*'Working Data'!$N152*(100%+'Dashboard Visualization'!$U$2))</f>
        <v>12213.12</v>
      </c>
      <c r="Q152" s="19">
        <v>568.29</v>
      </c>
      <c r="R152" s="20">
        <f t="shared" si="24"/>
        <v>493.84400999999997</v>
      </c>
      <c r="S152" s="11">
        <v>0.13100000000000001</v>
      </c>
      <c r="T152" s="22">
        <f>IF('Dashboard Visualization'!$U$1="",$S152,IF(S152&gt;'Dashboard Visualization'!$U$1,'Dashboard Visualization'!$U$1,S152))</f>
        <v>0.13100000000000001</v>
      </c>
      <c r="U152" s="20">
        <f t="shared" si="25"/>
        <v>6866.4071150399996</v>
      </c>
      <c r="V152" s="20">
        <f t="shared" si="26"/>
        <v>-5346.7128849600012</v>
      </c>
      <c r="W152" s="22">
        <f t="shared" si="22"/>
        <v>0</v>
      </c>
      <c r="X152" s="28" t="str">
        <f>TEXT(B152,"MMM-YYYY")</f>
        <v>Apr-2025</v>
      </c>
      <c r="Y152" s="7" t="str">
        <f t="shared" si="27"/>
        <v>Q2-2025</v>
      </c>
      <c r="Z152" s="7" t="str">
        <f t="shared" si="28"/>
        <v>Low Price</v>
      </c>
      <c r="AA152" s="7" t="str">
        <f t="shared" si="29"/>
        <v>Q2</v>
      </c>
      <c r="AB152" s="28" t="str">
        <f t="shared" si="30"/>
        <v>Apr</v>
      </c>
      <c r="AC152" s="28" t="str">
        <f t="shared" si="31"/>
        <v>2025</v>
      </c>
    </row>
    <row r="153" spans="1:29" x14ac:dyDescent="0.25">
      <c r="A153" s="4" t="s">
        <v>166</v>
      </c>
      <c r="B153" s="14">
        <v>45110</v>
      </c>
      <c r="C153" s="14">
        <v>45130</v>
      </c>
      <c r="D153" s="16">
        <f t="shared" si="23"/>
        <v>20</v>
      </c>
      <c r="E153" s="4" t="s">
        <v>646</v>
      </c>
      <c r="F153" s="4" t="s">
        <v>661</v>
      </c>
      <c r="G153" s="4" t="s">
        <v>682</v>
      </c>
      <c r="H153" s="4" t="s">
        <v>705</v>
      </c>
      <c r="I153" s="4" t="s">
        <v>710</v>
      </c>
      <c r="J153" s="4" t="s">
        <v>721</v>
      </c>
      <c r="K153" s="4" t="s">
        <v>731</v>
      </c>
      <c r="L153" s="4" t="s">
        <v>885</v>
      </c>
      <c r="M153" s="9">
        <v>18</v>
      </c>
      <c r="N153" s="16">
        <f>ROUND(IF('Dashboard Visualization'!$U$3="",'Working Data'!$M153,'Working Data'!$M153*(100% +'Dashboard Visualization'!$U$3)),0)</f>
        <v>18</v>
      </c>
      <c r="O153" s="19">
        <v>1001.96</v>
      </c>
      <c r="P153" s="20">
        <f>IF('Dashboard Visualization'!$U$2="",'Working Data'!$O153*'Working Data'!$N153,'Working Data'!$O153*'Working Data'!$N153*(100%+'Dashboard Visualization'!$U$2))</f>
        <v>18035.28</v>
      </c>
      <c r="Q153" s="19">
        <v>1254.95</v>
      </c>
      <c r="R153" s="20">
        <f t="shared" si="24"/>
        <v>1198.4772499999999</v>
      </c>
      <c r="S153" s="11">
        <v>4.4999999999999998E-2</v>
      </c>
      <c r="T153" s="22">
        <f>IF('Dashboard Visualization'!$U$1="",$S153,IF(S153&gt;'Dashboard Visualization'!$U$1,'Dashboard Visualization'!$U$1,S153))</f>
        <v>4.4999999999999998E-2</v>
      </c>
      <c r="U153" s="20">
        <f t="shared" si="25"/>
        <v>20601.823927499998</v>
      </c>
      <c r="V153" s="20">
        <f t="shared" si="26"/>
        <v>2566.543927499999</v>
      </c>
      <c r="W153" s="22">
        <f t="shared" si="22"/>
        <v>0.12457848084382912</v>
      </c>
      <c r="X153" s="28" t="str">
        <f>TEXT(B153,"MMM-YYYY")</f>
        <v>Jul-2023</v>
      </c>
      <c r="Y153" s="7" t="str">
        <f t="shared" si="27"/>
        <v>Q3-2023</v>
      </c>
      <c r="Z153" s="7" t="str">
        <f t="shared" si="28"/>
        <v>High Price</v>
      </c>
      <c r="AA153" s="7" t="str">
        <f t="shared" si="29"/>
        <v>Q3</v>
      </c>
      <c r="AB153" s="28" t="str">
        <f t="shared" si="30"/>
        <v>Jul</v>
      </c>
      <c r="AC153" s="28" t="str">
        <f t="shared" si="31"/>
        <v>2023</v>
      </c>
    </row>
    <row r="154" spans="1:29" x14ac:dyDescent="0.25">
      <c r="A154" s="4" t="s">
        <v>167</v>
      </c>
      <c r="B154" s="14">
        <v>45267</v>
      </c>
      <c r="C154" s="14">
        <v>45265</v>
      </c>
      <c r="D154" s="16" t="str">
        <f t="shared" si="23"/>
        <v/>
      </c>
      <c r="E154" s="4" t="s">
        <v>647</v>
      </c>
      <c r="F154" s="4" t="s">
        <v>652</v>
      </c>
      <c r="G154" s="4" t="s">
        <v>689</v>
      </c>
      <c r="H154" s="4" t="s">
        <v>703</v>
      </c>
      <c r="I154" s="4" t="s">
        <v>709</v>
      </c>
      <c r="J154" s="4" t="s">
        <v>722</v>
      </c>
      <c r="K154" s="4" t="s">
        <v>728</v>
      </c>
      <c r="L154" s="4" t="s">
        <v>886</v>
      </c>
      <c r="M154" s="9">
        <v>6</v>
      </c>
      <c r="N154" s="16">
        <f>ROUND(IF('Dashboard Visualization'!$U$3="",'Working Data'!$M154,'Working Data'!$M154*(100% +'Dashboard Visualization'!$U$3)),0)</f>
        <v>6</v>
      </c>
      <c r="O154" s="19">
        <v>1097.5899999999999</v>
      </c>
      <c r="P154" s="20">
        <f>IF('Dashboard Visualization'!$U$2="",'Working Data'!$O154*'Working Data'!$N154,'Working Data'!$O154*'Working Data'!$N154*(100%+'Dashboard Visualization'!$U$2))</f>
        <v>6585.5399999999991</v>
      </c>
      <c r="Q154" s="19">
        <v>845.55</v>
      </c>
      <c r="R154" s="20">
        <f t="shared" si="24"/>
        <v>689.96879999999999</v>
      </c>
      <c r="S154" s="11">
        <v>0.184</v>
      </c>
      <c r="T154" s="22">
        <f>IF('Dashboard Visualization'!$U$1="",$S154,IF(S154&gt;'Dashboard Visualization'!$U$1,'Dashboard Visualization'!$U$1,S154))</f>
        <v>0.184</v>
      </c>
      <c r="U154" s="20">
        <f t="shared" si="25"/>
        <v>3378.0872448000005</v>
      </c>
      <c r="V154" s="20">
        <f t="shared" si="26"/>
        <v>-3207.4527551999986</v>
      </c>
      <c r="W154" s="22">
        <f t="shared" si="22"/>
        <v>0</v>
      </c>
      <c r="X154" s="28" t="str">
        <f>TEXT(B154,"MMM-YYYY")</f>
        <v>Dec-2023</v>
      </c>
      <c r="Y154" s="7" t="str">
        <f t="shared" si="27"/>
        <v>Q4-2023</v>
      </c>
      <c r="Z154" s="7" t="str">
        <f t="shared" si="28"/>
        <v>High Price</v>
      </c>
      <c r="AA154" s="7" t="str">
        <f t="shared" si="29"/>
        <v>Q4</v>
      </c>
      <c r="AB154" s="28" t="str">
        <f t="shared" si="30"/>
        <v>Dec</v>
      </c>
      <c r="AC154" s="28" t="str">
        <f t="shared" si="31"/>
        <v>2023</v>
      </c>
    </row>
    <row r="155" spans="1:29" x14ac:dyDescent="0.25">
      <c r="A155" s="4" t="s">
        <v>168</v>
      </c>
      <c r="B155" s="14">
        <v>45340</v>
      </c>
      <c r="C155" s="14">
        <v>45355</v>
      </c>
      <c r="D155" s="16">
        <f t="shared" si="23"/>
        <v>15</v>
      </c>
      <c r="E155" s="4" t="s">
        <v>646</v>
      </c>
      <c r="F155" s="4" t="s">
        <v>650</v>
      </c>
      <c r="G155" s="4" t="s">
        <v>662</v>
      </c>
      <c r="H155" s="4" t="s">
        <v>702</v>
      </c>
      <c r="I155" s="4" t="s">
        <v>711</v>
      </c>
      <c r="J155" s="4" t="s">
        <v>723</v>
      </c>
      <c r="K155" s="4" t="s">
        <v>728</v>
      </c>
      <c r="L155" s="4" t="s">
        <v>887</v>
      </c>
      <c r="M155" s="9">
        <v>16</v>
      </c>
      <c r="N155" s="16">
        <f>ROUND(IF('Dashboard Visualization'!$U$3="",'Working Data'!$M155,'Working Data'!$M155*(100% +'Dashboard Visualization'!$U$3)),0)</f>
        <v>16</v>
      </c>
      <c r="O155" s="19">
        <v>928.68</v>
      </c>
      <c r="P155" s="20">
        <f>IF('Dashboard Visualization'!$U$2="",'Working Data'!$O155*'Working Data'!$N155,'Working Data'!$O155*'Working Data'!$N155*(100%+'Dashboard Visualization'!$U$2))</f>
        <v>14858.88</v>
      </c>
      <c r="Q155" s="19">
        <v>2145.17</v>
      </c>
      <c r="R155" s="20">
        <f t="shared" si="24"/>
        <v>1853.42688</v>
      </c>
      <c r="S155" s="11">
        <v>0.13600000000000001</v>
      </c>
      <c r="T155" s="22">
        <f>IF('Dashboard Visualization'!$U$1="",$S155,IF(S155&gt;'Dashboard Visualization'!$U$1,'Dashboard Visualization'!$U$1,S155))</f>
        <v>0.13600000000000001</v>
      </c>
      <c r="U155" s="20">
        <f t="shared" si="25"/>
        <v>25621.773189119998</v>
      </c>
      <c r="V155" s="20">
        <f t="shared" si="26"/>
        <v>10762.893189119999</v>
      </c>
      <c r="W155" s="22">
        <f t="shared" si="22"/>
        <v>0.4200682407761826</v>
      </c>
      <c r="X155" s="28" t="str">
        <f>TEXT(B155,"MMM-YYYY")</f>
        <v>Feb-2024</v>
      </c>
      <c r="Y155" s="7" t="str">
        <f t="shared" si="27"/>
        <v>Q1-2024</v>
      </c>
      <c r="Z155" s="7" t="str">
        <f t="shared" si="28"/>
        <v>Medium Price</v>
      </c>
      <c r="AA155" s="7" t="str">
        <f t="shared" si="29"/>
        <v>Q1</v>
      </c>
      <c r="AB155" s="28" t="str">
        <f t="shared" si="30"/>
        <v>Feb</v>
      </c>
      <c r="AC155" s="28" t="str">
        <f t="shared" si="31"/>
        <v>2024</v>
      </c>
    </row>
    <row r="156" spans="1:29" x14ac:dyDescent="0.25">
      <c r="A156" s="4" t="s">
        <v>169</v>
      </c>
      <c r="B156" s="14">
        <v>45230</v>
      </c>
      <c r="C156" s="14">
        <v>45232</v>
      </c>
      <c r="D156" s="16">
        <f t="shared" si="23"/>
        <v>2</v>
      </c>
      <c r="E156" s="4" t="s">
        <v>646</v>
      </c>
      <c r="F156" s="4" t="s">
        <v>650</v>
      </c>
      <c r="G156" s="4" t="s">
        <v>662</v>
      </c>
      <c r="H156" s="4" t="s">
        <v>702</v>
      </c>
      <c r="I156" s="4" t="s">
        <v>707</v>
      </c>
      <c r="J156" s="4" t="s">
        <v>719</v>
      </c>
      <c r="K156" s="4" t="s">
        <v>733</v>
      </c>
      <c r="L156" s="4" t="s">
        <v>888</v>
      </c>
      <c r="M156" s="9">
        <v>10</v>
      </c>
      <c r="N156" s="16">
        <f>ROUND(IF('Dashboard Visualization'!$U$3="",'Working Data'!$M156,'Working Data'!$M156*(100% +'Dashboard Visualization'!$U$3)),0)</f>
        <v>10</v>
      </c>
      <c r="O156" s="19">
        <v>867.89</v>
      </c>
      <c r="P156" s="20">
        <f>IF('Dashboard Visualization'!$U$2="",'Working Data'!$O156*'Working Data'!$N156,'Working Data'!$O156*'Working Data'!$N156*(100%+'Dashboard Visualization'!$U$2))</f>
        <v>8678.9</v>
      </c>
      <c r="Q156" s="19">
        <v>1349.94</v>
      </c>
      <c r="R156" s="20">
        <f t="shared" si="24"/>
        <v>1101.5510400000001</v>
      </c>
      <c r="S156" s="11">
        <v>0.184</v>
      </c>
      <c r="T156" s="22">
        <f>IF('Dashboard Visualization'!$U$1="",$S156,IF(S156&gt;'Dashboard Visualization'!$U$1,'Dashboard Visualization'!$U$1,S156))</f>
        <v>0.184</v>
      </c>
      <c r="U156" s="20">
        <f t="shared" si="25"/>
        <v>8988.6564864000011</v>
      </c>
      <c r="V156" s="20">
        <f t="shared" si="26"/>
        <v>309.75648640000145</v>
      </c>
      <c r="W156" s="22">
        <f t="shared" si="22"/>
        <v>3.4460821466330213E-2</v>
      </c>
      <c r="X156" s="28" t="str">
        <f>TEXT(B156,"MMM-YYYY")</f>
        <v>Oct-2023</v>
      </c>
      <c r="Y156" s="7" t="str">
        <f t="shared" si="27"/>
        <v>Q4-2023</v>
      </c>
      <c r="Z156" s="7" t="str">
        <f t="shared" si="28"/>
        <v>High Price</v>
      </c>
      <c r="AA156" s="7" t="str">
        <f t="shared" si="29"/>
        <v>Q4</v>
      </c>
      <c r="AB156" s="28" t="str">
        <f t="shared" si="30"/>
        <v>Oct</v>
      </c>
      <c r="AC156" s="28" t="str">
        <f t="shared" si="31"/>
        <v>2023</v>
      </c>
    </row>
    <row r="157" spans="1:29" x14ac:dyDescent="0.25">
      <c r="A157" s="4" t="s">
        <v>170</v>
      </c>
      <c r="B157" s="14">
        <v>45511</v>
      </c>
      <c r="C157" s="14">
        <v>45521</v>
      </c>
      <c r="D157" s="16">
        <f t="shared" si="23"/>
        <v>10</v>
      </c>
      <c r="E157" s="4" t="s">
        <v>647</v>
      </c>
      <c r="F157" s="4" t="s">
        <v>652</v>
      </c>
      <c r="G157" s="4" t="s">
        <v>666</v>
      </c>
      <c r="H157" s="4" t="s">
        <v>704</v>
      </c>
      <c r="I157" s="4" t="s">
        <v>708</v>
      </c>
      <c r="J157" s="4" t="s">
        <v>723</v>
      </c>
      <c r="K157" s="4" t="s">
        <v>729</v>
      </c>
      <c r="L157" s="4" t="s">
        <v>889</v>
      </c>
      <c r="M157" s="9">
        <v>19</v>
      </c>
      <c r="N157" s="16">
        <f>ROUND(IF('Dashboard Visualization'!$U$3="",'Working Data'!$M157,'Working Data'!$M157*(100% +'Dashboard Visualization'!$U$3)),0)</f>
        <v>19</v>
      </c>
      <c r="O157" s="19">
        <v>436.58</v>
      </c>
      <c r="P157" s="20">
        <f>IF('Dashboard Visualization'!$U$2="",'Working Data'!$O157*'Working Data'!$N157,'Working Data'!$O157*'Working Data'!$N157*(100%+'Dashboard Visualization'!$U$2))</f>
        <v>8295.02</v>
      </c>
      <c r="Q157" s="19">
        <v>527.48</v>
      </c>
      <c r="R157" s="20">
        <f t="shared" si="24"/>
        <v>468.92972000000003</v>
      </c>
      <c r="S157" s="11">
        <v>0.111</v>
      </c>
      <c r="T157" s="22">
        <f>IF('Dashboard Visualization'!$U$1="",$S157,IF(S157&gt;'Dashboard Visualization'!$U$1,'Dashboard Visualization'!$U$1,S157))</f>
        <v>0.111</v>
      </c>
      <c r="U157" s="20">
        <f t="shared" si="25"/>
        <v>7920.6919005200007</v>
      </c>
      <c r="V157" s="20">
        <f t="shared" si="26"/>
        <v>-374.32809947999976</v>
      </c>
      <c r="W157" s="22">
        <f t="shared" si="22"/>
        <v>0</v>
      </c>
      <c r="X157" s="28" t="str">
        <f>TEXT(B157,"MMM-YYYY")</f>
        <v>Aug-2024</v>
      </c>
      <c r="Y157" s="7" t="str">
        <f t="shared" si="27"/>
        <v>Q3-2024</v>
      </c>
      <c r="Z157" s="7" t="str">
        <f t="shared" si="28"/>
        <v>Low Price</v>
      </c>
      <c r="AA157" s="7" t="str">
        <f t="shared" si="29"/>
        <v>Q3</v>
      </c>
      <c r="AB157" s="28" t="str">
        <f t="shared" si="30"/>
        <v>Aug</v>
      </c>
      <c r="AC157" s="28" t="str">
        <f t="shared" si="31"/>
        <v>2024</v>
      </c>
    </row>
    <row r="158" spans="1:29" x14ac:dyDescent="0.25">
      <c r="A158" s="4" t="s">
        <v>171</v>
      </c>
      <c r="B158" s="14">
        <v>45323</v>
      </c>
      <c r="C158" s="14">
        <v>45343</v>
      </c>
      <c r="D158" s="16">
        <f t="shared" si="23"/>
        <v>20</v>
      </c>
      <c r="E158" s="4" t="s">
        <v>649</v>
      </c>
      <c r="F158" s="4" t="s">
        <v>657</v>
      </c>
      <c r="G158" s="4" t="s">
        <v>690</v>
      </c>
      <c r="H158" s="4" t="s">
        <v>705</v>
      </c>
      <c r="I158" s="4" t="s">
        <v>709</v>
      </c>
      <c r="J158" s="4" t="s">
        <v>720</v>
      </c>
      <c r="K158" s="4" t="s">
        <v>729</v>
      </c>
      <c r="L158" s="4" t="s">
        <v>890</v>
      </c>
      <c r="M158" s="9">
        <v>5</v>
      </c>
      <c r="N158" s="16">
        <f>ROUND(IF('Dashboard Visualization'!$U$3="",'Working Data'!$M158,'Working Data'!$M158*(100% +'Dashboard Visualization'!$U$3)),0)</f>
        <v>5</v>
      </c>
      <c r="O158" s="19">
        <v>656.2</v>
      </c>
      <c r="P158" s="20">
        <f>IF('Dashboard Visualization'!$U$2="",'Working Data'!$O158*'Working Data'!$N158,'Working Data'!$O158*'Working Data'!$N158*(100%+'Dashboard Visualization'!$U$2))</f>
        <v>3281</v>
      </c>
      <c r="Q158" s="19">
        <v>1467.17</v>
      </c>
      <c r="R158" s="20">
        <f t="shared" si="24"/>
        <v>1440.7609400000001</v>
      </c>
      <c r="S158" s="11">
        <v>1.7999999999999999E-2</v>
      </c>
      <c r="T158" s="22">
        <f>IF('Dashboard Visualization'!$U$1="",$S158,IF(S158&gt;'Dashboard Visualization'!$U$1,'Dashboard Visualization'!$U$1,S158))</f>
        <v>1.7999999999999999E-2</v>
      </c>
      <c r="U158" s="20">
        <f t="shared" si="25"/>
        <v>7074.1362153999999</v>
      </c>
      <c r="V158" s="20">
        <f t="shared" si="26"/>
        <v>3793.1362153999999</v>
      </c>
      <c r="W158" s="22">
        <f t="shared" si="22"/>
        <v>0.53619779149043723</v>
      </c>
      <c r="X158" s="28" t="str">
        <f>TEXT(B158,"MMM-YYYY")</f>
        <v>Feb-2024</v>
      </c>
      <c r="Y158" s="7" t="str">
        <f t="shared" si="27"/>
        <v>Q1-2024</v>
      </c>
      <c r="Z158" s="7" t="str">
        <f t="shared" si="28"/>
        <v>High Price</v>
      </c>
      <c r="AA158" s="7" t="str">
        <f t="shared" si="29"/>
        <v>Q1</v>
      </c>
      <c r="AB158" s="28" t="str">
        <f t="shared" si="30"/>
        <v>Feb</v>
      </c>
      <c r="AC158" s="28" t="str">
        <f t="shared" si="31"/>
        <v>2024</v>
      </c>
    </row>
    <row r="159" spans="1:29" x14ac:dyDescent="0.25">
      <c r="A159" s="4" t="s">
        <v>172</v>
      </c>
      <c r="B159" s="14">
        <v>45531</v>
      </c>
      <c r="C159" s="14">
        <v>45553</v>
      </c>
      <c r="D159" s="16">
        <f t="shared" si="23"/>
        <v>22</v>
      </c>
      <c r="E159" s="4" t="s">
        <v>647</v>
      </c>
      <c r="F159" s="4" t="s">
        <v>654</v>
      </c>
      <c r="G159" s="4" t="s">
        <v>680</v>
      </c>
      <c r="H159" s="4" t="s">
        <v>704</v>
      </c>
      <c r="I159" s="4" t="s">
        <v>711</v>
      </c>
      <c r="J159" s="4" t="s">
        <v>717</v>
      </c>
      <c r="K159" s="4" t="s">
        <v>727</v>
      </c>
      <c r="L159" s="4" t="s">
        <v>891</v>
      </c>
      <c r="M159" s="9">
        <v>15</v>
      </c>
      <c r="N159" s="16">
        <f>ROUND(IF('Dashboard Visualization'!$U$3="",'Working Data'!$M159,'Working Data'!$M159*(100% +'Dashboard Visualization'!$U$3)),0)</f>
        <v>15</v>
      </c>
      <c r="O159" s="19">
        <v>896.75</v>
      </c>
      <c r="P159" s="20">
        <f>IF('Dashboard Visualization'!$U$2="",'Working Data'!$O159*'Working Data'!$N159,'Working Data'!$O159*'Working Data'!$N159*(100%+'Dashboard Visualization'!$U$2))</f>
        <v>13451.25</v>
      </c>
      <c r="Q159" s="19">
        <v>1651.14</v>
      </c>
      <c r="R159" s="20">
        <f t="shared" si="24"/>
        <v>1609.8615</v>
      </c>
      <c r="S159" s="11">
        <v>2.5000000000000001E-2</v>
      </c>
      <c r="T159" s="22">
        <f>IF('Dashboard Visualization'!$U$1="",$S159,IF(S159&gt;'Dashboard Visualization'!$U$1,'Dashboard Visualization'!$U$1,S159))</f>
        <v>2.5000000000000001E-2</v>
      </c>
      <c r="U159" s="20">
        <f t="shared" si="25"/>
        <v>23544.224437500001</v>
      </c>
      <c r="V159" s="20">
        <f t="shared" si="26"/>
        <v>10092.974437500001</v>
      </c>
      <c r="W159" s="22">
        <f t="shared" si="22"/>
        <v>0.42868154201862102</v>
      </c>
      <c r="X159" s="28" t="str">
        <f>TEXT(B159,"MMM-YYYY")</f>
        <v>Aug-2024</v>
      </c>
      <c r="Y159" s="7" t="str">
        <f t="shared" si="27"/>
        <v>Q3-2024</v>
      </c>
      <c r="Z159" s="7" t="str">
        <f t="shared" si="28"/>
        <v>High Price</v>
      </c>
      <c r="AA159" s="7" t="str">
        <f t="shared" si="29"/>
        <v>Q3</v>
      </c>
      <c r="AB159" s="28" t="str">
        <f t="shared" si="30"/>
        <v>Aug</v>
      </c>
      <c r="AC159" s="28" t="str">
        <f t="shared" si="31"/>
        <v>2024</v>
      </c>
    </row>
    <row r="160" spans="1:29" x14ac:dyDescent="0.25">
      <c r="A160" s="4" t="s">
        <v>173</v>
      </c>
      <c r="B160" s="14">
        <v>45703</v>
      </c>
      <c r="C160" s="14">
        <v>45703</v>
      </c>
      <c r="D160" s="16">
        <f t="shared" si="23"/>
        <v>0</v>
      </c>
      <c r="E160" s="4" t="s">
        <v>649</v>
      </c>
      <c r="F160" s="4" t="s">
        <v>656</v>
      </c>
      <c r="G160" s="4" t="s">
        <v>698</v>
      </c>
      <c r="H160" s="4" t="s">
        <v>705</v>
      </c>
      <c r="I160" s="4" t="s">
        <v>709</v>
      </c>
      <c r="J160" s="4" t="s">
        <v>716</v>
      </c>
      <c r="K160" s="4" t="s">
        <v>733</v>
      </c>
      <c r="L160" s="4" t="s">
        <v>892</v>
      </c>
      <c r="M160" s="9">
        <v>6</v>
      </c>
      <c r="N160" s="16">
        <f>ROUND(IF('Dashboard Visualization'!$U$3="",'Working Data'!$M160,'Working Data'!$M160*(100% +'Dashboard Visualization'!$U$3)),0)</f>
        <v>6</v>
      </c>
      <c r="O160" s="19">
        <v>815.83</v>
      </c>
      <c r="P160" s="20">
        <f>IF('Dashboard Visualization'!$U$2="",'Working Data'!$O160*'Working Data'!$N160,'Working Data'!$O160*'Working Data'!$N160*(100%+'Dashboard Visualization'!$U$2))</f>
        <v>4894.9800000000005</v>
      </c>
      <c r="Q160" s="19">
        <v>1982.18</v>
      </c>
      <c r="R160" s="20">
        <f t="shared" si="24"/>
        <v>1730.4431400000001</v>
      </c>
      <c r="S160" s="11">
        <v>0.127</v>
      </c>
      <c r="T160" s="22">
        <f>IF('Dashboard Visualization'!$U$1="",$S160,IF(S160&gt;'Dashboard Visualization'!$U$1,'Dashboard Visualization'!$U$1,S160))</f>
        <v>0.127</v>
      </c>
      <c r="U160" s="20">
        <f t="shared" si="25"/>
        <v>9064.0611673200001</v>
      </c>
      <c r="V160" s="20">
        <f t="shared" si="26"/>
        <v>4169.0811673199996</v>
      </c>
      <c r="W160" s="22">
        <f t="shared" si="22"/>
        <v>0.45995730725553841</v>
      </c>
      <c r="X160" s="28" t="str">
        <f>TEXT(B160,"MMM-YYYY")</f>
        <v>Feb-2025</v>
      </c>
      <c r="Y160" s="7" t="str">
        <f t="shared" si="27"/>
        <v>Q1-2025</v>
      </c>
      <c r="Z160" s="7" t="str">
        <f t="shared" si="28"/>
        <v>Medium Price</v>
      </c>
      <c r="AA160" s="7" t="str">
        <f t="shared" si="29"/>
        <v>Q1</v>
      </c>
      <c r="AB160" s="28" t="str">
        <f t="shared" si="30"/>
        <v>Feb</v>
      </c>
      <c r="AC160" s="28" t="str">
        <f t="shared" si="31"/>
        <v>2025</v>
      </c>
    </row>
    <row r="161" spans="1:29" x14ac:dyDescent="0.25">
      <c r="A161" s="4" t="s">
        <v>174</v>
      </c>
      <c r="B161" s="14">
        <v>45870</v>
      </c>
      <c r="C161" s="14">
        <v>45890</v>
      </c>
      <c r="D161" s="16">
        <f t="shared" si="23"/>
        <v>20</v>
      </c>
      <c r="E161" s="4" t="s">
        <v>647</v>
      </c>
      <c r="F161" s="4" t="s">
        <v>659</v>
      </c>
      <c r="G161" s="4" t="s">
        <v>685</v>
      </c>
      <c r="H161" s="4" t="s">
        <v>701</v>
      </c>
      <c r="I161" s="4" t="s">
        <v>711</v>
      </c>
      <c r="J161" s="4" t="s">
        <v>714</v>
      </c>
      <c r="K161" s="4" t="s">
        <v>730</v>
      </c>
      <c r="L161" s="4" t="s">
        <v>893</v>
      </c>
      <c r="M161" s="9">
        <v>14</v>
      </c>
      <c r="N161" s="16">
        <f>ROUND(IF('Dashboard Visualization'!$U$3="",'Working Data'!$M161,'Working Data'!$M161*(100% +'Dashboard Visualization'!$U$3)),0)</f>
        <v>14</v>
      </c>
      <c r="O161" s="19">
        <v>1220.4100000000001</v>
      </c>
      <c r="P161" s="20">
        <f>IF('Dashboard Visualization'!$U$2="",'Working Data'!$O161*'Working Data'!$N161,'Working Data'!$O161*'Working Data'!$N161*(100%+'Dashboard Visualization'!$U$2))</f>
        <v>17085.740000000002</v>
      </c>
      <c r="Q161" s="19">
        <v>2552.2199999999998</v>
      </c>
      <c r="R161" s="20">
        <f t="shared" si="24"/>
        <v>2090.2681799999996</v>
      </c>
      <c r="S161" s="11">
        <v>0.18099999999999999</v>
      </c>
      <c r="T161" s="22">
        <f>IF('Dashboard Visualization'!$U$1="",$S161,IF(S161&gt;'Dashboard Visualization'!$U$1,'Dashboard Visualization'!$U$1,S161))</f>
        <v>0.18099999999999999</v>
      </c>
      <c r="U161" s="20">
        <f t="shared" si="25"/>
        <v>23967.014951879995</v>
      </c>
      <c r="V161" s="20">
        <f t="shared" si="26"/>
        <v>6881.2749518799938</v>
      </c>
      <c r="W161" s="22">
        <f t="shared" si="22"/>
        <v>0.28711439308132197</v>
      </c>
      <c r="X161" s="28" t="str">
        <f>TEXT(B161,"MMM-YYYY")</f>
        <v>Aug-2025</v>
      </c>
      <c r="Y161" s="7" t="str">
        <f t="shared" si="27"/>
        <v>Q3-2025</v>
      </c>
      <c r="Z161" s="7" t="str">
        <f t="shared" si="28"/>
        <v>Medium Price</v>
      </c>
      <c r="AA161" s="7" t="str">
        <f t="shared" si="29"/>
        <v>Q3</v>
      </c>
      <c r="AB161" s="28" t="str">
        <f t="shared" si="30"/>
        <v>Aug</v>
      </c>
      <c r="AC161" s="28" t="str">
        <f t="shared" si="31"/>
        <v>2025</v>
      </c>
    </row>
    <row r="162" spans="1:29" x14ac:dyDescent="0.25">
      <c r="A162" s="4" t="s">
        <v>175</v>
      </c>
      <c r="B162" s="14">
        <v>44977</v>
      </c>
      <c r="C162" s="14">
        <v>44989</v>
      </c>
      <c r="D162" s="16">
        <f t="shared" si="23"/>
        <v>12</v>
      </c>
      <c r="E162" s="4" t="s">
        <v>647</v>
      </c>
      <c r="F162" s="4" t="s">
        <v>654</v>
      </c>
      <c r="G162" s="4" t="s">
        <v>680</v>
      </c>
      <c r="H162" s="4" t="s">
        <v>704</v>
      </c>
      <c r="I162" s="4" t="s">
        <v>710</v>
      </c>
      <c r="J162" s="4" t="s">
        <v>724</v>
      </c>
      <c r="K162" s="4" t="s">
        <v>732</v>
      </c>
      <c r="L162" s="4" t="s">
        <v>894</v>
      </c>
      <c r="M162" s="9">
        <v>50</v>
      </c>
      <c r="N162" s="16">
        <f>ROUND(IF('Dashboard Visualization'!$U$3="",'Working Data'!$M162,'Working Data'!$M162*(100% +'Dashboard Visualization'!$U$3)),0)</f>
        <v>50</v>
      </c>
      <c r="O162" s="19">
        <v>299.75</v>
      </c>
      <c r="P162" s="20">
        <f>IF('Dashboard Visualization'!$U$2="",'Working Data'!$O162*'Working Data'!$N162,'Working Data'!$O162*'Working Data'!$N162*(100%+'Dashboard Visualization'!$U$2))</f>
        <v>14987.5</v>
      </c>
      <c r="Q162" s="19">
        <v>523.01</v>
      </c>
      <c r="R162" s="20">
        <f t="shared" si="24"/>
        <v>440.89742999999999</v>
      </c>
      <c r="S162" s="11">
        <v>0.157</v>
      </c>
      <c r="T162" s="22">
        <f>IF('Dashboard Visualization'!$U$1="",$S162,IF(S162&gt;'Dashboard Visualization'!$U$1,'Dashboard Visualization'!$U$1,S162))</f>
        <v>0.157</v>
      </c>
      <c r="U162" s="20">
        <f t="shared" si="25"/>
        <v>18583.8266745</v>
      </c>
      <c r="V162" s="20">
        <f t="shared" si="26"/>
        <v>3596.3266745000001</v>
      </c>
      <c r="W162" s="22">
        <f t="shared" si="22"/>
        <v>0.19351916790284848</v>
      </c>
      <c r="X162" s="28" t="str">
        <f>TEXT(B162,"MMM-YYYY")</f>
        <v>Feb-2023</v>
      </c>
      <c r="Y162" s="7" t="str">
        <f t="shared" si="27"/>
        <v>Q1-2023</v>
      </c>
      <c r="Z162" s="7" t="str">
        <f t="shared" si="28"/>
        <v>Low Price</v>
      </c>
      <c r="AA162" s="7" t="str">
        <f t="shared" si="29"/>
        <v>Q1</v>
      </c>
      <c r="AB162" s="28" t="str">
        <f t="shared" si="30"/>
        <v>Feb</v>
      </c>
      <c r="AC162" s="28" t="str">
        <f t="shared" si="31"/>
        <v>2023</v>
      </c>
    </row>
    <row r="163" spans="1:29" x14ac:dyDescent="0.25">
      <c r="A163" s="4" t="s">
        <v>176</v>
      </c>
      <c r="B163" s="14">
        <v>45595</v>
      </c>
      <c r="C163" s="14">
        <v>45620</v>
      </c>
      <c r="D163" s="16">
        <f t="shared" si="23"/>
        <v>25</v>
      </c>
      <c r="E163" s="4" t="s">
        <v>647</v>
      </c>
      <c r="F163" s="4" t="s">
        <v>659</v>
      </c>
      <c r="G163" s="4" t="s">
        <v>676</v>
      </c>
      <c r="H163" s="4" t="s">
        <v>705</v>
      </c>
      <c r="I163" s="4" t="s">
        <v>708</v>
      </c>
      <c r="J163" s="4" t="s">
        <v>718</v>
      </c>
      <c r="K163" s="4" t="s">
        <v>727</v>
      </c>
      <c r="L163" s="4" t="s">
        <v>895</v>
      </c>
      <c r="M163" s="9">
        <v>5</v>
      </c>
      <c r="N163" s="16">
        <f>ROUND(IF('Dashboard Visualization'!$U$3="",'Working Data'!$M163,'Working Data'!$M163*(100% +'Dashboard Visualization'!$U$3)),0)</f>
        <v>5</v>
      </c>
      <c r="O163" s="19">
        <v>811.05</v>
      </c>
      <c r="P163" s="20">
        <f>IF('Dashboard Visualization'!$U$2="",'Working Data'!$O163*'Working Data'!$N163,'Working Data'!$O163*'Working Data'!$N163*(100%+'Dashboard Visualization'!$U$2))</f>
        <v>4055.25</v>
      </c>
      <c r="Q163" s="19">
        <v>1217.71</v>
      </c>
      <c r="R163" s="20">
        <f t="shared" si="24"/>
        <v>1130.0348800000002</v>
      </c>
      <c r="S163" s="11">
        <v>7.1999999999999995E-2</v>
      </c>
      <c r="T163" s="22">
        <f>IF('Dashboard Visualization'!$U$1="",$S163,IF(S163&gt;'Dashboard Visualization'!$U$1,'Dashboard Visualization'!$U$1,S163))</f>
        <v>7.1999999999999995E-2</v>
      </c>
      <c r="U163" s="20">
        <f t="shared" si="25"/>
        <v>5243.3618432000012</v>
      </c>
      <c r="V163" s="20">
        <f t="shared" si="26"/>
        <v>1188.1118432000012</v>
      </c>
      <c r="W163" s="22">
        <f t="shared" si="22"/>
        <v>0.22659352505698932</v>
      </c>
      <c r="X163" s="28" t="str">
        <f>TEXT(B163,"MMM-YYYY")</f>
        <v>Oct-2024</v>
      </c>
      <c r="Y163" s="7" t="str">
        <f t="shared" si="27"/>
        <v>Q4-2024</v>
      </c>
      <c r="Z163" s="7" t="str">
        <f t="shared" si="28"/>
        <v>High Price</v>
      </c>
      <c r="AA163" s="7" t="str">
        <f t="shared" si="29"/>
        <v>Q4</v>
      </c>
      <c r="AB163" s="28" t="str">
        <f t="shared" si="30"/>
        <v>Oct</v>
      </c>
      <c r="AC163" s="28" t="str">
        <f t="shared" si="31"/>
        <v>2024</v>
      </c>
    </row>
    <row r="164" spans="1:29" x14ac:dyDescent="0.25">
      <c r="A164" s="4" t="s">
        <v>177</v>
      </c>
      <c r="B164" s="14">
        <v>45385</v>
      </c>
      <c r="C164" s="14">
        <v>45389</v>
      </c>
      <c r="D164" s="16">
        <f t="shared" si="23"/>
        <v>4</v>
      </c>
      <c r="E164" s="4" t="s">
        <v>648</v>
      </c>
      <c r="F164" s="4" t="s">
        <v>655</v>
      </c>
      <c r="G164" s="4" t="s">
        <v>672</v>
      </c>
      <c r="H164" s="4" t="s">
        <v>703</v>
      </c>
      <c r="I164" s="4" t="s">
        <v>711</v>
      </c>
      <c r="J164" s="4" t="s">
        <v>725</v>
      </c>
      <c r="K164" s="4" t="s">
        <v>730</v>
      </c>
      <c r="L164" s="4" t="s">
        <v>896</v>
      </c>
      <c r="M164" s="9">
        <v>7</v>
      </c>
      <c r="N164" s="16">
        <f>ROUND(IF('Dashboard Visualization'!$U$3="",'Working Data'!$M164,'Working Data'!$M164*(100% +'Dashboard Visualization'!$U$3)),0)</f>
        <v>7</v>
      </c>
      <c r="O164" s="19">
        <v>1023.27</v>
      </c>
      <c r="P164" s="20">
        <f>IF('Dashboard Visualization'!$U$2="",'Working Data'!$O164*'Working Data'!$N164,'Working Data'!$O164*'Working Data'!$N164*(100%+'Dashboard Visualization'!$U$2))</f>
        <v>7162.8899999999994</v>
      </c>
      <c r="Q164" s="19">
        <v>1343.64</v>
      </c>
      <c r="R164" s="20">
        <f t="shared" si="24"/>
        <v>1164.93588</v>
      </c>
      <c r="S164" s="11">
        <v>0.13300000000000001</v>
      </c>
      <c r="T164" s="22">
        <f>IF('Dashboard Visualization'!$U$1="",$S164,IF(S164&gt;'Dashboard Visualization'!$U$1,'Dashboard Visualization'!$U$1,S164))</f>
        <v>0.13300000000000001</v>
      </c>
      <c r="U164" s="20">
        <f t="shared" si="25"/>
        <v>7069.9958557199998</v>
      </c>
      <c r="V164" s="20">
        <f t="shared" si="26"/>
        <v>-92.894144279999637</v>
      </c>
      <c r="W164" s="22">
        <f t="shared" si="22"/>
        <v>0</v>
      </c>
      <c r="X164" s="28" t="str">
        <f>TEXT(B164,"MMM-YYYY")</f>
        <v>Apr-2024</v>
      </c>
      <c r="Y164" s="7" t="str">
        <f t="shared" si="27"/>
        <v>Q2-2024</v>
      </c>
      <c r="Z164" s="7" t="str">
        <f t="shared" si="28"/>
        <v>High Price</v>
      </c>
      <c r="AA164" s="7" t="str">
        <f t="shared" si="29"/>
        <v>Q2</v>
      </c>
      <c r="AB164" s="28" t="str">
        <f t="shared" si="30"/>
        <v>Apr</v>
      </c>
      <c r="AC164" s="28" t="str">
        <f t="shared" si="31"/>
        <v>2024</v>
      </c>
    </row>
    <row r="165" spans="1:29" x14ac:dyDescent="0.25">
      <c r="A165" s="4" t="s">
        <v>178</v>
      </c>
      <c r="B165" s="14">
        <v>45010</v>
      </c>
      <c r="C165" s="14">
        <v>45011</v>
      </c>
      <c r="D165" s="16">
        <f t="shared" si="23"/>
        <v>1</v>
      </c>
      <c r="E165" s="4" t="s">
        <v>647</v>
      </c>
      <c r="F165" s="4" t="s">
        <v>652</v>
      </c>
      <c r="G165" s="4" t="s">
        <v>666</v>
      </c>
      <c r="H165" s="4" t="s">
        <v>705</v>
      </c>
      <c r="I165" s="4" t="s">
        <v>710</v>
      </c>
      <c r="J165" s="4" t="s">
        <v>714</v>
      </c>
      <c r="K165" s="4" t="s">
        <v>732</v>
      </c>
      <c r="L165" s="4" t="s">
        <v>897</v>
      </c>
      <c r="M165" s="9">
        <v>47</v>
      </c>
      <c r="N165" s="16">
        <f>ROUND(IF('Dashboard Visualization'!$U$3="",'Working Data'!$M165,'Working Data'!$M165*(100% +'Dashboard Visualization'!$U$3)),0)</f>
        <v>47</v>
      </c>
      <c r="O165" s="19">
        <v>135.12</v>
      </c>
      <c r="P165" s="20">
        <f>IF('Dashboard Visualization'!$U$2="",'Working Data'!$O165*'Working Data'!$N165,'Working Data'!$O165*'Working Data'!$N165*(100%+'Dashboard Visualization'!$U$2))</f>
        <v>6350.64</v>
      </c>
      <c r="Q165" s="19">
        <v>301.7</v>
      </c>
      <c r="R165" s="20">
        <f t="shared" si="24"/>
        <v>259.46199999999999</v>
      </c>
      <c r="S165" s="11">
        <v>0.14000000000000001</v>
      </c>
      <c r="T165" s="22">
        <f>IF('Dashboard Visualization'!$U$1="",$S165,IF(S165&gt;'Dashboard Visualization'!$U$1,'Dashboard Visualization'!$U$1,S165))</f>
        <v>0.14000000000000001</v>
      </c>
      <c r="U165" s="20">
        <f t="shared" si="25"/>
        <v>10487.454039999999</v>
      </c>
      <c r="V165" s="20">
        <f t="shared" si="26"/>
        <v>4136.8140399999984</v>
      </c>
      <c r="W165" s="22">
        <f t="shared" si="22"/>
        <v>0.39445360372706806</v>
      </c>
      <c r="X165" s="28" t="str">
        <f>TEXT(B165,"MMM-YYYY")</f>
        <v>Mar-2023</v>
      </c>
      <c r="Y165" s="7" t="str">
        <f t="shared" si="27"/>
        <v>Q1-2023</v>
      </c>
      <c r="Z165" s="7" t="str">
        <f t="shared" si="28"/>
        <v>Low Price</v>
      </c>
      <c r="AA165" s="7" t="str">
        <f t="shared" si="29"/>
        <v>Q1</v>
      </c>
      <c r="AB165" s="28" t="str">
        <f t="shared" si="30"/>
        <v>Mar</v>
      </c>
      <c r="AC165" s="28" t="str">
        <f t="shared" si="31"/>
        <v>2023</v>
      </c>
    </row>
    <row r="166" spans="1:29" x14ac:dyDescent="0.25">
      <c r="A166" s="4" t="s">
        <v>179</v>
      </c>
      <c r="B166" s="14">
        <v>45447</v>
      </c>
      <c r="C166" s="14">
        <v>45459</v>
      </c>
      <c r="D166" s="16">
        <f t="shared" si="23"/>
        <v>12</v>
      </c>
      <c r="E166" s="4" t="s">
        <v>647</v>
      </c>
      <c r="F166" s="4" t="s">
        <v>659</v>
      </c>
      <c r="G166" s="4" t="s">
        <v>685</v>
      </c>
      <c r="H166" s="4" t="s">
        <v>701</v>
      </c>
      <c r="I166" s="4" t="s">
        <v>707</v>
      </c>
      <c r="J166" s="4" t="s">
        <v>713</v>
      </c>
      <c r="K166" s="4" t="s">
        <v>728</v>
      </c>
      <c r="L166" s="4" t="s">
        <v>898</v>
      </c>
      <c r="M166" s="9">
        <v>8</v>
      </c>
      <c r="N166" s="16">
        <f>ROUND(IF('Dashboard Visualization'!$U$3="",'Working Data'!$M166,'Working Data'!$M166*(100% +'Dashboard Visualization'!$U$3)),0)</f>
        <v>8</v>
      </c>
      <c r="O166" s="19">
        <v>918.42</v>
      </c>
      <c r="P166" s="20">
        <f>IF('Dashboard Visualization'!$U$2="",'Working Data'!$O166*'Working Data'!$N166,'Working Data'!$O166*'Working Data'!$N166*(100%+'Dashboard Visualization'!$U$2))</f>
        <v>7347.36</v>
      </c>
      <c r="Q166" s="19">
        <v>1511.71</v>
      </c>
      <c r="R166" s="20">
        <f t="shared" si="24"/>
        <v>1481.4757999999999</v>
      </c>
      <c r="S166" s="11">
        <v>0.02</v>
      </c>
      <c r="T166" s="22">
        <f>IF('Dashboard Visualization'!$U$1="",$S166,IF(S166&gt;'Dashboard Visualization'!$U$1,'Dashboard Visualization'!$U$1,S166))</f>
        <v>0.02</v>
      </c>
      <c r="U166" s="20">
        <f t="shared" si="25"/>
        <v>11614.770272</v>
      </c>
      <c r="V166" s="20">
        <f t="shared" si="26"/>
        <v>4267.4102720000001</v>
      </c>
      <c r="W166" s="22">
        <f t="shared" si="22"/>
        <v>0.36741236994480608</v>
      </c>
      <c r="X166" s="28" t="str">
        <f>TEXT(B166,"MMM-YYYY")</f>
        <v>Jun-2024</v>
      </c>
      <c r="Y166" s="7" t="str">
        <f t="shared" si="27"/>
        <v>Q2-2024</v>
      </c>
      <c r="Z166" s="7" t="str">
        <f t="shared" si="28"/>
        <v>High Price</v>
      </c>
      <c r="AA166" s="7" t="str">
        <f t="shared" si="29"/>
        <v>Q2</v>
      </c>
      <c r="AB166" s="28" t="str">
        <f t="shared" si="30"/>
        <v>Jun</v>
      </c>
      <c r="AC166" s="28" t="str">
        <f t="shared" si="31"/>
        <v>2024</v>
      </c>
    </row>
    <row r="167" spans="1:29" x14ac:dyDescent="0.25">
      <c r="A167" s="4" t="s">
        <v>180</v>
      </c>
      <c r="B167" s="14">
        <v>44976</v>
      </c>
      <c r="C167" s="14">
        <v>44997</v>
      </c>
      <c r="D167" s="16">
        <f t="shared" si="23"/>
        <v>21</v>
      </c>
      <c r="E167" s="4" t="s">
        <v>649</v>
      </c>
      <c r="F167" s="4" t="s">
        <v>656</v>
      </c>
      <c r="G167" s="4" t="s">
        <v>671</v>
      </c>
      <c r="H167" s="4" t="s">
        <v>705</v>
      </c>
      <c r="I167" s="4" t="s">
        <v>711</v>
      </c>
      <c r="J167" s="4" t="s">
        <v>716</v>
      </c>
      <c r="K167" s="4" t="s">
        <v>732</v>
      </c>
      <c r="L167" s="4" t="s">
        <v>899</v>
      </c>
      <c r="M167" s="9">
        <v>44</v>
      </c>
      <c r="N167" s="16">
        <f>ROUND(IF('Dashboard Visualization'!$U$3="",'Working Data'!$M167,'Working Data'!$M167*(100% +'Dashboard Visualization'!$U$3)),0)</f>
        <v>44</v>
      </c>
      <c r="O167" s="19">
        <v>1234.81</v>
      </c>
      <c r="P167" s="20">
        <f>IF('Dashboard Visualization'!$U$2="",'Working Data'!$O167*'Working Data'!$N167,'Working Data'!$O167*'Working Data'!$N167*(100%+'Dashboard Visualization'!$U$2))</f>
        <v>54331.64</v>
      </c>
      <c r="Q167" s="19">
        <v>2055.2399999999998</v>
      </c>
      <c r="R167" s="20">
        <f t="shared" si="24"/>
        <v>1946.3122799999996</v>
      </c>
      <c r="S167" s="11">
        <v>5.2999999999999999E-2</v>
      </c>
      <c r="T167" s="22">
        <f>IF('Dashboard Visualization'!$U$1="",$S167,IF(S167&gt;'Dashboard Visualization'!$U$1,'Dashboard Visualization'!$U$1,S167))</f>
        <v>5.2999999999999999E-2</v>
      </c>
      <c r="U167" s="20">
        <f t="shared" si="25"/>
        <v>81098.940083039983</v>
      </c>
      <c r="V167" s="20">
        <f t="shared" si="26"/>
        <v>26767.300083039983</v>
      </c>
      <c r="W167" s="22">
        <f t="shared" si="22"/>
        <v>0.33005733559072448</v>
      </c>
      <c r="X167" s="28" t="str">
        <f>TEXT(B167,"MMM-YYYY")</f>
        <v>Feb-2023</v>
      </c>
      <c r="Y167" s="7" t="str">
        <f t="shared" si="27"/>
        <v>Q1-2023</v>
      </c>
      <c r="Z167" s="7" t="str">
        <f t="shared" si="28"/>
        <v>Medium Price</v>
      </c>
      <c r="AA167" s="7" t="str">
        <f t="shared" si="29"/>
        <v>Q1</v>
      </c>
      <c r="AB167" s="28" t="str">
        <f t="shared" si="30"/>
        <v>Feb</v>
      </c>
      <c r="AC167" s="28" t="str">
        <f t="shared" si="31"/>
        <v>2023</v>
      </c>
    </row>
    <row r="168" spans="1:29" x14ac:dyDescent="0.25">
      <c r="A168" s="4" t="s">
        <v>181</v>
      </c>
      <c r="B168" s="14">
        <v>45034</v>
      </c>
      <c r="C168" s="14">
        <v>45064</v>
      </c>
      <c r="D168" s="16">
        <f t="shared" si="23"/>
        <v>30</v>
      </c>
      <c r="E168" s="4" t="s">
        <v>647</v>
      </c>
      <c r="F168" s="4" t="s">
        <v>659</v>
      </c>
      <c r="G168" s="4" t="s">
        <v>676</v>
      </c>
      <c r="H168" s="4" t="s">
        <v>703</v>
      </c>
      <c r="I168" s="4" t="s">
        <v>707</v>
      </c>
      <c r="J168" s="4" t="s">
        <v>722</v>
      </c>
      <c r="K168" s="4" t="s">
        <v>731</v>
      </c>
      <c r="L168" s="4" t="s">
        <v>900</v>
      </c>
      <c r="M168" s="9">
        <v>46</v>
      </c>
      <c r="N168" s="16">
        <f>ROUND(IF('Dashboard Visualization'!$U$3="",'Working Data'!$M168,'Working Data'!$M168*(100% +'Dashboard Visualization'!$U$3)),0)</f>
        <v>46</v>
      </c>
      <c r="O168" s="19">
        <v>329.03</v>
      </c>
      <c r="P168" s="20">
        <f>IF('Dashboard Visualization'!$U$2="",'Working Data'!$O168*'Working Data'!$N168,'Working Data'!$O168*'Working Data'!$N168*(100%+'Dashboard Visualization'!$U$2))</f>
        <v>15135.38</v>
      </c>
      <c r="Q168" s="19">
        <v>391.15</v>
      </c>
      <c r="R168" s="20">
        <f t="shared" si="24"/>
        <v>314.09344999999996</v>
      </c>
      <c r="S168" s="11">
        <v>0.19700000000000001</v>
      </c>
      <c r="T168" s="22">
        <f>IF('Dashboard Visualization'!$U$1="",$S168,IF(S168&gt;'Dashboard Visualization'!$U$1,'Dashboard Visualization'!$U$1,S168))</f>
        <v>0.19700000000000001</v>
      </c>
      <c r="U168" s="20">
        <f t="shared" si="25"/>
        <v>11601.983856099998</v>
      </c>
      <c r="V168" s="20">
        <f t="shared" si="26"/>
        <v>-3533.3961439000013</v>
      </c>
      <c r="W168" s="22">
        <f t="shared" si="22"/>
        <v>0</v>
      </c>
      <c r="X168" s="28" t="str">
        <f>TEXT(B168,"MMM-YYYY")</f>
        <v>Apr-2023</v>
      </c>
      <c r="Y168" s="7" t="str">
        <f t="shared" si="27"/>
        <v>Q2-2023</v>
      </c>
      <c r="Z168" s="7" t="str">
        <f t="shared" si="28"/>
        <v>Low Price</v>
      </c>
      <c r="AA168" s="7" t="str">
        <f t="shared" si="29"/>
        <v>Q2</v>
      </c>
      <c r="AB168" s="28" t="str">
        <f t="shared" si="30"/>
        <v>Apr</v>
      </c>
      <c r="AC168" s="28" t="str">
        <f t="shared" si="31"/>
        <v>2023</v>
      </c>
    </row>
    <row r="169" spans="1:29" x14ac:dyDescent="0.25">
      <c r="A169" s="4" t="s">
        <v>182</v>
      </c>
      <c r="B169" s="14">
        <v>45435</v>
      </c>
      <c r="C169" s="14">
        <v>45457</v>
      </c>
      <c r="D169" s="16">
        <f t="shared" si="23"/>
        <v>22</v>
      </c>
      <c r="E169" s="4" t="s">
        <v>649</v>
      </c>
      <c r="F169" s="4" t="s">
        <v>657</v>
      </c>
      <c r="G169" s="4" t="s">
        <v>673</v>
      </c>
      <c r="H169" s="4" t="s">
        <v>705</v>
      </c>
      <c r="I169" s="4" t="s">
        <v>708</v>
      </c>
      <c r="J169" s="4" t="s">
        <v>725</v>
      </c>
      <c r="K169" s="4" t="s">
        <v>732</v>
      </c>
      <c r="L169" s="4" t="s">
        <v>901</v>
      </c>
      <c r="M169" s="9">
        <v>9</v>
      </c>
      <c r="N169" s="16">
        <f>ROUND(IF('Dashboard Visualization'!$U$3="",'Working Data'!$M169,'Working Data'!$M169*(100% +'Dashboard Visualization'!$U$3)),0)</f>
        <v>9</v>
      </c>
      <c r="O169" s="19">
        <v>1481.74</v>
      </c>
      <c r="P169" s="20">
        <f>IF('Dashboard Visualization'!$U$2="",'Working Data'!$O169*'Working Data'!$N169,'Working Data'!$O169*'Working Data'!$N169*(100%+'Dashboard Visualization'!$U$2))</f>
        <v>13335.66</v>
      </c>
      <c r="Q169" s="19">
        <v>1848.97</v>
      </c>
      <c r="R169" s="20">
        <f t="shared" si="24"/>
        <v>1379.3316199999999</v>
      </c>
      <c r="S169" s="11">
        <v>0.254</v>
      </c>
      <c r="T169" s="22">
        <f>IF('Dashboard Visualization'!$U$1="",$S169,IF(S169&gt;'Dashboard Visualization'!$U$1,'Dashboard Visualization'!$U$1,S169))</f>
        <v>0.254</v>
      </c>
      <c r="U169" s="20">
        <f t="shared" si="25"/>
        <v>9260.8324966799992</v>
      </c>
      <c r="V169" s="20">
        <f t="shared" si="26"/>
        <v>-4074.8275033200007</v>
      </c>
      <c r="W169" s="22">
        <f t="shared" si="22"/>
        <v>0</v>
      </c>
      <c r="X169" s="28" t="str">
        <f>TEXT(B169,"MMM-YYYY")</f>
        <v>May-2024</v>
      </c>
      <c r="Y169" s="7" t="str">
        <f t="shared" si="27"/>
        <v>Q2-2024</v>
      </c>
      <c r="Z169" s="7" t="str">
        <f t="shared" si="28"/>
        <v>High Price</v>
      </c>
      <c r="AA169" s="7" t="str">
        <f t="shared" si="29"/>
        <v>Q2</v>
      </c>
      <c r="AB169" s="28" t="str">
        <f t="shared" si="30"/>
        <v>May</v>
      </c>
      <c r="AC169" s="28" t="str">
        <f t="shared" si="31"/>
        <v>2024</v>
      </c>
    </row>
    <row r="170" spans="1:29" x14ac:dyDescent="0.25">
      <c r="A170" s="4" t="s">
        <v>183</v>
      </c>
      <c r="B170" s="14">
        <v>45206</v>
      </c>
      <c r="C170" s="14">
        <v>45222</v>
      </c>
      <c r="D170" s="16">
        <f t="shared" si="23"/>
        <v>16</v>
      </c>
      <c r="E170" s="4" t="s">
        <v>647</v>
      </c>
      <c r="F170" s="4" t="s">
        <v>654</v>
      </c>
      <c r="G170" s="4" t="s">
        <v>696</v>
      </c>
      <c r="H170" s="4" t="s">
        <v>704</v>
      </c>
      <c r="I170" s="4" t="s">
        <v>707</v>
      </c>
      <c r="J170" s="4" t="s">
        <v>715</v>
      </c>
      <c r="K170" s="4" t="s">
        <v>732</v>
      </c>
      <c r="L170" s="4" t="s">
        <v>902</v>
      </c>
      <c r="M170" s="9">
        <v>6</v>
      </c>
      <c r="N170" s="16">
        <f>ROUND(IF('Dashboard Visualization'!$U$3="",'Working Data'!$M170,'Working Data'!$M170*(100% +'Dashboard Visualization'!$U$3)),0)</f>
        <v>6</v>
      </c>
      <c r="O170" s="19">
        <v>906.81</v>
      </c>
      <c r="P170" s="20">
        <f>IF('Dashboard Visualization'!$U$2="",'Working Data'!$O170*'Working Data'!$N170,'Working Data'!$O170*'Working Data'!$N170*(100%+'Dashboard Visualization'!$U$2))</f>
        <v>5440.86</v>
      </c>
      <c r="Q170" s="19">
        <v>1395.56</v>
      </c>
      <c r="R170" s="20">
        <f t="shared" si="24"/>
        <v>1137.3814</v>
      </c>
      <c r="S170" s="11">
        <v>0.185</v>
      </c>
      <c r="T170" s="22">
        <f>IF('Dashboard Visualization'!$U$1="",$S170,IF(S170&gt;'Dashboard Visualization'!$U$1,'Dashboard Visualization'!$U$1,S170))</f>
        <v>0.185</v>
      </c>
      <c r="U170" s="20">
        <f t="shared" si="25"/>
        <v>5561.7950459999993</v>
      </c>
      <c r="V170" s="20">
        <f t="shared" si="26"/>
        <v>120.9350459999996</v>
      </c>
      <c r="W170" s="22">
        <f t="shared" si="22"/>
        <v>2.1743887539864521E-2</v>
      </c>
      <c r="X170" s="28" t="str">
        <f>TEXT(B170,"MMM-YYYY")</f>
        <v>Oct-2023</v>
      </c>
      <c r="Y170" s="7" t="str">
        <f t="shared" si="27"/>
        <v>Q4-2023</v>
      </c>
      <c r="Z170" s="7" t="str">
        <f t="shared" si="28"/>
        <v>High Price</v>
      </c>
      <c r="AA170" s="7" t="str">
        <f t="shared" si="29"/>
        <v>Q4</v>
      </c>
      <c r="AB170" s="28" t="str">
        <f t="shared" si="30"/>
        <v>Oct</v>
      </c>
      <c r="AC170" s="28" t="str">
        <f t="shared" si="31"/>
        <v>2023</v>
      </c>
    </row>
    <row r="171" spans="1:29" x14ac:dyDescent="0.25">
      <c r="A171" s="4" t="s">
        <v>184</v>
      </c>
      <c r="B171" s="14">
        <v>45574</v>
      </c>
      <c r="C171" s="14">
        <v>45604</v>
      </c>
      <c r="D171" s="16">
        <f t="shared" si="23"/>
        <v>30</v>
      </c>
      <c r="E171" s="4" t="s">
        <v>649</v>
      </c>
      <c r="F171" s="4" t="s">
        <v>658</v>
      </c>
      <c r="G171" s="4" t="s">
        <v>693</v>
      </c>
      <c r="H171" s="4" t="s">
        <v>705</v>
      </c>
      <c r="I171" s="4" t="s">
        <v>710</v>
      </c>
      <c r="J171" s="4" t="s">
        <v>713</v>
      </c>
      <c r="K171" s="4" t="s">
        <v>727</v>
      </c>
      <c r="L171" s="4" t="s">
        <v>903</v>
      </c>
      <c r="M171" s="9">
        <v>5</v>
      </c>
      <c r="N171" s="16">
        <f>ROUND(IF('Dashboard Visualization'!$U$3="",'Working Data'!$M171,'Working Data'!$M171*(100% +'Dashboard Visualization'!$U$3)),0)</f>
        <v>5</v>
      </c>
      <c r="O171" s="19">
        <v>343.85</v>
      </c>
      <c r="P171" s="20">
        <f>IF('Dashboard Visualization'!$U$2="",'Working Data'!$O171*'Working Data'!$N171,'Working Data'!$O171*'Working Data'!$N171*(100%+'Dashboard Visualization'!$U$2))</f>
        <v>1719.25</v>
      </c>
      <c r="Q171" s="19">
        <v>538.04</v>
      </c>
      <c r="R171" s="20">
        <f t="shared" si="24"/>
        <v>463.25243999999998</v>
      </c>
      <c r="S171" s="11">
        <v>0.13900000000000001</v>
      </c>
      <c r="T171" s="22">
        <f>IF('Dashboard Visualization'!$U$1="",$S171,IF(S171&gt;'Dashboard Visualization'!$U$1,'Dashboard Visualization'!$U$1,S171))</f>
        <v>0.13900000000000001</v>
      </c>
      <c r="U171" s="20">
        <f t="shared" si="25"/>
        <v>1994.3017541999998</v>
      </c>
      <c r="V171" s="20">
        <f t="shared" si="26"/>
        <v>275.05175419999978</v>
      </c>
      <c r="W171" s="22">
        <f t="shared" si="22"/>
        <v>0.13791882478202747</v>
      </c>
      <c r="X171" s="28" t="str">
        <f>TEXT(B171,"MMM-YYYY")</f>
        <v>Oct-2024</v>
      </c>
      <c r="Y171" s="7" t="str">
        <f t="shared" si="27"/>
        <v>Q4-2024</v>
      </c>
      <c r="Z171" s="7" t="str">
        <f t="shared" si="28"/>
        <v>Low Price</v>
      </c>
      <c r="AA171" s="7" t="str">
        <f t="shared" si="29"/>
        <v>Q4</v>
      </c>
      <c r="AB171" s="28" t="str">
        <f t="shared" si="30"/>
        <v>Oct</v>
      </c>
      <c r="AC171" s="28" t="str">
        <f t="shared" si="31"/>
        <v>2024</v>
      </c>
    </row>
    <row r="172" spans="1:29" x14ac:dyDescent="0.25">
      <c r="A172" s="4" t="s">
        <v>185</v>
      </c>
      <c r="B172" s="14">
        <v>45488</v>
      </c>
      <c r="C172" s="14">
        <v>45488</v>
      </c>
      <c r="D172" s="16">
        <f t="shared" si="23"/>
        <v>0</v>
      </c>
      <c r="E172" s="4" t="s">
        <v>647</v>
      </c>
      <c r="F172" s="4" t="s">
        <v>652</v>
      </c>
      <c r="G172" s="4" t="s">
        <v>689</v>
      </c>
      <c r="H172" s="4" t="s">
        <v>705</v>
      </c>
      <c r="I172" s="4" t="s">
        <v>709</v>
      </c>
      <c r="J172" s="4" t="s">
        <v>715</v>
      </c>
      <c r="K172" s="4" t="s">
        <v>733</v>
      </c>
      <c r="L172" s="4" t="s">
        <v>904</v>
      </c>
      <c r="M172" s="9">
        <v>16</v>
      </c>
      <c r="N172" s="16">
        <f>ROUND(IF('Dashboard Visualization'!$U$3="",'Working Data'!$M172,'Working Data'!$M172*(100% +'Dashboard Visualization'!$U$3)),0)</f>
        <v>16</v>
      </c>
      <c r="O172" s="19">
        <v>801.77</v>
      </c>
      <c r="P172" s="20">
        <f>IF('Dashboard Visualization'!$U$2="",'Working Data'!$O172*'Working Data'!$N172,'Working Data'!$O172*'Working Data'!$N172*(100%+'Dashboard Visualization'!$U$2))</f>
        <v>12828.32</v>
      </c>
      <c r="Q172" s="19">
        <v>1218.92</v>
      </c>
      <c r="R172" s="20">
        <f t="shared" si="24"/>
        <v>909.31432000000007</v>
      </c>
      <c r="S172" s="11">
        <v>0.254</v>
      </c>
      <c r="T172" s="22">
        <f>IF('Dashboard Visualization'!$U$1="",$S172,IF(S172&gt;'Dashboard Visualization'!$U$1,'Dashboard Visualization'!$U$1,S172))</f>
        <v>0.254</v>
      </c>
      <c r="U172" s="20">
        <f t="shared" si="25"/>
        <v>10853.57572352</v>
      </c>
      <c r="V172" s="20">
        <f t="shared" si="26"/>
        <v>-1974.7442764799998</v>
      </c>
      <c r="W172" s="22">
        <f t="shared" si="22"/>
        <v>0</v>
      </c>
      <c r="X172" s="28" t="str">
        <f>TEXT(B172,"MMM-YYYY")</f>
        <v>Jul-2024</v>
      </c>
      <c r="Y172" s="7" t="str">
        <f t="shared" si="27"/>
        <v>Q3-2024</v>
      </c>
      <c r="Z172" s="7" t="str">
        <f t="shared" si="28"/>
        <v>High Price</v>
      </c>
      <c r="AA172" s="7" t="str">
        <f t="shared" si="29"/>
        <v>Q3</v>
      </c>
      <c r="AB172" s="28" t="str">
        <f t="shared" si="30"/>
        <v>Jul</v>
      </c>
      <c r="AC172" s="28" t="str">
        <f t="shared" si="31"/>
        <v>2024</v>
      </c>
    </row>
    <row r="173" spans="1:29" x14ac:dyDescent="0.25">
      <c r="A173" s="4" t="s">
        <v>186</v>
      </c>
      <c r="B173" s="14">
        <v>45190</v>
      </c>
      <c r="C173" s="14">
        <v>45209</v>
      </c>
      <c r="D173" s="16">
        <f t="shared" si="23"/>
        <v>19</v>
      </c>
      <c r="E173" s="4" t="s">
        <v>647</v>
      </c>
      <c r="F173" s="4" t="s">
        <v>652</v>
      </c>
      <c r="G173" s="4" t="s">
        <v>689</v>
      </c>
      <c r="H173" s="4" t="s">
        <v>702</v>
      </c>
      <c r="I173" s="4" t="s">
        <v>708</v>
      </c>
      <c r="J173" s="4" t="s">
        <v>726</v>
      </c>
      <c r="K173" s="4" t="s">
        <v>727</v>
      </c>
      <c r="L173" s="4" t="s">
        <v>905</v>
      </c>
      <c r="M173" s="9">
        <v>5</v>
      </c>
      <c r="N173" s="16">
        <f>ROUND(IF('Dashboard Visualization'!$U$3="",'Working Data'!$M173,'Working Data'!$M173*(100% +'Dashboard Visualization'!$U$3)),0)</f>
        <v>5</v>
      </c>
      <c r="O173" s="19">
        <v>845.63</v>
      </c>
      <c r="P173" s="20">
        <f>IF('Dashboard Visualization'!$U$2="",'Working Data'!$O173*'Working Data'!$N173,'Working Data'!$O173*'Working Data'!$N173*(100%+'Dashboard Visualization'!$U$2))</f>
        <v>4228.1499999999996</v>
      </c>
      <c r="Q173" s="19">
        <v>2062.12</v>
      </c>
      <c r="R173" s="20">
        <f t="shared" si="24"/>
        <v>1785.7959199999998</v>
      </c>
      <c r="S173" s="11">
        <v>0.13400000000000001</v>
      </c>
      <c r="T173" s="22">
        <f>IF('Dashboard Visualization'!$U$1="",$S173,IF(S173&gt;'Dashboard Visualization'!$U$1,'Dashboard Visualization'!$U$1,S173))</f>
        <v>0.13400000000000001</v>
      </c>
      <c r="U173" s="20">
        <f t="shared" si="25"/>
        <v>7732.4963335999983</v>
      </c>
      <c r="V173" s="20">
        <f t="shared" si="26"/>
        <v>3504.3463335999986</v>
      </c>
      <c r="W173" s="22">
        <f t="shared" si="22"/>
        <v>0.45319728356967603</v>
      </c>
      <c r="X173" s="28" t="str">
        <f>TEXT(B173,"MMM-YYYY")</f>
        <v>Sep-2023</v>
      </c>
      <c r="Y173" s="7" t="str">
        <f t="shared" si="27"/>
        <v>Q3-2023</v>
      </c>
      <c r="Z173" s="7" t="str">
        <f t="shared" si="28"/>
        <v>Medium Price</v>
      </c>
      <c r="AA173" s="7" t="str">
        <f t="shared" si="29"/>
        <v>Q3</v>
      </c>
      <c r="AB173" s="28" t="str">
        <f t="shared" si="30"/>
        <v>Sep</v>
      </c>
      <c r="AC173" s="28" t="str">
        <f t="shared" si="31"/>
        <v>2023</v>
      </c>
    </row>
    <row r="174" spans="1:29" x14ac:dyDescent="0.25">
      <c r="A174" s="4" t="s">
        <v>187</v>
      </c>
      <c r="B174" s="14">
        <v>44981</v>
      </c>
      <c r="C174" s="14">
        <v>44994</v>
      </c>
      <c r="D174" s="16">
        <f t="shared" si="23"/>
        <v>13</v>
      </c>
      <c r="E174" s="4" t="s">
        <v>648</v>
      </c>
      <c r="F174" s="4" t="s">
        <v>660</v>
      </c>
      <c r="G174" s="4" t="s">
        <v>700</v>
      </c>
      <c r="H174" s="4" t="s">
        <v>706</v>
      </c>
      <c r="I174" s="4" t="s">
        <v>708</v>
      </c>
      <c r="J174" s="4" t="s">
        <v>724</v>
      </c>
      <c r="K174" s="4" t="s">
        <v>727</v>
      </c>
      <c r="L174" s="4" t="s">
        <v>906</v>
      </c>
      <c r="M174" s="9">
        <v>10</v>
      </c>
      <c r="N174" s="16">
        <f>ROUND(IF('Dashboard Visualization'!$U$3="",'Working Data'!$M174,'Working Data'!$M174*(100% +'Dashboard Visualization'!$U$3)),0)</f>
        <v>10</v>
      </c>
      <c r="O174" s="19">
        <v>6.85</v>
      </c>
      <c r="P174" s="20">
        <f>IF('Dashboard Visualization'!$U$2="",'Working Data'!$O174*'Working Data'!$N174,'Working Data'!$O174*'Working Data'!$N174*(100%+'Dashboard Visualization'!$U$2))</f>
        <v>68.5</v>
      </c>
      <c r="Q174" s="19">
        <v>10.18</v>
      </c>
      <c r="R174" s="20">
        <f t="shared" si="24"/>
        <v>9.7015399999999996</v>
      </c>
      <c r="S174" s="11">
        <v>4.7E-2</v>
      </c>
      <c r="T174" s="22">
        <f>IF('Dashboard Visualization'!$U$1="",$S174,IF(S174&gt;'Dashboard Visualization'!$U$1,'Dashboard Visualization'!$U$1,S174))</f>
        <v>4.7E-2</v>
      </c>
      <c r="U174" s="20">
        <f t="shared" si="25"/>
        <v>92.455676199999999</v>
      </c>
      <c r="V174" s="20">
        <f t="shared" si="26"/>
        <v>23.955676199999999</v>
      </c>
      <c r="W174" s="22">
        <f t="shared" si="22"/>
        <v>0.25910443992837295</v>
      </c>
      <c r="X174" s="28" t="str">
        <f>TEXT(B174,"MMM-YYYY")</f>
        <v>Feb-2023</v>
      </c>
      <c r="Y174" s="7" t="str">
        <f t="shared" si="27"/>
        <v>Q1-2023</v>
      </c>
      <c r="Z174" s="7" t="str">
        <f t="shared" si="28"/>
        <v>Low Price</v>
      </c>
      <c r="AA174" s="7" t="str">
        <f t="shared" si="29"/>
        <v>Q1</v>
      </c>
      <c r="AB174" s="28" t="str">
        <f t="shared" si="30"/>
        <v>Feb</v>
      </c>
      <c r="AC174" s="28" t="str">
        <f t="shared" si="31"/>
        <v>2023</v>
      </c>
    </row>
    <row r="175" spans="1:29" x14ac:dyDescent="0.25">
      <c r="A175" s="4" t="s">
        <v>188</v>
      </c>
      <c r="B175" s="14">
        <v>45798</v>
      </c>
      <c r="C175" s="14">
        <v>45796</v>
      </c>
      <c r="D175" s="16" t="str">
        <f t="shared" si="23"/>
        <v/>
      </c>
      <c r="E175" s="4" t="s">
        <v>646</v>
      </c>
      <c r="F175" s="4" t="s">
        <v>661</v>
      </c>
      <c r="G175" s="4" t="s">
        <v>682</v>
      </c>
      <c r="H175" s="4" t="s">
        <v>703</v>
      </c>
      <c r="I175" s="4" t="s">
        <v>710</v>
      </c>
      <c r="J175" s="4" t="s">
        <v>719</v>
      </c>
      <c r="K175" s="4" t="s">
        <v>731</v>
      </c>
      <c r="L175" s="4" t="s">
        <v>907</v>
      </c>
      <c r="M175" s="9">
        <v>15</v>
      </c>
      <c r="N175" s="16">
        <f>ROUND(IF('Dashboard Visualization'!$U$3="",'Working Data'!$M175,'Working Data'!$M175*(100% +'Dashboard Visualization'!$U$3)),0)</f>
        <v>15</v>
      </c>
      <c r="O175" s="19">
        <v>1263.8399999999999</v>
      </c>
      <c r="P175" s="20">
        <f>IF('Dashboard Visualization'!$U$2="",'Working Data'!$O175*'Working Data'!$N175,'Working Data'!$O175*'Working Data'!$N175*(100%+'Dashboard Visualization'!$U$2))</f>
        <v>18957.599999999999</v>
      </c>
      <c r="Q175" s="19">
        <v>2281.7199999999998</v>
      </c>
      <c r="R175" s="20">
        <f t="shared" si="24"/>
        <v>2103.74584</v>
      </c>
      <c r="S175" s="11">
        <v>7.8E-2</v>
      </c>
      <c r="T175" s="22">
        <f>IF('Dashboard Visualization'!$U$1="",$S175,IF(S175&gt;'Dashboard Visualization'!$U$1,'Dashboard Visualization'!$U$1,S175))</f>
        <v>7.8E-2</v>
      </c>
      <c r="U175" s="20">
        <f t="shared" si="25"/>
        <v>29094.804967200002</v>
      </c>
      <c r="V175" s="20">
        <f t="shared" si="26"/>
        <v>10137.204967200003</v>
      </c>
      <c r="W175" s="22">
        <f t="shared" si="22"/>
        <v>0.34841976011278203</v>
      </c>
      <c r="X175" s="28" t="str">
        <f>TEXT(B175,"MMM-YYYY")</f>
        <v>May-2025</v>
      </c>
      <c r="Y175" s="7" t="str">
        <f t="shared" si="27"/>
        <v>Q2-2025</v>
      </c>
      <c r="Z175" s="7" t="str">
        <f t="shared" si="28"/>
        <v>Medium Price</v>
      </c>
      <c r="AA175" s="7" t="str">
        <f t="shared" si="29"/>
        <v>Q2</v>
      </c>
      <c r="AB175" s="28" t="str">
        <f t="shared" si="30"/>
        <v>May</v>
      </c>
      <c r="AC175" s="28" t="str">
        <f t="shared" si="31"/>
        <v>2025</v>
      </c>
    </row>
    <row r="176" spans="1:29" x14ac:dyDescent="0.25">
      <c r="A176" s="4" t="s">
        <v>189</v>
      </c>
      <c r="B176" s="14">
        <v>45435</v>
      </c>
      <c r="C176" s="14">
        <v>45446</v>
      </c>
      <c r="D176" s="16">
        <f t="shared" si="23"/>
        <v>11</v>
      </c>
      <c r="E176" s="4" t="s">
        <v>646</v>
      </c>
      <c r="F176" s="4" t="s">
        <v>661</v>
      </c>
      <c r="G176" s="4" t="s">
        <v>682</v>
      </c>
      <c r="H176" s="4" t="s">
        <v>705</v>
      </c>
      <c r="I176" s="4" t="s">
        <v>710</v>
      </c>
      <c r="J176" s="4" t="s">
        <v>721</v>
      </c>
      <c r="K176" s="4" t="s">
        <v>728</v>
      </c>
      <c r="L176" s="4" t="s">
        <v>908</v>
      </c>
      <c r="M176" s="9">
        <v>8</v>
      </c>
      <c r="N176" s="16">
        <f>ROUND(IF('Dashboard Visualization'!$U$3="",'Working Data'!$M176,'Working Data'!$M176*(100% +'Dashboard Visualization'!$U$3)),0)</f>
        <v>8</v>
      </c>
      <c r="O176" s="19">
        <v>180.89</v>
      </c>
      <c r="P176" s="20">
        <f>IF('Dashboard Visualization'!$U$2="",'Working Data'!$O176*'Working Data'!$N176,'Working Data'!$O176*'Working Data'!$N176*(100%+'Dashboard Visualization'!$U$2))</f>
        <v>1447.12</v>
      </c>
      <c r="Q176" s="19">
        <v>249.57</v>
      </c>
      <c r="R176" s="20">
        <f t="shared" si="24"/>
        <v>244.07945999999998</v>
      </c>
      <c r="S176" s="11">
        <v>2.1999999999999999E-2</v>
      </c>
      <c r="T176" s="22">
        <f>IF('Dashboard Visualization'!$U$1="",$S176,IF(S176&gt;'Dashboard Visualization'!$U$1,'Dashboard Visualization'!$U$1,S176))</f>
        <v>2.1999999999999999E-2</v>
      </c>
      <c r="U176" s="20">
        <f t="shared" si="25"/>
        <v>1909.6776950399999</v>
      </c>
      <c r="V176" s="20">
        <f t="shared" si="26"/>
        <v>462.55769504</v>
      </c>
      <c r="W176" s="22">
        <f t="shared" si="22"/>
        <v>0.24221767696266219</v>
      </c>
      <c r="X176" s="28" t="str">
        <f>TEXT(B176,"MMM-YYYY")</f>
        <v>May-2024</v>
      </c>
      <c r="Y176" s="7" t="str">
        <f t="shared" si="27"/>
        <v>Q2-2024</v>
      </c>
      <c r="Z176" s="7" t="str">
        <f t="shared" si="28"/>
        <v>Low Price</v>
      </c>
      <c r="AA176" s="7" t="str">
        <f t="shared" si="29"/>
        <v>Q2</v>
      </c>
      <c r="AB176" s="28" t="str">
        <f t="shared" si="30"/>
        <v>May</v>
      </c>
      <c r="AC176" s="28" t="str">
        <f t="shared" si="31"/>
        <v>2024</v>
      </c>
    </row>
    <row r="177" spans="1:29" x14ac:dyDescent="0.25">
      <c r="A177" s="4" t="s">
        <v>190</v>
      </c>
      <c r="B177" s="14">
        <v>45761</v>
      </c>
      <c r="C177" s="14">
        <v>45781</v>
      </c>
      <c r="D177" s="16">
        <f t="shared" si="23"/>
        <v>20</v>
      </c>
      <c r="E177" s="4" t="s">
        <v>649</v>
      </c>
      <c r="F177" s="4" t="s">
        <v>658</v>
      </c>
      <c r="G177" s="4" t="s">
        <v>674</v>
      </c>
      <c r="H177" s="4" t="s">
        <v>706</v>
      </c>
      <c r="I177" s="4" t="s">
        <v>709</v>
      </c>
      <c r="J177" s="4" t="s">
        <v>723</v>
      </c>
      <c r="K177" s="4" t="s">
        <v>732</v>
      </c>
      <c r="L177" s="4" t="s">
        <v>909</v>
      </c>
      <c r="M177" s="9">
        <v>38</v>
      </c>
      <c r="N177" s="16">
        <f>ROUND(IF('Dashboard Visualization'!$U$3="",'Working Data'!$M177,'Working Data'!$M177*(100% +'Dashboard Visualization'!$U$3)),0)</f>
        <v>38</v>
      </c>
      <c r="O177" s="19">
        <v>1413.87</v>
      </c>
      <c r="P177" s="20">
        <f>IF('Dashboard Visualization'!$U$2="",'Working Data'!$O177*'Working Data'!$N177,'Working Data'!$O177*'Working Data'!$N177*(100%+'Dashboard Visualization'!$U$2))</f>
        <v>53727.06</v>
      </c>
      <c r="Q177" s="19">
        <v>3275</v>
      </c>
      <c r="R177" s="20">
        <f t="shared" si="24"/>
        <v>2439.875</v>
      </c>
      <c r="S177" s="11">
        <v>0.255</v>
      </c>
      <c r="T177" s="22">
        <f>IF('Dashboard Visualization'!$U$1="",$S177,IF(S177&gt;'Dashboard Visualization'!$U$1,'Dashboard Visualization'!$U$1,S177))</f>
        <v>0.255</v>
      </c>
      <c r="U177" s="20">
        <f t="shared" si="25"/>
        <v>69072.861250000002</v>
      </c>
      <c r="V177" s="20">
        <f t="shared" si="26"/>
        <v>15345.801250000004</v>
      </c>
      <c r="W177" s="22">
        <f t="shared" si="22"/>
        <v>0.22216831577973764</v>
      </c>
      <c r="X177" s="28" t="str">
        <f>TEXT(B177,"MMM-YYYY")</f>
        <v>Apr-2025</v>
      </c>
      <c r="Y177" s="7" t="str">
        <f t="shared" si="27"/>
        <v>Q2-2025</v>
      </c>
      <c r="Z177" s="7" t="str">
        <f t="shared" si="28"/>
        <v>Medium Price</v>
      </c>
      <c r="AA177" s="7" t="str">
        <f t="shared" si="29"/>
        <v>Q2</v>
      </c>
      <c r="AB177" s="28" t="str">
        <f t="shared" si="30"/>
        <v>Apr</v>
      </c>
      <c r="AC177" s="28" t="str">
        <f t="shared" si="31"/>
        <v>2025</v>
      </c>
    </row>
    <row r="178" spans="1:29" x14ac:dyDescent="0.25">
      <c r="A178" s="4" t="s">
        <v>191</v>
      </c>
      <c r="B178" s="14">
        <v>45165</v>
      </c>
      <c r="C178" s="14">
        <v>45180</v>
      </c>
      <c r="D178" s="16">
        <f t="shared" si="23"/>
        <v>15</v>
      </c>
      <c r="E178" s="4" t="s">
        <v>649</v>
      </c>
      <c r="F178" s="4" t="s">
        <v>658</v>
      </c>
      <c r="G178" s="4" t="s">
        <v>683</v>
      </c>
      <c r="H178" s="4" t="s">
        <v>704</v>
      </c>
      <c r="I178" s="4" t="s">
        <v>709</v>
      </c>
      <c r="J178" s="4" t="s">
        <v>725</v>
      </c>
      <c r="K178" s="4" t="s">
        <v>728</v>
      </c>
      <c r="L178" s="4" t="s">
        <v>910</v>
      </c>
      <c r="M178" s="9">
        <v>9</v>
      </c>
      <c r="N178" s="16">
        <f>ROUND(IF('Dashboard Visualization'!$U$3="",'Working Data'!$M178,'Working Data'!$M178*(100% +'Dashboard Visualization'!$U$3)),0)</f>
        <v>9</v>
      </c>
      <c r="O178" s="19">
        <v>943.79</v>
      </c>
      <c r="P178" s="20">
        <f>IF('Dashboard Visualization'!$U$2="",'Working Data'!$O178*'Working Data'!$N178,'Working Data'!$O178*'Working Data'!$N178*(100%+'Dashboard Visualization'!$U$2))</f>
        <v>8494.11</v>
      </c>
      <c r="Q178" s="19">
        <v>1913.76</v>
      </c>
      <c r="R178" s="20">
        <f t="shared" si="24"/>
        <v>1739.6078400000001</v>
      </c>
      <c r="S178" s="11">
        <v>9.0999999999999998E-2</v>
      </c>
      <c r="T178" s="22">
        <f>IF('Dashboard Visualization'!$U$1="",$S178,IF(S178&gt;'Dashboard Visualization'!$U$1,'Dashboard Visualization'!$U$1,S178))</f>
        <v>9.0999999999999998E-2</v>
      </c>
      <c r="U178" s="20">
        <f t="shared" si="25"/>
        <v>14231.731739040002</v>
      </c>
      <c r="V178" s="20">
        <f t="shared" si="26"/>
        <v>5737.6217390400016</v>
      </c>
      <c r="W178" s="22">
        <f t="shared" si="22"/>
        <v>0.40315696250096905</v>
      </c>
      <c r="X178" s="28" t="str">
        <f>TEXT(B178,"MMM-YYYY")</f>
        <v>Aug-2023</v>
      </c>
      <c r="Y178" s="7" t="str">
        <f t="shared" si="27"/>
        <v>Q3-2023</v>
      </c>
      <c r="Z178" s="7" t="str">
        <f t="shared" si="28"/>
        <v>Medium Price</v>
      </c>
      <c r="AA178" s="7" t="str">
        <f t="shared" si="29"/>
        <v>Q3</v>
      </c>
      <c r="AB178" s="28" t="str">
        <f t="shared" si="30"/>
        <v>Aug</v>
      </c>
      <c r="AC178" s="28" t="str">
        <f t="shared" si="31"/>
        <v>2023</v>
      </c>
    </row>
    <row r="179" spans="1:29" x14ac:dyDescent="0.25">
      <c r="A179" s="4" t="s">
        <v>192</v>
      </c>
      <c r="B179" s="14">
        <v>45325</v>
      </c>
      <c r="C179" s="14">
        <v>45343</v>
      </c>
      <c r="D179" s="16">
        <f t="shared" si="23"/>
        <v>18</v>
      </c>
      <c r="E179" s="4" t="s">
        <v>649</v>
      </c>
      <c r="F179" s="4" t="s">
        <v>656</v>
      </c>
      <c r="G179" s="4" t="s">
        <v>698</v>
      </c>
      <c r="H179" s="4" t="s">
        <v>701</v>
      </c>
      <c r="I179" s="4" t="s">
        <v>707</v>
      </c>
      <c r="J179" s="4" t="s">
        <v>722</v>
      </c>
      <c r="K179" s="4" t="s">
        <v>727</v>
      </c>
      <c r="L179" s="4" t="s">
        <v>911</v>
      </c>
      <c r="M179" s="9">
        <v>13</v>
      </c>
      <c r="N179" s="16">
        <f>ROUND(IF('Dashboard Visualization'!$U$3="",'Working Data'!$M179,'Working Data'!$M179*(100% +'Dashboard Visualization'!$U$3)),0)</f>
        <v>13</v>
      </c>
      <c r="O179" s="19">
        <v>39.229999999999997</v>
      </c>
      <c r="P179" s="20">
        <f>IF('Dashboard Visualization'!$U$2="",'Working Data'!$O179*'Working Data'!$N179,'Working Data'!$O179*'Working Data'!$N179*(100%+'Dashboard Visualization'!$U$2))</f>
        <v>509.98999999999995</v>
      </c>
      <c r="Q179" s="19">
        <v>30.09</v>
      </c>
      <c r="R179" s="20">
        <f t="shared" si="24"/>
        <v>24.76407</v>
      </c>
      <c r="S179" s="11">
        <v>0.17699999999999999</v>
      </c>
      <c r="T179" s="22">
        <f>IF('Dashboard Visualization'!$U$1="",$S179,IF(S179&gt;'Dashboard Visualization'!$U$1,'Dashboard Visualization'!$U$1,S179))</f>
        <v>0.17699999999999999</v>
      </c>
      <c r="U179" s="20">
        <f t="shared" si="25"/>
        <v>264.95078493</v>
      </c>
      <c r="V179" s="20">
        <f t="shared" si="26"/>
        <v>-245.03921506999995</v>
      </c>
      <c r="W179" s="22">
        <f t="shared" si="22"/>
        <v>0</v>
      </c>
      <c r="X179" s="28" t="str">
        <f>TEXT(B179,"MMM-YYYY")</f>
        <v>Feb-2024</v>
      </c>
      <c r="Y179" s="7" t="str">
        <f t="shared" si="27"/>
        <v>Q1-2024</v>
      </c>
      <c r="Z179" s="7" t="str">
        <f t="shared" si="28"/>
        <v>Low Price</v>
      </c>
      <c r="AA179" s="7" t="str">
        <f t="shared" si="29"/>
        <v>Q1</v>
      </c>
      <c r="AB179" s="28" t="str">
        <f t="shared" si="30"/>
        <v>Feb</v>
      </c>
      <c r="AC179" s="28" t="str">
        <f t="shared" si="31"/>
        <v>2024</v>
      </c>
    </row>
    <row r="180" spans="1:29" x14ac:dyDescent="0.25">
      <c r="A180" s="4" t="s">
        <v>193</v>
      </c>
      <c r="B180" s="14">
        <v>45021</v>
      </c>
      <c r="C180" s="14">
        <v>45032</v>
      </c>
      <c r="D180" s="16">
        <f t="shared" si="23"/>
        <v>11</v>
      </c>
      <c r="E180" s="4" t="s">
        <v>648</v>
      </c>
      <c r="F180" s="4" t="s">
        <v>653</v>
      </c>
      <c r="G180" s="4" t="s">
        <v>688</v>
      </c>
      <c r="H180" s="4" t="s">
        <v>703</v>
      </c>
      <c r="I180" s="4" t="s">
        <v>708</v>
      </c>
      <c r="J180" s="4" t="s">
        <v>719</v>
      </c>
      <c r="K180" s="4" t="s">
        <v>732</v>
      </c>
      <c r="L180" s="4" t="s">
        <v>912</v>
      </c>
      <c r="M180" s="9">
        <v>15</v>
      </c>
      <c r="N180" s="16">
        <f>ROUND(IF('Dashboard Visualization'!$U$3="",'Working Data'!$M180,'Working Data'!$M180*(100% +'Dashboard Visualization'!$U$3)),0)</f>
        <v>15</v>
      </c>
      <c r="O180" s="19">
        <v>213.1</v>
      </c>
      <c r="P180" s="20">
        <f>IF('Dashboard Visualization'!$U$2="",'Working Data'!$O180*'Working Data'!$N180,'Working Data'!$O180*'Working Data'!$N180*(100%+'Dashboard Visualization'!$U$2))</f>
        <v>3196.5</v>
      </c>
      <c r="Q180" s="19">
        <v>501.31</v>
      </c>
      <c r="R180" s="20">
        <f t="shared" si="24"/>
        <v>473.23663999999997</v>
      </c>
      <c r="S180" s="11">
        <v>5.6000000000000001E-2</v>
      </c>
      <c r="T180" s="22">
        <f>IF('Dashboard Visualization'!$U$1="",$S180,IF(S180&gt;'Dashboard Visualization'!$U$1,'Dashboard Visualization'!$U$1,S180))</f>
        <v>5.6000000000000001E-2</v>
      </c>
      <c r="U180" s="20">
        <f t="shared" si="25"/>
        <v>6701.0308223999991</v>
      </c>
      <c r="V180" s="20">
        <f t="shared" si="26"/>
        <v>3504.5308223999991</v>
      </c>
      <c r="W180" s="22">
        <f t="shared" si="22"/>
        <v>0.52298383864840037</v>
      </c>
      <c r="X180" s="28" t="str">
        <f>TEXT(B180,"MMM-YYYY")</f>
        <v>Apr-2023</v>
      </c>
      <c r="Y180" s="7" t="str">
        <f t="shared" si="27"/>
        <v>Q2-2023</v>
      </c>
      <c r="Z180" s="7" t="str">
        <f t="shared" si="28"/>
        <v>Low Price</v>
      </c>
      <c r="AA180" s="7" t="str">
        <f t="shared" si="29"/>
        <v>Q2</v>
      </c>
      <c r="AB180" s="28" t="str">
        <f t="shared" si="30"/>
        <v>Apr</v>
      </c>
      <c r="AC180" s="28" t="str">
        <f t="shared" si="31"/>
        <v>2023</v>
      </c>
    </row>
    <row r="181" spans="1:29" x14ac:dyDescent="0.25">
      <c r="A181" s="4" t="s">
        <v>194</v>
      </c>
      <c r="B181" s="14">
        <v>45890</v>
      </c>
      <c r="C181" s="14">
        <v>45912</v>
      </c>
      <c r="D181" s="16">
        <f t="shared" si="23"/>
        <v>22</v>
      </c>
      <c r="E181" s="4" t="s">
        <v>647</v>
      </c>
      <c r="F181" s="4" t="s">
        <v>659</v>
      </c>
      <c r="G181" s="4" t="s">
        <v>676</v>
      </c>
      <c r="H181" s="4" t="s">
        <v>702</v>
      </c>
      <c r="I181" s="4" t="s">
        <v>707</v>
      </c>
      <c r="J181" s="4" t="s">
        <v>717</v>
      </c>
      <c r="K181" s="4" t="s">
        <v>728</v>
      </c>
      <c r="L181" s="4" t="s">
        <v>913</v>
      </c>
      <c r="M181" s="9">
        <v>13</v>
      </c>
      <c r="N181" s="16">
        <f>ROUND(IF('Dashboard Visualization'!$U$3="",'Working Data'!$M181,'Working Data'!$M181*(100% +'Dashboard Visualization'!$U$3)),0)</f>
        <v>13</v>
      </c>
      <c r="O181" s="19">
        <v>352.66</v>
      </c>
      <c r="P181" s="20">
        <f>IF('Dashboard Visualization'!$U$2="",'Working Data'!$O181*'Working Data'!$N181,'Working Data'!$O181*'Working Data'!$N181*(100%+'Dashboard Visualization'!$U$2))</f>
        <v>4584.58</v>
      </c>
      <c r="Q181" s="19">
        <v>411.18</v>
      </c>
      <c r="R181" s="20">
        <f t="shared" si="24"/>
        <v>340.04586</v>
      </c>
      <c r="S181" s="11">
        <v>0.17299999999999999</v>
      </c>
      <c r="T181" s="22">
        <f>IF('Dashboard Visualization'!$U$1="",$S181,IF(S181&gt;'Dashboard Visualization'!$U$1,'Dashboard Visualization'!$U$1,S181))</f>
        <v>0.17299999999999999</v>
      </c>
      <c r="U181" s="20">
        <f t="shared" si="25"/>
        <v>3655.8330408599995</v>
      </c>
      <c r="V181" s="20">
        <f t="shared" si="26"/>
        <v>-928.7469591400004</v>
      </c>
      <c r="W181" s="22">
        <f t="shared" si="22"/>
        <v>0</v>
      </c>
      <c r="X181" s="28" t="str">
        <f>TEXT(B181,"MMM-YYYY")</f>
        <v>Aug-2025</v>
      </c>
      <c r="Y181" s="7" t="str">
        <f t="shared" si="27"/>
        <v>Q3-2025</v>
      </c>
      <c r="Z181" s="7" t="str">
        <f t="shared" si="28"/>
        <v>Low Price</v>
      </c>
      <c r="AA181" s="7" t="str">
        <f t="shared" si="29"/>
        <v>Q3</v>
      </c>
      <c r="AB181" s="28" t="str">
        <f t="shared" si="30"/>
        <v>Aug</v>
      </c>
      <c r="AC181" s="28" t="str">
        <f t="shared" si="31"/>
        <v>2025</v>
      </c>
    </row>
    <row r="182" spans="1:29" x14ac:dyDescent="0.25">
      <c r="A182" s="4" t="s">
        <v>195</v>
      </c>
      <c r="B182" s="14">
        <v>45915</v>
      </c>
      <c r="C182" s="14">
        <v>45918</v>
      </c>
      <c r="D182" s="16">
        <f t="shared" si="23"/>
        <v>3</v>
      </c>
      <c r="E182" s="4" t="s">
        <v>648</v>
      </c>
      <c r="F182" s="4" t="s">
        <v>655</v>
      </c>
      <c r="G182" s="4" t="s">
        <v>692</v>
      </c>
      <c r="H182" s="4" t="s">
        <v>703</v>
      </c>
      <c r="I182" s="4" t="s">
        <v>711</v>
      </c>
      <c r="J182" s="4" t="s">
        <v>716</v>
      </c>
      <c r="K182" s="4" t="s">
        <v>733</v>
      </c>
      <c r="L182" s="4" t="s">
        <v>914</v>
      </c>
      <c r="M182" s="9">
        <v>4</v>
      </c>
      <c r="N182" s="16">
        <f>ROUND(IF('Dashboard Visualization'!$U$3="",'Working Data'!$M182,'Working Data'!$M182*(100% +'Dashboard Visualization'!$U$3)),0)</f>
        <v>4</v>
      </c>
      <c r="O182" s="19">
        <v>5.5</v>
      </c>
      <c r="P182" s="20">
        <f>IF('Dashboard Visualization'!$U$2="",'Working Data'!$O182*'Working Data'!$N182,'Working Data'!$O182*'Working Data'!$N182*(100%+'Dashboard Visualization'!$U$2))</f>
        <v>22</v>
      </c>
      <c r="Q182" s="19">
        <v>5.92</v>
      </c>
      <c r="R182" s="20">
        <f t="shared" si="24"/>
        <v>4.6649599999999998</v>
      </c>
      <c r="S182" s="11">
        <v>0.21199999999999999</v>
      </c>
      <c r="T182" s="22">
        <f>IF('Dashboard Visualization'!$U$1="",$S182,IF(S182&gt;'Dashboard Visualization'!$U$1,'Dashboard Visualization'!$U$1,S182))</f>
        <v>0.21199999999999999</v>
      </c>
      <c r="U182" s="20">
        <f t="shared" si="25"/>
        <v>14.70395392</v>
      </c>
      <c r="V182" s="20">
        <f t="shared" si="26"/>
        <v>-7.29604608</v>
      </c>
      <c r="W182" s="22">
        <f t="shared" si="22"/>
        <v>0</v>
      </c>
      <c r="X182" s="28" t="str">
        <f>TEXT(B182,"MMM-YYYY")</f>
        <v>Sep-2025</v>
      </c>
      <c r="Y182" s="7" t="str">
        <f t="shared" si="27"/>
        <v>Q3-2025</v>
      </c>
      <c r="Z182" s="7" t="str">
        <f t="shared" si="28"/>
        <v>Low Price</v>
      </c>
      <c r="AA182" s="7" t="str">
        <f t="shared" si="29"/>
        <v>Q3</v>
      </c>
      <c r="AB182" s="28" t="str">
        <f t="shared" si="30"/>
        <v>Sep</v>
      </c>
      <c r="AC182" s="28" t="str">
        <f t="shared" si="31"/>
        <v>2025</v>
      </c>
    </row>
    <row r="183" spans="1:29" x14ac:dyDescent="0.25">
      <c r="A183" s="4" t="s">
        <v>196</v>
      </c>
      <c r="B183" s="14">
        <v>45568</v>
      </c>
      <c r="C183" s="14">
        <v>45576</v>
      </c>
      <c r="D183" s="16">
        <f t="shared" si="23"/>
        <v>8</v>
      </c>
      <c r="E183" s="4" t="s">
        <v>647</v>
      </c>
      <c r="F183" s="4" t="s">
        <v>659</v>
      </c>
      <c r="G183" s="4" t="s">
        <v>699</v>
      </c>
      <c r="H183" s="4" t="s">
        <v>706</v>
      </c>
      <c r="I183" s="4" t="s">
        <v>711</v>
      </c>
      <c r="J183" s="4" t="s">
        <v>717</v>
      </c>
      <c r="K183" s="4" t="s">
        <v>730</v>
      </c>
      <c r="L183" s="4" t="s">
        <v>915</v>
      </c>
      <c r="M183" s="9">
        <v>20</v>
      </c>
      <c r="N183" s="16">
        <f>ROUND(IF('Dashboard Visualization'!$U$3="",'Working Data'!$M183,'Working Data'!$M183*(100% +'Dashboard Visualization'!$U$3)),0)</f>
        <v>20</v>
      </c>
      <c r="O183" s="19">
        <v>1132.6099999999999</v>
      </c>
      <c r="P183" s="20">
        <f>IF('Dashboard Visualization'!$U$2="",'Working Data'!$O183*'Working Data'!$N183,'Working Data'!$O183*'Working Data'!$N183*(100%+'Dashboard Visualization'!$U$2))</f>
        <v>22652.199999999997</v>
      </c>
      <c r="Q183" s="19">
        <v>2206.63</v>
      </c>
      <c r="R183" s="20">
        <f t="shared" si="24"/>
        <v>2067.6123100000004</v>
      </c>
      <c r="S183" s="11">
        <v>6.3E-2</v>
      </c>
      <c r="T183" s="22">
        <f>IF('Dashboard Visualization'!$U$1="",$S183,IF(S183&gt;'Dashboard Visualization'!$U$1,'Dashboard Visualization'!$U$1,S183))</f>
        <v>6.3E-2</v>
      </c>
      <c r="U183" s="20">
        <f t="shared" si="25"/>
        <v>38747.054689400014</v>
      </c>
      <c r="V183" s="20">
        <f t="shared" si="26"/>
        <v>16094.854689400017</v>
      </c>
      <c r="W183" s="22">
        <f t="shared" si="22"/>
        <v>0.41538266117045197</v>
      </c>
      <c r="X183" s="28" t="str">
        <f>TEXT(B183,"MMM-YYYY")</f>
        <v>Oct-2024</v>
      </c>
      <c r="Y183" s="7" t="str">
        <f t="shared" si="27"/>
        <v>Q4-2024</v>
      </c>
      <c r="Z183" s="7" t="str">
        <f t="shared" si="28"/>
        <v>Medium Price</v>
      </c>
      <c r="AA183" s="7" t="str">
        <f t="shared" si="29"/>
        <v>Q4</v>
      </c>
      <c r="AB183" s="28" t="str">
        <f t="shared" si="30"/>
        <v>Oct</v>
      </c>
      <c r="AC183" s="28" t="str">
        <f t="shared" si="31"/>
        <v>2024</v>
      </c>
    </row>
    <row r="184" spans="1:29" x14ac:dyDescent="0.25">
      <c r="A184" s="4" t="s">
        <v>197</v>
      </c>
      <c r="B184" s="14">
        <v>45690</v>
      </c>
      <c r="C184" s="14">
        <v>45720</v>
      </c>
      <c r="D184" s="16">
        <f t="shared" si="23"/>
        <v>30</v>
      </c>
      <c r="E184" s="4" t="s">
        <v>647</v>
      </c>
      <c r="F184" s="4" t="s">
        <v>652</v>
      </c>
      <c r="G184" s="4" t="s">
        <v>666</v>
      </c>
      <c r="H184" s="4" t="s">
        <v>702</v>
      </c>
      <c r="I184" s="4" t="s">
        <v>710</v>
      </c>
      <c r="J184" s="4" t="s">
        <v>716</v>
      </c>
      <c r="K184" s="4" t="s">
        <v>733</v>
      </c>
      <c r="L184" s="4" t="s">
        <v>916</v>
      </c>
      <c r="M184" s="9">
        <v>5</v>
      </c>
      <c r="N184" s="16">
        <f>ROUND(IF('Dashboard Visualization'!$U$3="",'Working Data'!$M184,'Working Data'!$M184*(100% +'Dashboard Visualization'!$U$3)),0)</f>
        <v>5</v>
      </c>
      <c r="O184" s="19">
        <v>766.59</v>
      </c>
      <c r="P184" s="20">
        <f>IF('Dashboard Visualization'!$U$2="",'Working Data'!$O184*'Working Data'!$N184,'Working Data'!$O184*'Working Data'!$N184*(100%+'Dashboard Visualization'!$U$2))</f>
        <v>3832.9500000000003</v>
      </c>
      <c r="Q184" s="19">
        <v>1912.8</v>
      </c>
      <c r="R184" s="20">
        <f t="shared" si="24"/>
        <v>1537.8912</v>
      </c>
      <c r="S184" s="11">
        <v>0.19600000000000001</v>
      </c>
      <c r="T184" s="22">
        <f>IF('Dashboard Visualization'!$U$1="",$S184,IF(S184&gt;'Dashboard Visualization'!$U$1,'Dashboard Visualization'!$U$1,S184))</f>
        <v>0.19600000000000001</v>
      </c>
      <c r="U184" s="20">
        <f t="shared" si="25"/>
        <v>6182.3226240000004</v>
      </c>
      <c r="V184" s="20">
        <f t="shared" si="26"/>
        <v>2349.3726240000001</v>
      </c>
      <c r="W184" s="22">
        <f t="shared" si="22"/>
        <v>0.38001456198349315</v>
      </c>
      <c r="X184" s="28" t="str">
        <f>TEXT(B184,"MMM-YYYY")</f>
        <v>Feb-2025</v>
      </c>
      <c r="Y184" s="7" t="str">
        <f t="shared" si="27"/>
        <v>Q1-2025</v>
      </c>
      <c r="Z184" s="7" t="str">
        <f t="shared" si="28"/>
        <v>High Price</v>
      </c>
      <c r="AA184" s="7" t="str">
        <f t="shared" si="29"/>
        <v>Q1</v>
      </c>
      <c r="AB184" s="28" t="str">
        <f t="shared" si="30"/>
        <v>Feb</v>
      </c>
      <c r="AC184" s="28" t="str">
        <f t="shared" si="31"/>
        <v>2025</v>
      </c>
    </row>
    <row r="185" spans="1:29" x14ac:dyDescent="0.25">
      <c r="A185" s="4" t="s">
        <v>198</v>
      </c>
      <c r="B185" s="14">
        <v>45157</v>
      </c>
      <c r="C185" s="14">
        <v>45161</v>
      </c>
      <c r="D185" s="16">
        <f t="shared" si="23"/>
        <v>4</v>
      </c>
      <c r="E185" s="4" t="s">
        <v>646</v>
      </c>
      <c r="F185" s="4" t="s">
        <v>651</v>
      </c>
      <c r="G185" s="4" t="s">
        <v>669</v>
      </c>
      <c r="H185" s="4" t="s">
        <v>705</v>
      </c>
      <c r="I185" s="4" t="s">
        <v>708</v>
      </c>
      <c r="J185" s="4" t="s">
        <v>713</v>
      </c>
      <c r="K185" s="4" t="s">
        <v>732</v>
      </c>
      <c r="L185" s="4" t="s">
        <v>917</v>
      </c>
      <c r="M185" s="9">
        <v>7</v>
      </c>
      <c r="N185" s="16">
        <f>ROUND(IF('Dashboard Visualization'!$U$3="",'Working Data'!$M185,'Working Data'!$M185*(100% +'Dashboard Visualization'!$U$3)),0)</f>
        <v>7</v>
      </c>
      <c r="O185" s="19">
        <v>790.63</v>
      </c>
      <c r="P185" s="20">
        <f>IF('Dashboard Visualization'!$U$2="",'Working Data'!$O185*'Working Data'!$N185,'Working Data'!$O185*'Working Data'!$N185*(100%+'Dashboard Visualization'!$U$2))</f>
        <v>5534.41</v>
      </c>
      <c r="Q185" s="19">
        <v>1382.31</v>
      </c>
      <c r="R185" s="20">
        <f t="shared" si="24"/>
        <v>1242.69669</v>
      </c>
      <c r="S185" s="11">
        <v>0.10100000000000001</v>
      </c>
      <c r="T185" s="22">
        <f>IF('Dashboard Visualization'!$U$1="",$S185,IF(S185&gt;'Dashboard Visualization'!$U$1,'Dashboard Visualization'!$U$1,S185))</f>
        <v>0.10100000000000001</v>
      </c>
      <c r="U185" s="20">
        <f t="shared" si="25"/>
        <v>7820.2902701699995</v>
      </c>
      <c r="V185" s="20">
        <f t="shared" si="26"/>
        <v>2285.8802701699997</v>
      </c>
      <c r="W185" s="22">
        <f t="shared" si="22"/>
        <v>0.29230120509584467</v>
      </c>
      <c r="X185" s="28" t="str">
        <f>TEXT(B185,"MMM-YYYY")</f>
        <v>Aug-2023</v>
      </c>
      <c r="Y185" s="7" t="str">
        <f t="shared" si="27"/>
        <v>Q3-2023</v>
      </c>
      <c r="Z185" s="7" t="str">
        <f t="shared" si="28"/>
        <v>High Price</v>
      </c>
      <c r="AA185" s="7" t="str">
        <f t="shared" si="29"/>
        <v>Q3</v>
      </c>
      <c r="AB185" s="28" t="str">
        <f t="shared" si="30"/>
        <v>Aug</v>
      </c>
      <c r="AC185" s="28" t="str">
        <f t="shared" si="31"/>
        <v>2023</v>
      </c>
    </row>
    <row r="186" spans="1:29" x14ac:dyDescent="0.25">
      <c r="A186" s="4" t="s">
        <v>199</v>
      </c>
      <c r="B186" s="14">
        <v>45587</v>
      </c>
      <c r="C186" s="14">
        <v>45594</v>
      </c>
      <c r="D186" s="16">
        <f t="shared" si="23"/>
        <v>7</v>
      </c>
      <c r="E186" s="4" t="s">
        <v>646</v>
      </c>
      <c r="F186" s="4" t="s">
        <v>651</v>
      </c>
      <c r="G186" s="4" t="s">
        <v>663</v>
      </c>
      <c r="H186" s="4" t="s">
        <v>706</v>
      </c>
      <c r="I186" s="4" t="s">
        <v>710</v>
      </c>
      <c r="J186" s="4" t="s">
        <v>724</v>
      </c>
      <c r="K186" s="4" t="s">
        <v>732</v>
      </c>
      <c r="L186" s="4" t="s">
        <v>918</v>
      </c>
      <c r="M186" s="9">
        <v>23</v>
      </c>
      <c r="N186" s="16">
        <f>ROUND(IF('Dashboard Visualization'!$U$3="",'Working Data'!$M186,'Working Data'!$M186*(100% +'Dashboard Visualization'!$U$3)),0)</f>
        <v>23</v>
      </c>
      <c r="O186" s="19">
        <v>1023.06</v>
      </c>
      <c r="P186" s="20">
        <f>IF('Dashboard Visualization'!$U$2="",'Working Data'!$O186*'Working Data'!$N186,'Working Data'!$O186*'Working Data'!$N186*(100%+'Dashboard Visualization'!$U$2))</f>
        <v>23530.379999999997</v>
      </c>
      <c r="Q186" s="19">
        <v>1355.61</v>
      </c>
      <c r="R186" s="20">
        <f t="shared" si="24"/>
        <v>1148.2016699999999</v>
      </c>
      <c r="S186" s="11">
        <v>0.153</v>
      </c>
      <c r="T186" s="22">
        <f>IF('Dashboard Visualization'!$U$1="",$S186,IF(S186&gt;'Dashboard Visualization'!$U$1,'Dashboard Visualization'!$U$1,S186))</f>
        <v>0.153</v>
      </c>
      <c r="U186" s="20">
        <f t="shared" si="25"/>
        <v>22368.116733269999</v>
      </c>
      <c r="V186" s="20">
        <f t="shared" si="26"/>
        <v>-1162.2632667299986</v>
      </c>
      <c r="W186" s="22">
        <f t="shared" si="22"/>
        <v>0</v>
      </c>
      <c r="X186" s="28" t="str">
        <f>TEXT(B186,"MMM-YYYY")</f>
        <v>Oct-2024</v>
      </c>
      <c r="Y186" s="7" t="str">
        <f t="shared" si="27"/>
        <v>Q4-2024</v>
      </c>
      <c r="Z186" s="7" t="str">
        <f t="shared" si="28"/>
        <v>High Price</v>
      </c>
      <c r="AA186" s="7" t="str">
        <f t="shared" si="29"/>
        <v>Q4</v>
      </c>
      <c r="AB186" s="28" t="str">
        <f t="shared" si="30"/>
        <v>Oct</v>
      </c>
      <c r="AC186" s="28" t="str">
        <f t="shared" si="31"/>
        <v>2024</v>
      </c>
    </row>
    <row r="187" spans="1:29" x14ac:dyDescent="0.25">
      <c r="A187" s="4" t="s">
        <v>200</v>
      </c>
      <c r="B187" s="14">
        <v>45099</v>
      </c>
      <c r="C187" s="14">
        <v>45128</v>
      </c>
      <c r="D187" s="16">
        <f t="shared" si="23"/>
        <v>29</v>
      </c>
      <c r="E187" s="4" t="s">
        <v>649</v>
      </c>
      <c r="F187" s="4" t="s">
        <v>657</v>
      </c>
      <c r="G187" s="4" t="s">
        <v>679</v>
      </c>
      <c r="H187" s="4" t="s">
        <v>701</v>
      </c>
      <c r="I187" s="4" t="s">
        <v>707</v>
      </c>
      <c r="J187" s="4" t="s">
        <v>713</v>
      </c>
      <c r="K187" s="4" t="s">
        <v>733</v>
      </c>
      <c r="L187" s="4" t="s">
        <v>919</v>
      </c>
      <c r="M187" s="9">
        <v>12</v>
      </c>
      <c r="N187" s="16">
        <f>ROUND(IF('Dashboard Visualization'!$U$3="",'Working Data'!$M187,'Working Data'!$M187*(100% +'Dashboard Visualization'!$U$3)),0)</f>
        <v>12</v>
      </c>
      <c r="O187" s="19">
        <v>734.34</v>
      </c>
      <c r="P187" s="20">
        <f>IF('Dashboard Visualization'!$U$2="",'Working Data'!$O187*'Working Data'!$N187,'Working Data'!$O187*'Working Data'!$N187*(100%+'Dashboard Visualization'!$U$2))</f>
        <v>8812.08</v>
      </c>
      <c r="Q187" s="19">
        <v>887.9</v>
      </c>
      <c r="R187" s="20">
        <f t="shared" si="24"/>
        <v>865.70249999999999</v>
      </c>
      <c r="S187" s="11">
        <v>2.5000000000000001E-2</v>
      </c>
      <c r="T187" s="22">
        <f>IF('Dashboard Visualization'!$U$1="",$S187,IF(S187&gt;'Dashboard Visualization'!$U$1,'Dashboard Visualization'!$U$1,S187))</f>
        <v>2.5000000000000001E-2</v>
      </c>
      <c r="U187" s="20">
        <f t="shared" si="25"/>
        <v>10128.719249999998</v>
      </c>
      <c r="V187" s="20">
        <f t="shared" si="26"/>
        <v>1316.6392499999984</v>
      </c>
      <c r="W187" s="22">
        <f t="shared" si="22"/>
        <v>0.12999069452932052</v>
      </c>
      <c r="X187" s="28" t="str">
        <f>TEXT(B187,"MMM-YYYY")</f>
        <v>Jun-2023</v>
      </c>
      <c r="Y187" s="7" t="str">
        <f t="shared" si="27"/>
        <v>Q2-2023</v>
      </c>
      <c r="Z187" s="7" t="str">
        <f t="shared" si="28"/>
        <v>High Price</v>
      </c>
      <c r="AA187" s="7" t="str">
        <f t="shared" si="29"/>
        <v>Q2</v>
      </c>
      <c r="AB187" s="28" t="str">
        <f t="shared" si="30"/>
        <v>Jun</v>
      </c>
      <c r="AC187" s="28" t="str">
        <f t="shared" si="31"/>
        <v>2023</v>
      </c>
    </row>
    <row r="188" spans="1:29" x14ac:dyDescent="0.25">
      <c r="A188" s="4" t="s">
        <v>201</v>
      </c>
      <c r="B188" s="14">
        <v>45670</v>
      </c>
      <c r="C188" s="14">
        <v>45696</v>
      </c>
      <c r="D188" s="16">
        <f t="shared" si="23"/>
        <v>26</v>
      </c>
      <c r="E188" s="4" t="s">
        <v>649</v>
      </c>
      <c r="F188" s="4" t="s">
        <v>657</v>
      </c>
      <c r="G188" s="4" t="s">
        <v>690</v>
      </c>
      <c r="H188" s="4" t="s">
        <v>703</v>
      </c>
      <c r="I188" s="12" t="s">
        <v>1430</v>
      </c>
      <c r="J188" s="4" t="s">
        <v>718</v>
      </c>
      <c r="K188" s="4" t="s">
        <v>732</v>
      </c>
      <c r="L188" s="4" t="s">
        <v>920</v>
      </c>
      <c r="M188" s="9">
        <v>6</v>
      </c>
      <c r="N188" s="16">
        <f>ROUND(IF('Dashboard Visualization'!$U$3="",'Working Data'!$M188,'Working Data'!$M188*(100% +'Dashboard Visualization'!$U$3)),0)</f>
        <v>6</v>
      </c>
      <c r="O188" s="19">
        <v>594.74</v>
      </c>
      <c r="P188" s="20">
        <f>IF('Dashboard Visualization'!$U$2="",'Working Data'!$O188*'Working Data'!$N188,'Working Data'!$O188*'Working Data'!$N188*(100%+'Dashboard Visualization'!$U$2))</f>
        <v>3568.44</v>
      </c>
      <c r="Q188" s="19">
        <v>1020.69</v>
      </c>
      <c r="R188" s="20">
        <f t="shared" si="24"/>
        <v>805.32441000000006</v>
      </c>
      <c r="S188" s="11">
        <v>0.21099999999999999</v>
      </c>
      <c r="T188" s="22">
        <f>IF('Dashboard Visualization'!$U$1="",$S188,IF(S188&gt;'Dashboard Visualization'!$U$1,'Dashboard Visualization'!$U$1,S188))</f>
        <v>0.21099999999999999</v>
      </c>
      <c r="U188" s="20">
        <f t="shared" si="25"/>
        <v>3812.4057569400006</v>
      </c>
      <c r="V188" s="20">
        <f t="shared" si="26"/>
        <v>243.96575694000057</v>
      </c>
      <c r="W188" s="22">
        <f t="shared" si="22"/>
        <v>6.3992600078281781E-2</v>
      </c>
      <c r="X188" s="28" t="str">
        <f>TEXT(B188,"MMM-YYYY")</f>
        <v>Jan-2025</v>
      </c>
      <c r="Y188" s="7" t="str">
        <f t="shared" si="27"/>
        <v>Q1-2025</v>
      </c>
      <c r="Z188" s="7" t="str">
        <f t="shared" si="28"/>
        <v>High Price</v>
      </c>
      <c r="AA188" s="7" t="str">
        <f t="shared" si="29"/>
        <v>Q1</v>
      </c>
      <c r="AB188" s="28" t="str">
        <f t="shared" si="30"/>
        <v>Jan</v>
      </c>
      <c r="AC188" s="28" t="str">
        <f t="shared" si="31"/>
        <v>2025</v>
      </c>
    </row>
    <row r="189" spans="1:29" x14ac:dyDescent="0.25">
      <c r="A189" s="4" t="s">
        <v>144</v>
      </c>
      <c r="B189" s="14">
        <v>44955</v>
      </c>
      <c r="C189" s="14">
        <v>44985</v>
      </c>
      <c r="D189" s="16">
        <f t="shared" si="23"/>
        <v>30</v>
      </c>
      <c r="E189" s="4" t="s">
        <v>647</v>
      </c>
      <c r="F189" s="4" t="s">
        <v>654</v>
      </c>
      <c r="G189" s="4" t="s">
        <v>668</v>
      </c>
      <c r="H189" s="4" t="s">
        <v>703</v>
      </c>
      <c r="I189" s="4" t="s">
        <v>707</v>
      </c>
      <c r="J189" s="4" t="s">
        <v>717</v>
      </c>
      <c r="K189" s="4" t="s">
        <v>733</v>
      </c>
      <c r="L189" s="4" t="s">
        <v>921</v>
      </c>
      <c r="M189" s="9">
        <v>25</v>
      </c>
      <c r="N189" s="16">
        <f>ROUND(IF('Dashboard Visualization'!$U$3="",'Working Data'!$M189,'Working Data'!$M189*(100% +'Dashboard Visualization'!$U$3)),0)</f>
        <v>25</v>
      </c>
      <c r="O189" s="19">
        <v>1262.0999999999999</v>
      </c>
      <c r="P189" s="20">
        <f>IF('Dashboard Visualization'!$U$2="",'Working Data'!$O189*'Working Data'!$N189,'Working Data'!$O189*'Working Data'!$N189*(100%+'Dashboard Visualization'!$U$2))</f>
        <v>31552.499999999996</v>
      </c>
      <c r="Q189" s="19">
        <v>1395.53</v>
      </c>
      <c r="R189" s="20">
        <f t="shared" si="24"/>
        <v>1070.3715099999999</v>
      </c>
      <c r="S189" s="11">
        <v>0.23300000000000001</v>
      </c>
      <c r="T189" s="22">
        <f>IF('Dashboard Visualization'!$U$1="",$S189,IF(S189&gt;'Dashboard Visualization'!$U$1,'Dashboard Visualization'!$U$1,S189))</f>
        <v>0.23300000000000001</v>
      </c>
      <c r="U189" s="20">
        <f t="shared" si="25"/>
        <v>20524.37370425</v>
      </c>
      <c r="V189" s="20">
        <f t="shared" si="26"/>
        <v>-11028.126295749997</v>
      </c>
      <c r="W189" s="22">
        <f t="shared" si="22"/>
        <v>0</v>
      </c>
      <c r="X189" s="28" t="str">
        <f>TEXT(B189,"MMM-YYYY")</f>
        <v>Jan-2023</v>
      </c>
      <c r="Y189" s="7" t="str">
        <f t="shared" si="27"/>
        <v>Q1-2023</v>
      </c>
      <c r="Z189" s="7" t="str">
        <f t="shared" si="28"/>
        <v>High Price</v>
      </c>
      <c r="AA189" s="7" t="str">
        <f t="shared" si="29"/>
        <v>Q1</v>
      </c>
      <c r="AB189" s="28" t="str">
        <f t="shared" si="30"/>
        <v>Jan</v>
      </c>
      <c r="AC189" s="28" t="str">
        <f t="shared" si="31"/>
        <v>2023</v>
      </c>
    </row>
    <row r="190" spans="1:29" x14ac:dyDescent="0.25">
      <c r="A190" s="4" t="s">
        <v>202</v>
      </c>
      <c r="B190" s="14">
        <v>45126</v>
      </c>
      <c r="C190" s="14">
        <v>45138</v>
      </c>
      <c r="D190" s="16">
        <f t="shared" si="23"/>
        <v>12</v>
      </c>
      <c r="E190" s="4" t="s">
        <v>648</v>
      </c>
      <c r="F190" s="4" t="s">
        <v>655</v>
      </c>
      <c r="G190" s="4" t="s">
        <v>692</v>
      </c>
      <c r="H190" s="4" t="s">
        <v>701</v>
      </c>
      <c r="I190" s="4" t="s">
        <v>707</v>
      </c>
      <c r="J190" s="4" t="s">
        <v>712</v>
      </c>
      <c r="K190" s="4" t="s">
        <v>732</v>
      </c>
      <c r="L190" s="4" t="s">
        <v>922</v>
      </c>
      <c r="M190" s="9">
        <v>14</v>
      </c>
      <c r="N190" s="16">
        <f>ROUND(IF('Dashboard Visualization'!$U$3="",'Working Data'!$M190,'Working Data'!$M190*(100% +'Dashboard Visualization'!$U$3)),0)</f>
        <v>14</v>
      </c>
      <c r="O190" s="19">
        <v>1334.64</v>
      </c>
      <c r="P190" s="20">
        <f>IF('Dashboard Visualization'!$U$2="",'Working Data'!$O190*'Working Data'!$N190,'Working Data'!$O190*'Working Data'!$N190*(100%+'Dashboard Visualization'!$U$2))</f>
        <v>18684.960000000003</v>
      </c>
      <c r="Q190" s="19">
        <v>2273.42</v>
      </c>
      <c r="R190" s="20">
        <f t="shared" si="24"/>
        <v>2005.15644</v>
      </c>
      <c r="S190" s="11">
        <v>0.11799999999999999</v>
      </c>
      <c r="T190" s="22">
        <f>IF('Dashboard Visualization'!$U$1="",$S190,IF(S190&gt;'Dashboard Visualization'!$U$1,'Dashboard Visualization'!$U$1,S190))</f>
        <v>0.11799999999999999</v>
      </c>
      <c r="U190" s="20">
        <f t="shared" si="25"/>
        <v>24759.671721119998</v>
      </c>
      <c r="V190" s="20">
        <f t="shared" si="26"/>
        <v>6074.7117211199948</v>
      </c>
      <c r="W190" s="22">
        <f t="shared" si="22"/>
        <v>0.2453470219452977</v>
      </c>
      <c r="X190" s="28" t="str">
        <f>TEXT(B190,"MMM-YYYY")</f>
        <v>Jul-2023</v>
      </c>
      <c r="Y190" s="7" t="str">
        <f t="shared" si="27"/>
        <v>Q3-2023</v>
      </c>
      <c r="Z190" s="7" t="str">
        <f t="shared" si="28"/>
        <v>Medium Price</v>
      </c>
      <c r="AA190" s="7" t="str">
        <f t="shared" si="29"/>
        <v>Q3</v>
      </c>
      <c r="AB190" s="28" t="str">
        <f t="shared" si="30"/>
        <v>Jul</v>
      </c>
      <c r="AC190" s="28" t="str">
        <f t="shared" si="31"/>
        <v>2023</v>
      </c>
    </row>
    <row r="191" spans="1:29" x14ac:dyDescent="0.25">
      <c r="A191" s="4" t="s">
        <v>203</v>
      </c>
      <c r="B191" s="14">
        <v>45431</v>
      </c>
      <c r="C191" s="14">
        <v>45451</v>
      </c>
      <c r="D191" s="16">
        <f t="shared" si="23"/>
        <v>20</v>
      </c>
      <c r="E191" s="4" t="s">
        <v>648</v>
      </c>
      <c r="F191" s="4" t="s">
        <v>655</v>
      </c>
      <c r="G191" s="4" t="s">
        <v>672</v>
      </c>
      <c r="H191" s="4" t="s">
        <v>705</v>
      </c>
      <c r="I191" s="4" t="s">
        <v>707</v>
      </c>
      <c r="J191" s="4" t="s">
        <v>718</v>
      </c>
      <c r="K191" s="4" t="s">
        <v>732</v>
      </c>
      <c r="L191" s="4" t="s">
        <v>923</v>
      </c>
      <c r="M191" s="9">
        <v>7</v>
      </c>
      <c r="N191" s="16">
        <f>ROUND(IF('Dashboard Visualization'!$U$3="",'Working Data'!$M191,'Working Data'!$M191*(100% +'Dashboard Visualization'!$U$3)),0)</f>
        <v>7</v>
      </c>
      <c r="O191" s="19">
        <v>1075.9000000000001</v>
      </c>
      <c r="P191" s="20">
        <f>IF('Dashboard Visualization'!$U$2="",'Working Data'!$O191*'Working Data'!$N191,'Working Data'!$O191*'Working Data'!$N191*(100%+'Dashboard Visualization'!$U$2))</f>
        <v>7531.3000000000011</v>
      </c>
      <c r="Q191" s="19">
        <v>1242.1500000000001</v>
      </c>
      <c r="R191" s="20">
        <f t="shared" si="24"/>
        <v>1227.2442000000001</v>
      </c>
      <c r="S191" s="11">
        <v>1.2E-2</v>
      </c>
      <c r="T191" s="22">
        <f>IF('Dashboard Visualization'!$U$1="",$S191,IF(S191&gt;'Dashboard Visualization'!$U$1,'Dashboard Visualization'!$U$1,S191))</f>
        <v>1.2E-2</v>
      </c>
      <c r="U191" s="20">
        <f t="shared" si="25"/>
        <v>8487.6208872000007</v>
      </c>
      <c r="V191" s="20">
        <f t="shared" si="26"/>
        <v>956.32088719999956</v>
      </c>
      <c r="W191" s="22">
        <f t="shared" si="22"/>
        <v>0.11267243199354092</v>
      </c>
      <c r="X191" s="28" t="str">
        <f>TEXT(B191,"MMM-YYYY")</f>
        <v>May-2024</v>
      </c>
      <c r="Y191" s="7" t="str">
        <f t="shared" si="27"/>
        <v>Q2-2024</v>
      </c>
      <c r="Z191" s="7" t="str">
        <f t="shared" si="28"/>
        <v>High Price</v>
      </c>
      <c r="AA191" s="7" t="str">
        <f t="shared" si="29"/>
        <v>Q2</v>
      </c>
      <c r="AB191" s="28" t="str">
        <f t="shared" si="30"/>
        <v>May</v>
      </c>
      <c r="AC191" s="28" t="str">
        <f t="shared" si="31"/>
        <v>2024</v>
      </c>
    </row>
    <row r="192" spans="1:29" x14ac:dyDescent="0.25">
      <c r="A192" s="4" t="s">
        <v>204</v>
      </c>
      <c r="B192" s="14">
        <v>45325</v>
      </c>
      <c r="C192" s="14">
        <v>45341</v>
      </c>
      <c r="D192" s="16">
        <f t="shared" si="23"/>
        <v>16</v>
      </c>
      <c r="E192" s="4" t="s">
        <v>647</v>
      </c>
      <c r="F192" s="4" t="s">
        <v>659</v>
      </c>
      <c r="G192" s="4" t="s">
        <v>676</v>
      </c>
      <c r="H192" s="4" t="s">
        <v>705</v>
      </c>
      <c r="I192" s="4" t="s">
        <v>708</v>
      </c>
      <c r="J192" s="4" t="s">
        <v>722</v>
      </c>
      <c r="K192" s="4" t="s">
        <v>731</v>
      </c>
      <c r="L192" s="4" t="s">
        <v>924</v>
      </c>
      <c r="M192" s="9">
        <v>19</v>
      </c>
      <c r="N192" s="16">
        <f>ROUND(IF('Dashboard Visualization'!$U$3="",'Working Data'!$M192,'Working Data'!$M192*(100% +'Dashboard Visualization'!$U$3)),0)</f>
        <v>19</v>
      </c>
      <c r="O192" s="19">
        <v>993.75</v>
      </c>
      <c r="P192" s="20">
        <f>IF('Dashboard Visualization'!$U$2="",'Working Data'!$O192*'Working Data'!$N192,'Working Data'!$O192*'Working Data'!$N192*(100%+'Dashboard Visualization'!$U$2))</f>
        <v>18881.25</v>
      </c>
      <c r="Q192" s="19">
        <v>1310.29</v>
      </c>
      <c r="R192" s="20">
        <f t="shared" si="24"/>
        <v>1028.5776499999999</v>
      </c>
      <c r="S192" s="11">
        <v>0.215</v>
      </c>
      <c r="T192" s="22">
        <f>IF('Dashboard Visualization'!$U$1="",$S192,IF(S192&gt;'Dashboard Visualization'!$U$1,'Dashboard Visualization'!$U$1,S192))</f>
        <v>0.215</v>
      </c>
      <c r="U192" s="20">
        <f t="shared" si="25"/>
        <v>15341.235649749999</v>
      </c>
      <c r="V192" s="20">
        <f t="shared" si="26"/>
        <v>-3540.0143502500014</v>
      </c>
      <c r="W192" s="22">
        <f t="shared" si="22"/>
        <v>0</v>
      </c>
      <c r="X192" s="28" t="str">
        <f>TEXT(B192,"MMM-YYYY")</f>
        <v>Feb-2024</v>
      </c>
      <c r="Y192" s="7" t="str">
        <f t="shared" si="27"/>
        <v>Q1-2024</v>
      </c>
      <c r="Z192" s="7" t="str">
        <f t="shared" si="28"/>
        <v>High Price</v>
      </c>
      <c r="AA192" s="7" t="str">
        <f t="shared" si="29"/>
        <v>Q1</v>
      </c>
      <c r="AB192" s="28" t="str">
        <f t="shared" si="30"/>
        <v>Feb</v>
      </c>
      <c r="AC192" s="28" t="str">
        <f t="shared" si="31"/>
        <v>2024</v>
      </c>
    </row>
    <row r="193" spans="1:29" x14ac:dyDescent="0.25">
      <c r="A193" s="4" t="s">
        <v>205</v>
      </c>
      <c r="B193" s="14">
        <v>45146</v>
      </c>
      <c r="C193" s="14">
        <v>45160</v>
      </c>
      <c r="D193" s="16">
        <f t="shared" si="23"/>
        <v>14</v>
      </c>
      <c r="E193" s="4" t="s">
        <v>649</v>
      </c>
      <c r="F193" s="4" t="s">
        <v>658</v>
      </c>
      <c r="G193" s="4" t="s">
        <v>674</v>
      </c>
      <c r="H193" s="4" t="s">
        <v>703</v>
      </c>
      <c r="I193" s="4" t="s">
        <v>711</v>
      </c>
      <c r="J193" s="4" t="s">
        <v>725</v>
      </c>
      <c r="K193" s="4" t="s">
        <v>732</v>
      </c>
      <c r="L193" s="4" t="s">
        <v>925</v>
      </c>
      <c r="M193" s="9">
        <v>10</v>
      </c>
      <c r="N193" s="16">
        <f>ROUND(IF('Dashboard Visualization'!$U$3="",'Working Data'!$M193,'Working Data'!$M193*(100% +'Dashboard Visualization'!$U$3)),0)</f>
        <v>10</v>
      </c>
      <c r="O193" s="19">
        <v>446.69</v>
      </c>
      <c r="P193" s="20">
        <f>IF('Dashboard Visualization'!$U$2="",'Working Data'!$O193*'Working Data'!$N193,'Working Data'!$O193*'Working Data'!$N193*(100%+'Dashboard Visualization'!$U$2))</f>
        <v>4466.8999999999996</v>
      </c>
      <c r="Q193" s="19">
        <v>967.25</v>
      </c>
      <c r="R193" s="20">
        <f t="shared" si="24"/>
        <v>876.32850000000008</v>
      </c>
      <c r="S193" s="11">
        <v>9.4E-2</v>
      </c>
      <c r="T193" s="22">
        <f>IF('Dashboard Visualization'!$U$1="",$S193,IF(S193&gt;'Dashboard Visualization'!$U$1,'Dashboard Visualization'!$U$1,S193))</f>
        <v>9.4E-2</v>
      </c>
      <c r="U193" s="20">
        <f t="shared" si="25"/>
        <v>7939.5362100000011</v>
      </c>
      <c r="V193" s="20">
        <f t="shared" si="26"/>
        <v>3472.6362100000015</v>
      </c>
      <c r="W193" s="22">
        <f t="shared" si="22"/>
        <v>0.43738527265939642</v>
      </c>
      <c r="X193" s="28" t="str">
        <f>TEXT(B193,"MMM-YYYY")</f>
        <v>Aug-2023</v>
      </c>
      <c r="Y193" s="7" t="str">
        <f t="shared" si="27"/>
        <v>Q3-2023</v>
      </c>
      <c r="Z193" s="7" t="str">
        <f t="shared" si="28"/>
        <v>High Price</v>
      </c>
      <c r="AA193" s="7" t="str">
        <f t="shared" si="29"/>
        <v>Q3</v>
      </c>
      <c r="AB193" s="28" t="str">
        <f t="shared" si="30"/>
        <v>Aug</v>
      </c>
      <c r="AC193" s="28" t="str">
        <f t="shared" si="31"/>
        <v>2023</v>
      </c>
    </row>
    <row r="194" spans="1:29" x14ac:dyDescent="0.25">
      <c r="A194" s="4" t="s">
        <v>206</v>
      </c>
      <c r="B194" s="14">
        <v>45516</v>
      </c>
      <c r="C194" s="14">
        <v>45538</v>
      </c>
      <c r="D194" s="16">
        <f t="shared" si="23"/>
        <v>22</v>
      </c>
      <c r="E194" s="4" t="s">
        <v>648</v>
      </c>
      <c r="F194" s="4" t="s">
        <v>660</v>
      </c>
      <c r="G194" s="4" t="s">
        <v>697</v>
      </c>
      <c r="H194" s="4" t="s">
        <v>704</v>
      </c>
      <c r="I194" s="4" t="s">
        <v>710</v>
      </c>
      <c r="J194" s="4" t="s">
        <v>714</v>
      </c>
      <c r="K194" s="4" t="s">
        <v>731</v>
      </c>
      <c r="L194" s="4" t="s">
        <v>926</v>
      </c>
      <c r="M194" s="9">
        <v>36</v>
      </c>
      <c r="N194" s="16">
        <f>ROUND(IF('Dashboard Visualization'!$U$3="",'Working Data'!$M194,'Working Data'!$M194*(100% +'Dashboard Visualization'!$U$3)),0)</f>
        <v>36</v>
      </c>
      <c r="O194" s="19">
        <v>797.8</v>
      </c>
      <c r="P194" s="20">
        <f>IF('Dashboard Visualization'!$U$2="",'Working Data'!$O194*'Working Data'!$N194,'Working Data'!$O194*'Working Data'!$N194*(100%+'Dashboard Visualization'!$U$2))</f>
        <v>28720.799999999999</v>
      </c>
      <c r="Q194" s="19">
        <v>886.22</v>
      </c>
      <c r="R194" s="20">
        <f t="shared" si="24"/>
        <v>677.07208000000003</v>
      </c>
      <c r="S194" s="11">
        <v>0.23599999999999999</v>
      </c>
      <c r="T194" s="22">
        <f>IF('Dashboard Visualization'!$U$1="",$S194,IF(S194&gt;'Dashboard Visualization'!$U$1,'Dashboard Visualization'!$U$1,S194))</f>
        <v>0.23599999999999999</v>
      </c>
      <c r="U194" s="20">
        <f t="shared" si="25"/>
        <v>18622.19048832</v>
      </c>
      <c r="V194" s="20">
        <f t="shared" si="26"/>
        <v>-10098.609511679999</v>
      </c>
      <c r="W194" s="22">
        <f t="shared" ref="W194:W257" si="32">IFERROR(IF(V194&lt;=0,0,V194/U194),0)</f>
        <v>0</v>
      </c>
      <c r="X194" s="28" t="str">
        <f>TEXT(B194,"MMM-YYYY")</f>
        <v>Aug-2024</v>
      </c>
      <c r="Y194" s="7" t="str">
        <f t="shared" si="27"/>
        <v>Q3-2024</v>
      </c>
      <c r="Z194" s="7" t="str">
        <f t="shared" si="28"/>
        <v>High Price</v>
      </c>
      <c r="AA194" s="7" t="str">
        <f t="shared" si="29"/>
        <v>Q3</v>
      </c>
      <c r="AB194" s="28" t="str">
        <f t="shared" si="30"/>
        <v>Aug</v>
      </c>
      <c r="AC194" s="28" t="str">
        <f t="shared" si="31"/>
        <v>2024</v>
      </c>
    </row>
    <row r="195" spans="1:29" x14ac:dyDescent="0.25">
      <c r="A195" s="4" t="s">
        <v>207</v>
      </c>
      <c r="B195" s="14">
        <v>45214</v>
      </c>
      <c r="C195" s="14">
        <v>45243</v>
      </c>
      <c r="D195" s="16">
        <f t="shared" ref="D195:D258" si="33">IFERROR(DATEDIF(B195,C195,"D"),"")</f>
        <v>29</v>
      </c>
      <c r="E195" s="4" t="s">
        <v>647</v>
      </c>
      <c r="F195" s="4" t="s">
        <v>659</v>
      </c>
      <c r="G195" s="4" t="s">
        <v>676</v>
      </c>
      <c r="H195" s="4" t="s">
        <v>703</v>
      </c>
      <c r="I195" s="4" t="s">
        <v>710</v>
      </c>
      <c r="J195" s="4" t="s">
        <v>713</v>
      </c>
      <c r="K195" s="4" t="s">
        <v>728</v>
      </c>
      <c r="L195" s="4" t="s">
        <v>927</v>
      </c>
      <c r="M195" s="9">
        <v>6</v>
      </c>
      <c r="N195" s="16">
        <f>ROUND(IF('Dashboard Visualization'!$U$3="",'Working Data'!$M195,'Working Data'!$M195*(100% +'Dashboard Visualization'!$U$3)),0)</f>
        <v>6</v>
      </c>
      <c r="O195" s="19">
        <v>986.44</v>
      </c>
      <c r="P195" s="20">
        <f>IF('Dashboard Visualization'!$U$2="",'Working Data'!$O195*'Working Data'!$N195,'Working Data'!$O195*'Working Data'!$N195*(100%+'Dashboard Visualization'!$U$2))</f>
        <v>5918.64</v>
      </c>
      <c r="Q195" s="19">
        <v>790.61</v>
      </c>
      <c r="R195" s="20">
        <f t="shared" ref="R195:R258" si="34">(1-T195)*Q195</f>
        <v>733.68608000000006</v>
      </c>
      <c r="S195" s="11">
        <v>7.1999999999999995E-2</v>
      </c>
      <c r="T195" s="22">
        <f>IF('Dashboard Visualization'!$U$1="",$S195,IF(S195&gt;'Dashboard Visualization'!$U$1,'Dashboard Visualization'!$U$1,S195))</f>
        <v>7.1999999999999995E-2</v>
      </c>
      <c r="U195" s="20">
        <f t="shared" ref="U195:U258" si="35">IFERROR(R195*(1-T195)*N195,"-")</f>
        <v>4085.1640934400002</v>
      </c>
      <c r="V195" s="20">
        <f t="shared" ref="V195:V258" si="36">IFERROR(U195-P195,"-")</f>
        <v>-1833.4759065600001</v>
      </c>
      <c r="W195" s="22">
        <f t="shared" si="32"/>
        <v>0</v>
      </c>
      <c r="X195" s="28" t="str">
        <f>TEXT(B195,"MMM-YYYY")</f>
        <v>Oct-2023</v>
      </c>
      <c r="Y195" s="7" t="str">
        <f t="shared" ref="Y195:Y258" si="37">"Q" &amp; ROUNDUP(MONTH(X195)/3,0) &amp; "-" &amp; TEXT(X195,"YYYY")</f>
        <v>Q4-2023</v>
      </c>
      <c r="Z195" s="7" t="str">
        <f t="shared" ref="Z195:Z258" si="38">IF(R195&lt;QUARTILE(R:R,1), "Low Price", IF(R195&lt;QUARTILE(R:R,3), "High Price", "Medium Price"))</f>
        <v>High Price</v>
      </c>
      <c r="AA195" s="7" t="str">
        <f t="shared" ref="AA195:AA258" si="39">"Q"&amp;ROUNDUP(MONTH(X195)/3,0)</f>
        <v>Q4</v>
      </c>
      <c r="AB195" s="28" t="str">
        <f t="shared" ref="AB195:AB258" si="40">TEXT(X195,"MMM")</f>
        <v>Oct</v>
      </c>
      <c r="AC195" s="28" t="str">
        <f t="shared" ref="AC195:AC258" si="41">TEXT(X195,"YYYY")</f>
        <v>2023</v>
      </c>
    </row>
    <row r="196" spans="1:29" x14ac:dyDescent="0.25">
      <c r="A196" s="4" t="s">
        <v>208</v>
      </c>
      <c r="B196" s="14">
        <v>45050</v>
      </c>
      <c r="C196" s="14">
        <v>45072</v>
      </c>
      <c r="D196" s="16">
        <f t="shared" si="33"/>
        <v>22</v>
      </c>
      <c r="E196" s="4" t="s">
        <v>648</v>
      </c>
      <c r="F196" s="4" t="s">
        <v>660</v>
      </c>
      <c r="G196" s="4" t="s">
        <v>686</v>
      </c>
      <c r="H196" s="4" t="s">
        <v>706</v>
      </c>
      <c r="I196" s="4" t="s">
        <v>708</v>
      </c>
      <c r="J196" s="4" t="s">
        <v>713</v>
      </c>
      <c r="K196" s="4" t="s">
        <v>729</v>
      </c>
      <c r="L196" s="4" t="s">
        <v>928</v>
      </c>
      <c r="M196" s="9">
        <v>12</v>
      </c>
      <c r="N196" s="16">
        <f>ROUND(IF('Dashboard Visualization'!$U$3="",'Working Data'!$M196,'Working Data'!$M196*(100% +'Dashboard Visualization'!$U$3)),0)</f>
        <v>12</v>
      </c>
      <c r="O196" s="19">
        <v>249.71</v>
      </c>
      <c r="P196" s="20">
        <f>IF('Dashboard Visualization'!$U$2="",'Working Data'!$O196*'Working Data'!$N196,'Working Data'!$O196*'Working Data'!$N196*(100%+'Dashboard Visualization'!$U$2))</f>
        <v>2996.52</v>
      </c>
      <c r="Q196" s="19">
        <v>361.33</v>
      </c>
      <c r="R196" s="20">
        <f t="shared" si="34"/>
        <v>327.36498</v>
      </c>
      <c r="S196" s="11">
        <v>9.4E-2</v>
      </c>
      <c r="T196" s="22">
        <f>IF('Dashboard Visualization'!$U$1="",$S196,IF(S196&gt;'Dashboard Visualization'!$U$1,'Dashboard Visualization'!$U$1,S196))</f>
        <v>9.4E-2</v>
      </c>
      <c r="U196" s="20">
        <f t="shared" si="35"/>
        <v>3559.1120625600001</v>
      </c>
      <c r="V196" s="20">
        <f t="shared" si="36"/>
        <v>562.59206256000016</v>
      </c>
      <c r="W196" s="22">
        <f t="shared" si="32"/>
        <v>0.15807090439162474</v>
      </c>
      <c r="X196" s="28" t="str">
        <f>TEXT(B196,"MMM-YYYY")</f>
        <v>May-2023</v>
      </c>
      <c r="Y196" s="7" t="str">
        <f t="shared" si="37"/>
        <v>Q2-2023</v>
      </c>
      <c r="Z196" s="7" t="str">
        <f t="shared" si="38"/>
        <v>Low Price</v>
      </c>
      <c r="AA196" s="7" t="str">
        <f t="shared" si="39"/>
        <v>Q2</v>
      </c>
      <c r="AB196" s="28" t="str">
        <f t="shared" si="40"/>
        <v>May</v>
      </c>
      <c r="AC196" s="28" t="str">
        <f t="shared" si="41"/>
        <v>2023</v>
      </c>
    </row>
    <row r="197" spans="1:29" x14ac:dyDescent="0.25">
      <c r="A197" s="4" t="s">
        <v>209</v>
      </c>
      <c r="B197" s="14">
        <v>45557</v>
      </c>
      <c r="C197" s="14">
        <v>45566</v>
      </c>
      <c r="D197" s="16">
        <f t="shared" si="33"/>
        <v>9</v>
      </c>
      <c r="E197" s="4" t="s">
        <v>648</v>
      </c>
      <c r="F197" s="4" t="s">
        <v>655</v>
      </c>
      <c r="G197" s="4" t="s">
        <v>670</v>
      </c>
      <c r="H197" s="4" t="s">
        <v>703</v>
      </c>
      <c r="I197" s="4" t="s">
        <v>708</v>
      </c>
      <c r="J197" s="4" t="s">
        <v>723</v>
      </c>
      <c r="K197" s="4" t="s">
        <v>732</v>
      </c>
      <c r="L197" s="4" t="s">
        <v>929</v>
      </c>
      <c r="M197" s="9">
        <v>19</v>
      </c>
      <c r="N197" s="16">
        <f>ROUND(IF('Dashboard Visualization'!$U$3="",'Working Data'!$M197,'Working Data'!$M197*(100% +'Dashboard Visualization'!$U$3)),0)</f>
        <v>19</v>
      </c>
      <c r="O197" s="19">
        <v>1378.8</v>
      </c>
      <c r="P197" s="20">
        <f>IF('Dashboard Visualization'!$U$2="",'Working Data'!$O197*'Working Data'!$N197,'Working Data'!$O197*'Working Data'!$N197*(100%+'Dashboard Visualization'!$U$2))</f>
        <v>26197.200000000001</v>
      </c>
      <c r="Q197" s="19">
        <v>1952.04</v>
      </c>
      <c r="R197" s="20">
        <f t="shared" si="34"/>
        <v>1641.6656399999999</v>
      </c>
      <c r="S197" s="11">
        <v>0.159</v>
      </c>
      <c r="T197" s="22">
        <f>IF('Dashboard Visualization'!$U$1="",$S197,IF(S197&gt;'Dashboard Visualization'!$U$1,'Dashboard Visualization'!$U$1,S197))</f>
        <v>0.159</v>
      </c>
      <c r="U197" s="20">
        <f t="shared" si="35"/>
        <v>26232.175261559998</v>
      </c>
      <c r="V197" s="20">
        <f t="shared" si="36"/>
        <v>34.975261559997307</v>
      </c>
      <c r="W197" s="22">
        <f t="shared" si="32"/>
        <v>1.333296274947096E-3</v>
      </c>
      <c r="X197" s="28" t="str">
        <f>TEXT(B197,"MMM-YYYY")</f>
        <v>Sep-2024</v>
      </c>
      <c r="Y197" s="7" t="str">
        <f t="shared" si="37"/>
        <v>Q3-2024</v>
      </c>
      <c r="Z197" s="7" t="str">
        <f t="shared" si="38"/>
        <v>High Price</v>
      </c>
      <c r="AA197" s="7" t="str">
        <f t="shared" si="39"/>
        <v>Q3</v>
      </c>
      <c r="AB197" s="28" t="str">
        <f t="shared" si="40"/>
        <v>Sep</v>
      </c>
      <c r="AC197" s="28" t="str">
        <f t="shared" si="41"/>
        <v>2024</v>
      </c>
    </row>
    <row r="198" spans="1:29" x14ac:dyDescent="0.25">
      <c r="A198" s="4" t="s">
        <v>210</v>
      </c>
      <c r="B198" s="14">
        <v>45588</v>
      </c>
      <c r="C198" s="14">
        <v>45610</v>
      </c>
      <c r="D198" s="16">
        <f t="shared" si="33"/>
        <v>22</v>
      </c>
      <c r="E198" s="4" t="s">
        <v>647</v>
      </c>
      <c r="F198" s="4" t="s">
        <v>652</v>
      </c>
      <c r="G198" s="4" t="s">
        <v>666</v>
      </c>
      <c r="H198" s="4" t="s">
        <v>703</v>
      </c>
      <c r="I198" s="4" t="s">
        <v>711</v>
      </c>
      <c r="J198" s="4" t="s">
        <v>717</v>
      </c>
      <c r="K198" s="4" t="s">
        <v>730</v>
      </c>
      <c r="L198" s="4" t="s">
        <v>930</v>
      </c>
      <c r="M198" s="9">
        <v>17</v>
      </c>
      <c r="N198" s="16">
        <f>ROUND(IF('Dashboard Visualization'!$U$3="",'Working Data'!$M198,'Working Data'!$M198*(100% +'Dashboard Visualization'!$U$3)),0)</f>
        <v>17</v>
      </c>
      <c r="O198" s="19">
        <v>1406.4</v>
      </c>
      <c r="P198" s="20">
        <f>IF('Dashboard Visualization'!$U$2="",'Working Data'!$O198*'Working Data'!$N198,'Working Data'!$O198*'Working Data'!$N198*(100%+'Dashboard Visualization'!$U$2))</f>
        <v>23908.800000000003</v>
      </c>
      <c r="Q198" s="19">
        <v>1564.76</v>
      </c>
      <c r="R198" s="20">
        <f t="shared" si="34"/>
        <v>1275.2793999999999</v>
      </c>
      <c r="S198" s="11">
        <v>0.185</v>
      </c>
      <c r="T198" s="22">
        <f>IF('Dashboard Visualization'!$U$1="",$S198,IF(S198&gt;'Dashboard Visualization'!$U$1,'Dashboard Visualization'!$U$1,S198))</f>
        <v>0.185</v>
      </c>
      <c r="U198" s="20">
        <f t="shared" si="35"/>
        <v>17668.996086999996</v>
      </c>
      <c r="V198" s="20">
        <f t="shared" si="36"/>
        <v>-6239.803913000007</v>
      </c>
      <c r="W198" s="22">
        <f t="shared" si="32"/>
        <v>0</v>
      </c>
      <c r="X198" s="28" t="str">
        <f>TEXT(B198,"MMM-YYYY")</f>
        <v>Oct-2024</v>
      </c>
      <c r="Y198" s="7" t="str">
        <f t="shared" si="37"/>
        <v>Q4-2024</v>
      </c>
      <c r="Z198" s="7" t="str">
        <f t="shared" si="38"/>
        <v>High Price</v>
      </c>
      <c r="AA198" s="7" t="str">
        <f t="shared" si="39"/>
        <v>Q4</v>
      </c>
      <c r="AB198" s="28" t="str">
        <f t="shared" si="40"/>
        <v>Oct</v>
      </c>
      <c r="AC198" s="28" t="str">
        <f t="shared" si="41"/>
        <v>2024</v>
      </c>
    </row>
    <row r="199" spans="1:29" x14ac:dyDescent="0.25">
      <c r="A199" s="4" t="s">
        <v>211</v>
      </c>
      <c r="B199" s="14">
        <v>45333</v>
      </c>
      <c r="C199" s="14">
        <v>45354</v>
      </c>
      <c r="D199" s="16">
        <f t="shared" si="33"/>
        <v>21</v>
      </c>
      <c r="E199" s="4" t="s">
        <v>646</v>
      </c>
      <c r="F199" s="4" t="s">
        <v>650</v>
      </c>
      <c r="G199" s="4" t="s">
        <v>662</v>
      </c>
      <c r="H199" s="4" t="s">
        <v>706</v>
      </c>
      <c r="I199" s="4" t="s">
        <v>708</v>
      </c>
      <c r="J199" s="4" t="s">
        <v>717</v>
      </c>
      <c r="K199" s="4" t="s">
        <v>730</v>
      </c>
      <c r="L199" s="4" t="s">
        <v>931</v>
      </c>
      <c r="M199" s="9">
        <v>14</v>
      </c>
      <c r="N199" s="16">
        <f>ROUND(IF('Dashboard Visualization'!$U$3="",'Working Data'!$M199,'Working Data'!$M199*(100% +'Dashboard Visualization'!$U$3)),0)</f>
        <v>14</v>
      </c>
      <c r="O199" s="19">
        <v>516.86</v>
      </c>
      <c r="P199" s="20">
        <f>IF('Dashboard Visualization'!$U$2="",'Working Data'!$O199*'Working Data'!$N199,'Working Data'!$O199*'Working Data'!$N199*(100%+'Dashboard Visualization'!$U$2))</f>
        <v>7236.04</v>
      </c>
      <c r="Q199" s="19">
        <v>852.54</v>
      </c>
      <c r="R199" s="20">
        <f t="shared" si="34"/>
        <v>809.06045999999992</v>
      </c>
      <c r="S199" s="11">
        <v>5.0999999999999997E-2</v>
      </c>
      <c r="T199" s="22">
        <f>IF('Dashboard Visualization'!$U$1="",$S199,IF(S199&gt;'Dashboard Visualization'!$U$1,'Dashboard Visualization'!$U$1,S199))</f>
        <v>5.0999999999999997E-2</v>
      </c>
      <c r="U199" s="20">
        <f t="shared" si="35"/>
        <v>10749.177271559998</v>
      </c>
      <c r="V199" s="20">
        <f t="shared" si="36"/>
        <v>3513.1372715599982</v>
      </c>
      <c r="W199" s="22">
        <f t="shared" si="32"/>
        <v>0.32682848024611155</v>
      </c>
      <c r="X199" s="28" t="str">
        <f>TEXT(B199,"MMM-YYYY")</f>
        <v>Feb-2024</v>
      </c>
      <c r="Y199" s="7" t="str">
        <f t="shared" si="37"/>
        <v>Q1-2024</v>
      </c>
      <c r="Z199" s="7" t="str">
        <f t="shared" si="38"/>
        <v>High Price</v>
      </c>
      <c r="AA199" s="7" t="str">
        <f t="shared" si="39"/>
        <v>Q1</v>
      </c>
      <c r="AB199" s="28" t="str">
        <f t="shared" si="40"/>
        <v>Feb</v>
      </c>
      <c r="AC199" s="28" t="str">
        <f t="shared" si="41"/>
        <v>2024</v>
      </c>
    </row>
    <row r="200" spans="1:29" x14ac:dyDescent="0.25">
      <c r="A200" s="4" t="s">
        <v>212</v>
      </c>
      <c r="B200" s="14">
        <v>44956</v>
      </c>
      <c r="C200" s="14">
        <v>44978</v>
      </c>
      <c r="D200" s="16">
        <f t="shared" si="33"/>
        <v>22</v>
      </c>
      <c r="E200" s="4" t="s">
        <v>649</v>
      </c>
      <c r="F200" s="4" t="s">
        <v>656</v>
      </c>
      <c r="G200" s="4" t="s">
        <v>684</v>
      </c>
      <c r="H200" s="4" t="s">
        <v>705</v>
      </c>
      <c r="I200" s="4" t="s">
        <v>709</v>
      </c>
      <c r="J200" s="4" t="s">
        <v>715</v>
      </c>
      <c r="K200" s="4" t="s">
        <v>729</v>
      </c>
      <c r="L200" s="4" t="s">
        <v>932</v>
      </c>
      <c r="M200" s="9">
        <v>7</v>
      </c>
      <c r="N200" s="16">
        <f>ROUND(IF('Dashboard Visualization'!$U$3="",'Working Data'!$M200,'Working Data'!$M200*(100% +'Dashboard Visualization'!$U$3)),0)</f>
        <v>7</v>
      </c>
      <c r="O200" s="19">
        <v>1142.8800000000001</v>
      </c>
      <c r="P200" s="20">
        <f>IF('Dashboard Visualization'!$U$2="",'Working Data'!$O200*'Working Data'!$N200,'Working Data'!$O200*'Working Data'!$N200*(100%+'Dashboard Visualization'!$U$2))</f>
        <v>8000.1600000000008</v>
      </c>
      <c r="Q200" s="19">
        <v>1465.29</v>
      </c>
      <c r="R200" s="20">
        <f t="shared" si="34"/>
        <v>1192.7460599999999</v>
      </c>
      <c r="S200" s="11">
        <v>0.186</v>
      </c>
      <c r="T200" s="22">
        <f>IF('Dashboard Visualization'!$U$1="",$S200,IF(S200&gt;'Dashboard Visualization'!$U$1,'Dashboard Visualization'!$U$1,S200))</f>
        <v>0.186</v>
      </c>
      <c r="U200" s="20">
        <f t="shared" si="35"/>
        <v>6796.2670498799998</v>
      </c>
      <c r="V200" s="20">
        <f t="shared" si="36"/>
        <v>-1203.8929501200009</v>
      </c>
      <c r="W200" s="22">
        <f t="shared" si="32"/>
        <v>0</v>
      </c>
      <c r="X200" s="28" t="str">
        <f>TEXT(B200,"MMM-YYYY")</f>
        <v>Jan-2023</v>
      </c>
      <c r="Y200" s="7" t="str">
        <f t="shared" si="37"/>
        <v>Q1-2023</v>
      </c>
      <c r="Z200" s="7" t="str">
        <f t="shared" si="38"/>
        <v>High Price</v>
      </c>
      <c r="AA200" s="7" t="str">
        <f t="shared" si="39"/>
        <v>Q1</v>
      </c>
      <c r="AB200" s="28" t="str">
        <f t="shared" si="40"/>
        <v>Jan</v>
      </c>
      <c r="AC200" s="28" t="str">
        <f t="shared" si="41"/>
        <v>2023</v>
      </c>
    </row>
    <row r="201" spans="1:29" x14ac:dyDescent="0.25">
      <c r="A201" s="4" t="s">
        <v>213</v>
      </c>
      <c r="B201" s="14">
        <v>45030</v>
      </c>
      <c r="C201" s="14">
        <v>45059</v>
      </c>
      <c r="D201" s="16">
        <f t="shared" si="33"/>
        <v>29</v>
      </c>
      <c r="E201" s="4" t="s">
        <v>649</v>
      </c>
      <c r="F201" s="4" t="s">
        <v>656</v>
      </c>
      <c r="G201" s="4" t="s">
        <v>698</v>
      </c>
      <c r="H201" s="4" t="s">
        <v>704</v>
      </c>
      <c r="I201" s="4" t="s">
        <v>711</v>
      </c>
      <c r="J201" s="4" t="s">
        <v>713</v>
      </c>
      <c r="K201" s="4" t="s">
        <v>728</v>
      </c>
      <c r="L201" s="4" t="s">
        <v>933</v>
      </c>
      <c r="M201" s="9">
        <v>25</v>
      </c>
      <c r="N201" s="16">
        <f>ROUND(IF('Dashboard Visualization'!$U$3="",'Working Data'!$M201,'Working Data'!$M201*(100% +'Dashboard Visualization'!$U$3)),0)</f>
        <v>25</v>
      </c>
      <c r="O201" s="19">
        <v>1320.33</v>
      </c>
      <c r="P201" s="20">
        <f>IF('Dashboard Visualization'!$U$2="",'Working Data'!$O201*'Working Data'!$N201,'Working Data'!$O201*'Working Data'!$N201*(100%+'Dashboard Visualization'!$U$2))</f>
        <v>33008.25</v>
      </c>
      <c r="Q201" s="19">
        <v>2645.23</v>
      </c>
      <c r="R201" s="20">
        <f t="shared" si="34"/>
        <v>2235.2193499999998</v>
      </c>
      <c r="S201" s="11">
        <v>0.155</v>
      </c>
      <c r="T201" s="22">
        <f>IF('Dashboard Visualization'!$U$1="",$S201,IF(S201&gt;'Dashboard Visualization'!$U$1,'Dashboard Visualization'!$U$1,S201))</f>
        <v>0.155</v>
      </c>
      <c r="U201" s="20">
        <f t="shared" si="35"/>
        <v>47219.008768749998</v>
      </c>
      <c r="V201" s="20">
        <f t="shared" si="36"/>
        <v>14210.758768749998</v>
      </c>
      <c r="W201" s="22">
        <f t="shared" si="32"/>
        <v>0.30095419491640868</v>
      </c>
      <c r="X201" s="28" t="str">
        <f>TEXT(B201,"MMM-YYYY")</f>
        <v>Apr-2023</v>
      </c>
      <c r="Y201" s="7" t="str">
        <f t="shared" si="37"/>
        <v>Q2-2023</v>
      </c>
      <c r="Z201" s="7" t="str">
        <f t="shared" si="38"/>
        <v>Medium Price</v>
      </c>
      <c r="AA201" s="7" t="str">
        <f t="shared" si="39"/>
        <v>Q2</v>
      </c>
      <c r="AB201" s="28" t="str">
        <f t="shared" si="40"/>
        <v>Apr</v>
      </c>
      <c r="AC201" s="28" t="str">
        <f t="shared" si="41"/>
        <v>2023</v>
      </c>
    </row>
    <row r="202" spans="1:29" x14ac:dyDescent="0.25">
      <c r="A202" s="4" t="s">
        <v>214</v>
      </c>
      <c r="B202" s="14">
        <v>44939</v>
      </c>
      <c r="C202" s="14">
        <v>44945</v>
      </c>
      <c r="D202" s="16">
        <f t="shared" si="33"/>
        <v>6</v>
      </c>
      <c r="E202" s="4" t="s">
        <v>648</v>
      </c>
      <c r="F202" s="4" t="s">
        <v>660</v>
      </c>
      <c r="G202" s="4" t="s">
        <v>677</v>
      </c>
      <c r="H202" s="4" t="s">
        <v>701</v>
      </c>
      <c r="I202" s="4" t="s">
        <v>711</v>
      </c>
      <c r="J202" s="4" t="s">
        <v>722</v>
      </c>
      <c r="K202" s="4" t="s">
        <v>730</v>
      </c>
      <c r="L202" s="4" t="s">
        <v>934</v>
      </c>
      <c r="M202" s="9">
        <v>18</v>
      </c>
      <c r="N202" s="16">
        <f>ROUND(IF('Dashboard Visualization'!$U$3="",'Working Data'!$M202,'Working Data'!$M202*(100% +'Dashboard Visualization'!$U$3)),0)</f>
        <v>18</v>
      </c>
      <c r="O202" s="19">
        <v>833.57</v>
      </c>
      <c r="P202" s="20">
        <f>IF('Dashboard Visualization'!$U$2="",'Working Data'!$O202*'Working Data'!$N202,'Working Data'!$O202*'Working Data'!$N202*(100%+'Dashboard Visualization'!$U$2))</f>
        <v>15004.26</v>
      </c>
      <c r="Q202" s="19">
        <v>881.57</v>
      </c>
      <c r="R202" s="20">
        <f t="shared" si="34"/>
        <v>831.32051000000001</v>
      </c>
      <c r="S202" s="11">
        <v>5.7000000000000002E-2</v>
      </c>
      <c r="T202" s="22">
        <f>IF('Dashboard Visualization'!$U$1="",$S202,IF(S202&gt;'Dashboard Visualization'!$U$1,'Dashboard Visualization'!$U$1,S202))</f>
        <v>5.7000000000000002E-2</v>
      </c>
      <c r="U202" s="20">
        <f t="shared" si="35"/>
        <v>14110.834336739999</v>
      </c>
      <c r="V202" s="20">
        <f t="shared" si="36"/>
        <v>-893.42566326000087</v>
      </c>
      <c r="W202" s="22">
        <f t="shared" si="32"/>
        <v>0</v>
      </c>
      <c r="X202" s="28" t="str">
        <f>TEXT(B202,"MMM-YYYY")</f>
        <v>Jan-2023</v>
      </c>
      <c r="Y202" s="7" t="str">
        <f t="shared" si="37"/>
        <v>Q1-2023</v>
      </c>
      <c r="Z202" s="7" t="str">
        <f t="shared" si="38"/>
        <v>High Price</v>
      </c>
      <c r="AA202" s="7" t="str">
        <f t="shared" si="39"/>
        <v>Q1</v>
      </c>
      <c r="AB202" s="28" t="str">
        <f t="shared" si="40"/>
        <v>Jan</v>
      </c>
      <c r="AC202" s="28" t="str">
        <f t="shared" si="41"/>
        <v>2023</v>
      </c>
    </row>
    <row r="203" spans="1:29" x14ac:dyDescent="0.25">
      <c r="A203" s="4" t="s">
        <v>215</v>
      </c>
      <c r="B203" s="14">
        <v>45303</v>
      </c>
      <c r="C203" s="14">
        <v>45320</v>
      </c>
      <c r="D203" s="16">
        <f t="shared" si="33"/>
        <v>17</v>
      </c>
      <c r="E203" s="4" t="s">
        <v>648</v>
      </c>
      <c r="F203" s="4" t="s">
        <v>660</v>
      </c>
      <c r="G203" s="4" t="s">
        <v>677</v>
      </c>
      <c r="H203" s="4" t="s">
        <v>702</v>
      </c>
      <c r="I203" s="4" t="s">
        <v>710</v>
      </c>
      <c r="J203" s="4" t="s">
        <v>720</v>
      </c>
      <c r="K203" s="4" t="s">
        <v>728</v>
      </c>
      <c r="L203" s="4" t="s">
        <v>935</v>
      </c>
      <c r="M203" s="9">
        <v>10</v>
      </c>
      <c r="N203" s="16">
        <f>ROUND(IF('Dashboard Visualization'!$U$3="",'Working Data'!$M203,'Working Data'!$M203*(100% +'Dashboard Visualization'!$U$3)),0)</f>
        <v>10</v>
      </c>
      <c r="O203" s="19">
        <v>493.76</v>
      </c>
      <c r="P203" s="20">
        <f>IF('Dashboard Visualization'!$U$2="",'Working Data'!$O203*'Working Data'!$N203,'Working Data'!$O203*'Working Data'!$N203*(100%+'Dashboard Visualization'!$U$2))</f>
        <v>4937.6000000000004</v>
      </c>
      <c r="Q203" s="19">
        <v>625.04</v>
      </c>
      <c r="R203" s="20">
        <f t="shared" si="34"/>
        <v>463.77967999999998</v>
      </c>
      <c r="S203" s="11">
        <v>0.25800000000000001</v>
      </c>
      <c r="T203" s="22">
        <f>IF('Dashboard Visualization'!$U$1="",$S203,IF(S203&gt;'Dashboard Visualization'!$U$1,'Dashboard Visualization'!$U$1,S203))</f>
        <v>0.25800000000000001</v>
      </c>
      <c r="U203" s="20">
        <f t="shared" si="35"/>
        <v>3441.2452256000001</v>
      </c>
      <c r="V203" s="20">
        <f t="shared" si="36"/>
        <v>-1496.3547744000002</v>
      </c>
      <c r="W203" s="22">
        <f t="shared" si="32"/>
        <v>0</v>
      </c>
      <c r="X203" s="28" t="str">
        <f>TEXT(B203,"MMM-YYYY")</f>
        <v>Jan-2024</v>
      </c>
      <c r="Y203" s="7" t="str">
        <f t="shared" si="37"/>
        <v>Q1-2024</v>
      </c>
      <c r="Z203" s="7" t="str">
        <f t="shared" si="38"/>
        <v>Low Price</v>
      </c>
      <c r="AA203" s="7" t="str">
        <f t="shared" si="39"/>
        <v>Q1</v>
      </c>
      <c r="AB203" s="28" t="str">
        <f t="shared" si="40"/>
        <v>Jan</v>
      </c>
      <c r="AC203" s="28" t="str">
        <f t="shared" si="41"/>
        <v>2024</v>
      </c>
    </row>
    <row r="204" spans="1:29" x14ac:dyDescent="0.25">
      <c r="A204" s="4" t="s">
        <v>216</v>
      </c>
      <c r="B204" s="14">
        <v>45153</v>
      </c>
      <c r="C204" s="14">
        <v>45176</v>
      </c>
      <c r="D204" s="16">
        <f t="shared" si="33"/>
        <v>23</v>
      </c>
      <c r="E204" s="4" t="s">
        <v>648</v>
      </c>
      <c r="F204" s="4" t="s">
        <v>660</v>
      </c>
      <c r="G204" s="4" t="s">
        <v>700</v>
      </c>
      <c r="H204" s="4" t="s">
        <v>706</v>
      </c>
      <c r="I204" s="4" t="s">
        <v>708</v>
      </c>
      <c r="J204" s="4" t="s">
        <v>723</v>
      </c>
      <c r="K204" s="4" t="s">
        <v>730</v>
      </c>
      <c r="L204" s="4" t="s">
        <v>936</v>
      </c>
      <c r="M204" s="9">
        <v>26</v>
      </c>
      <c r="N204" s="16">
        <f>ROUND(IF('Dashboard Visualization'!$U$3="",'Working Data'!$M204,'Working Data'!$M204*(100% +'Dashboard Visualization'!$U$3)),0)</f>
        <v>26</v>
      </c>
      <c r="O204" s="19">
        <v>590.33000000000004</v>
      </c>
      <c r="P204" s="20">
        <f>IF('Dashboard Visualization'!$U$2="",'Working Data'!$O204*'Working Data'!$N204,'Working Data'!$O204*'Working Data'!$N204*(100%+'Dashboard Visualization'!$U$2))</f>
        <v>15348.580000000002</v>
      </c>
      <c r="Q204" s="19">
        <v>973.04</v>
      </c>
      <c r="R204" s="20">
        <f t="shared" si="34"/>
        <v>973.04</v>
      </c>
      <c r="S204" s="11">
        <v>0</v>
      </c>
      <c r="T204" s="22">
        <f>IF('Dashboard Visualization'!$U$1="",$S204,IF(S204&gt;'Dashboard Visualization'!$U$1,'Dashboard Visualization'!$U$1,S204))</f>
        <v>0</v>
      </c>
      <c r="U204" s="20">
        <f t="shared" si="35"/>
        <v>25299.040000000001</v>
      </c>
      <c r="V204" s="20">
        <f t="shared" si="36"/>
        <v>9950.4599999999991</v>
      </c>
      <c r="W204" s="22">
        <f t="shared" si="32"/>
        <v>0.39331373838691108</v>
      </c>
      <c r="X204" s="28" t="str">
        <f>TEXT(B204,"MMM-YYYY")</f>
        <v>Aug-2023</v>
      </c>
      <c r="Y204" s="7" t="str">
        <f t="shared" si="37"/>
        <v>Q3-2023</v>
      </c>
      <c r="Z204" s="7" t="str">
        <f t="shared" si="38"/>
        <v>High Price</v>
      </c>
      <c r="AA204" s="7" t="str">
        <f t="shared" si="39"/>
        <v>Q3</v>
      </c>
      <c r="AB204" s="28" t="str">
        <f t="shared" si="40"/>
        <v>Aug</v>
      </c>
      <c r="AC204" s="28" t="str">
        <f t="shared" si="41"/>
        <v>2023</v>
      </c>
    </row>
    <row r="205" spans="1:29" x14ac:dyDescent="0.25">
      <c r="A205" s="4" t="s">
        <v>217</v>
      </c>
      <c r="B205" s="14">
        <v>44946</v>
      </c>
      <c r="C205" s="14">
        <v>44960</v>
      </c>
      <c r="D205" s="16">
        <f t="shared" si="33"/>
        <v>14</v>
      </c>
      <c r="E205" s="4" t="s">
        <v>646</v>
      </c>
      <c r="F205" s="4" t="s">
        <v>650</v>
      </c>
      <c r="G205" s="4" t="s">
        <v>662</v>
      </c>
      <c r="H205" s="4" t="s">
        <v>701</v>
      </c>
      <c r="I205" s="4" t="s">
        <v>707</v>
      </c>
      <c r="J205" s="4" t="s">
        <v>724</v>
      </c>
      <c r="K205" s="4" t="s">
        <v>729</v>
      </c>
      <c r="L205" s="4" t="s">
        <v>937</v>
      </c>
      <c r="M205" s="9">
        <v>41</v>
      </c>
      <c r="N205" s="16">
        <f>ROUND(IF('Dashboard Visualization'!$U$3="",'Working Data'!$M205,'Working Data'!$M205*(100% +'Dashboard Visualization'!$U$3)),0)</f>
        <v>41</v>
      </c>
      <c r="O205" s="19">
        <v>884.36</v>
      </c>
      <c r="P205" s="20">
        <f>IF('Dashboard Visualization'!$U$2="",'Working Data'!$O205*'Working Data'!$N205,'Working Data'!$O205*'Working Data'!$N205*(100%+'Dashboard Visualization'!$U$2))</f>
        <v>36258.76</v>
      </c>
      <c r="Q205" s="19">
        <v>1545.34</v>
      </c>
      <c r="R205" s="20">
        <f t="shared" si="34"/>
        <v>1169.8223799999998</v>
      </c>
      <c r="S205" s="11">
        <v>0.24299999999999999</v>
      </c>
      <c r="T205" s="22">
        <f>IF('Dashboard Visualization'!$U$1="",$S205,IF(S205&gt;'Dashboard Visualization'!$U$1,'Dashboard Visualization'!$U$1,S205))</f>
        <v>0.24299999999999999</v>
      </c>
      <c r="U205" s="20">
        <f t="shared" si="35"/>
        <v>36307.777208059997</v>
      </c>
      <c r="V205" s="20">
        <f t="shared" si="36"/>
        <v>49.017208059995028</v>
      </c>
      <c r="W205" s="22">
        <f t="shared" si="32"/>
        <v>1.3500470650985941E-3</v>
      </c>
      <c r="X205" s="28" t="str">
        <f>TEXT(B205,"MMM-YYYY")</f>
        <v>Jan-2023</v>
      </c>
      <c r="Y205" s="7" t="str">
        <f t="shared" si="37"/>
        <v>Q1-2023</v>
      </c>
      <c r="Z205" s="7" t="str">
        <f t="shared" si="38"/>
        <v>High Price</v>
      </c>
      <c r="AA205" s="7" t="str">
        <f t="shared" si="39"/>
        <v>Q1</v>
      </c>
      <c r="AB205" s="28" t="str">
        <f t="shared" si="40"/>
        <v>Jan</v>
      </c>
      <c r="AC205" s="28" t="str">
        <f t="shared" si="41"/>
        <v>2023</v>
      </c>
    </row>
    <row r="206" spans="1:29" x14ac:dyDescent="0.25">
      <c r="A206" s="4" t="s">
        <v>218</v>
      </c>
      <c r="B206" s="14">
        <v>45692</v>
      </c>
      <c r="C206" s="14">
        <v>45713</v>
      </c>
      <c r="D206" s="16">
        <f t="shared" si="33"/>
        <v>21</v>
      </c>
      <c r="E206" s="4" t="s">
        <v>649</v>
      </c>
      <c r="F206" s="4" t="s">
        <v>658</v>
      </c>
      <c r="G206" s="4" t="s">
        <v>674</v>
      </c>
      <c r="H206" s="4" t="s">
        <v>701</v>
      </c>
      <c r="I206" s="4" t="s">
        <v>709</v>
      </c>
      <c r="J206" s="4" t="s">
        <v>726</v>
      </c>
      <c r="K206" s="4" t="s">
        <v>732</v>
      </c>
      <c r="L206" s="4" t="s">
        <v>938</v>
      </c>
      <c r="M206" s="9">
        <v>12</v>
      </c>
      <c r="N206" s="16">
        <f>ROUND(IF('Dashboard Visualization'!$U$3="",'Working Data'!$M206,'Working Data'!$M206*(100% +'Dashboard Visualization'!$U$3)),0)</f>
        <v>12</v>
      </c>
      <c r="O206" s="19">
        <v>1016.32</v>
      </c>
      <c r="P206" s="20">
        <f>IF('Dashboard Visualization'!$U$2="",'Working Data'!$O206*'Working Data'!$N206,'Working Data'!$O206*'Working Data'!$N206*(100%+'Dashboard Visualization'!$U$2))</f>
        <v>12195.84</v>
      </c>
      <c r="Q206" s="19">
        <v>2253.42</v>
      </c>
      <c r="R206" s="20">
        <f t="shared" si="34"/>
        <v>2129.4818999999998</v>
      </c>
      <c r="S206" s="11">
        <v>5.5E-2</v>
      </c>
      <c r="T206" s="22">
        <f>IF('Dashboard Visualization'!$U$1="",$S206,IF(S206&gt;'Dashboard Visualization'!$U$1,'Dashboard Visualization'!$U$1,S206))</f>
        <v>5.5E-2</v>
      </c>
      <c r="U206" s="20">
        <f t="shared" si="35"/>
        <v>24148.324745999995</v>
      </c>
      <c r="V206" s="20">
        <f t="shared" si="36"/>
        <v>11952.484745999995</v>
      </c>
      <c r="W206" s="22">
        <f t="shared" si="32"/>
        <v>0.49496123941184955</v>
      </c>
      <c r="X206" s="28" t="str">
        <f>TEXT(B206,"MMM-YYYY")</f>
        <v>Feb-2025</v>
      </c>
      <c r="Y206" s="7" t="str">
        <f t="shared" si="37"/>
        <v>Q1-2025</v>
      </c>
      <c r="Z206" s="7" t="str">
        <f t="shared" si="38"/>
        <v>Medium Price</v>
      </c>
      <c r="AA206" s="7" t="str">
        <f t="shared" si="39"/>
        <v>Q1</v>
      </c>
      <c r="AB206" s="28" t="str">
        <f t="shared" si="40"/>
        <v>Feb</v>
      </c>
      <c r="AC206" s="28" t="str">
        <f t="shared" si="41"/>
        <v>2025</v>
      </c>
    </row>
    <row r="207" spans="1:29" x14ac:dyDescent="0.25">
      <c r="A207" s="4" t="s">
        <v>219</v>
      </c>
      <c r="B207" s="14">
        <v>45035</v>
      </c>
      <c r="C207" s="14">
        <v>45044</v>
      </c>
      <c r="D207" s="16">
        <f t="shared" si="33"/>
        <v>9</v>
      </c>
      <c r="E207" s="4" t="s">
        <v>649</v>
      </c>
      <c r="F207" s="4" t="s">
        <v>656</v>
      </c>
      <c r="G207" s="4" t="s">
        <v>671</v>
      </c>
      <c r="H207" s="4" t="s">
        <v>702</v>
      </c>
      <c r="I207" s="4" t="s">
        <v>708</v>
      </c>
      <c r="J207" s="4" t="s">
        <v>718</v>
      </c>
      <c r="K207" s="4" t="s">
        <v>732</v>
      </c>
      <c r="L207" s="4" t="s">
        <v>939</v>
      </c>
      <c r="M207" s="9">
        <v>11</v>
      </c>
      <c r="N207" s="16">
        <f>ROUND(IF('Dashboard Visualization'!$U$3="",'Working Data'!$M207,'Working Data'!$M207*(100% +'Dashboard Visualization'!$U$3)),0)</f>
        <v>11</v>
      </c>
      <c r="O207" s="19">
        <v>1178.42</v>
      </c>
      <c r="P207" s="20">
        <f>IF('Dashboard Visualization'!$U$2="",'Working Data'!$O207*'Working Data'!$N207,'Working Data'!$O207*'Working Data'!$N207*(100%+'Dashboard Visualization'!$U$2))</f>
        <v>12962.62</v>
      </c>
      <c r="Q207" s="19">
        <v>2446.56</v>
      </c>
      <c r="R207" s="20">
        <f t="shared" si="34"/>
        <v>2375.6097599999998</v>
      </c>
      <c r="S207" s="11">
        <v>2.9000000000000001E-2</v>
      </c>
      <c r="T207" s="22">
        <f>IF('Dashboard Visualization'!$U$1="",$S207,IF(S207&gt;'Dashboard Visualization'!$U$1,'Dashboard Visualization'!$U$1,S207))</f>
        <v>2.9000000000000001E-2</v>
      </c>
      <c r="U207" s="20">
        <f t="shared" si="35"/>
        <v>25373.887846559999</v>
      </c>
      <c r="V207" s="20">
        <f t="shared" si="36"/>
        <v>12411.267846559998</v>
      </c>
      <c r="W207" s="22">
        <f t="shared" si="32"/>
        <v>0.48913544197928754</v>
      </c>
      <c r="X207" s="28" t="str">
        <f>TEXT(B207,"MMM-YYYY")</f>
        <v>Apr-2023</v>
      </c>
      <c r="Y207" s="7" t="str">
        <f t="shared" si="37"/>
        <v>Q2-2023</v>
      </c>
      <c r="Z207" s="7" t="str">
        <f t="shared" si="38"/>
        <v>Medium Price</v>
      </c>
      <c r="AA207" s="7" t="str">
        <f t="shared" si="39"/>
        <v>Q2</v>
      </c>
      <c r="AB207" s="28" t="str">
        <f t="shared" si="40"/>
        <v>Apr</v>
      </c>
      <c r="AC207" s="28" t="str">
        <f t="shared" si="41"/>
        <v>2023</v>
      </c>
    </row>
    <row r="208" spans="1:29" x14ac:dyDescent="0.25">
      <c r="A208" s="4" t="s">
        <v>220</v>
      </c>
      <c r="B208" s="14">
        <v>45109</v>
      </c>
      <c r="C208" s="14">
        <v>45139</v>
      </c>
      <c r="D208" s="16">
        <f t="shared" si="33"/>
        <v>30</v>
      </c>
      <c r="E208" s="4" t="s">
        <v>649</v>
      </c>
      <c r="F208" s="4" t="s">
        <v>658</v>
      </c>
      <c r="G208" s="4" t="s">
        <v>674</v>
      </c>
      <c r="H208" s="4" t="s">
        <v>705</v>
      </c>
      <c r="I208" s="4" t="s">
        <v>707</v>
      </c>
      <c r="J208" s="4" t="s">
        <v>717</v>
      </c>
      <c r="K208" s="4" t="s">
        <v>727</v>
      </c>
      <c r="L208" s="4" t="s">
        <v>940</v>
      </c>
      <c r="M208" s="9">
        <v>37</v>
      </c>
      <c r="N208" s="16">
        <f>ROUND(IF('Dashboard Visualization'!$U$3="",'Working Data'!$M208,'Working Data'!$M208*(100% +'Dashboard Visualization'!$U$3)),0)</f>
        <v>37</v>
      </c>
      <c r="O208" s="19">
        <v>137.46</v>
      </c>
      <c r="P208" s="20">
        <f>IF('Dashboard Visualization'!$U$2="",'Working Data'!$O208*'Working Data'!$N208,'Working Data'!$O208*'Working Data'!$N208*(100%+'Dashboard Visualization'!$U$2))</f>
        <v>5086.0200000000004</v>
      </c>
      <c r="Q208" s="19">
        <v>188.3</v>
      </c>
      <c r="R208" s="20">
        <f t="shared" si="34"/>
        <v>181.1446</v>
      </c>
      <c r="S208" s="11">
        <v>3.7999999999999999E-2</v>
      </c>
      <c r="T208" s="22">
        <f>IF('Dashboard Visualization'!$U$1="",$S208,IF(S208&gt;'Dashboard Visualization'!$U$1,'Dashboard Visualization'!$U$1,S208))</f>
        <v>3.7999999999999999E-2</v>
      </c>
      <c r="U208" s="20">
        <f t="shared" si="35"/>
        <v>6447.6608924000002</v>
      </c>
      <c r="V208" s="20">
        <f t="shared" si="36"/>
        <v>1361.6408923999998</v>
      </c>
      <c r="W208" s="22">
        <f t="shared" si="32"/>
        <v>0.21118370136447404</v>
      </c>
      <c r="X208" s="28" t="str">
        <f>TEXT(B208,"MMM-YYYY")</f>
        <v>Jul-2023</v>
      </c>
      <c r="Y208" s="7" t="str">
        <f t="shared" si="37"/>
        <v>Q3-2023</v>
      </c>
      <c r="Z208" s="7" t="str">
        <f t="shared" si="38"/>
        <v>Low Price</v>
      </c>
      <c r="AA208" s="7" t="str">
        <f t="shared" si="39"/>
        <v>Q3</v>
      </c>
      <c r="AB208" s="28" t="str">
        <f t="shared" si="40"/>
        <v>Jul</v>
      </c>
      <c r="AC208" s="28" t="str">
        <f t="shared" si="41"/>
        <v>2023</v>
      </c>
    </row>
    <row r="209" spans="1:29" x14ac:dyDescent="0.25">
      <c r="A209" s="4" t="s">
        <v>221</v>
      </c>
      <c r="B209" s="14">
        <v>45678</v>
      </c>
      <c r="C209" s="14">
        <v>45702</v>
      </c>
      <c r="D209" s="16">
        <f t="shared" si="33"/>
        <v>24</v>
      </c>
      <c r="E209" s="4" t="s">
        <v>646</v>
      </c>
      <c r="F209" s="4" t="s">
        <v>650</v>
      </c>
      <c r="G209" s="4" t="s">
        <v>664</v>
      </c>
      <c r="H209" s="4" t="s">
        <v>705</v>
      </c>
      <c r="I209" s="4" t="s">
        <v>707</v>
      </c>
      <c r="J209" s="4" t="s">
        <v>713</v>
      </c>
      <c r="K209" s="4" t="s">
        <v>733</v>
      </c>
      <c r="L209" s="4" t="s">
        <v>941</v>
      </c>
      <c r="M209" s="9">
        <v>13</v>
      </c>
      <c r="N209" s="16">
        <f>ROUND(IF('Dashboard Visualization'!$U$3="",'Working Data'!$M209,'Working Data'!$M209*(100% +'Dashboard Visualization'!$U$3)),0)</f>
        <v>13</v>
      </c>
      <c r="O209" s="19">
        <v>1030.44</v>
      </c>
      <c r="P209" s="20">
        <f>IF('Dashboard Visualization'!$U$2="",'Working Data'!$O209*'Working Data'!$N209,'Working Data'!$O209*'Working Data'!$N209*(100%+'Dashboard Visualization'!$U$2))</f>
        <v>13395.720000000001</v>
      </c>
      <c r="Q209" s="19">
        <v>2562.84</v>
      </c>
      <c r="R209" s="20">
        <f t="shared" si="34"/>
        <v>2183.5396799999999</v>
      </c>
      <c r="S209" s="11">
        <v>0.14799999999999999</v>
      </c>
      <c r="T209" s="22">
        <f>IF('Dashboard Visualization'!$U$1="",$S209,IF(S209&gt;'Dashboard Visualization'!$U$1,'Dashboard Visualization'!$U$1,S209))</f>
        <v>0.14799999999999999</v>
      </c>
      <c r="U209" s="20">
        <f t="shared" si="35"/>
        <v>24184.885495679995</v>
      </c>
      <c r="V209" s="20">
        <f t="shared" si="36"/>
        <v>10789.165495679994</v>
      </c>
      <c r="W209" s="22">
        <f t="shared" si="32"/>
        <v>0.44611191140876805</v>
      </c>
      <c r="X209" s="28" t="str">
        <f>TEXT(B209,"MMM-YYYY")</f>
        <v>Jan-2025</v>
      </c>
      <c r="Y209" s="7" t="str">
        <f t="shared" si="37"/>
        <v>Q1-2025</v>
      </c>
      <c r="Z209" s="7" t="str">
        <f t="shared" si="38"/>
        <v>Medium Price</v>
      </c>
      <c r="AA209" s="7" t="str">
        <f t="shared" si="39"/>
        <v>Q1</v>
      </c>
      <c r="AB209" s="28" t="str">
        <f t="shared" si="40"/>
        <v>Jan</v>
      </c>
      <c r="AC209" s="28" t="str">
        <f t="shared" si="41"/>
        <v>2025</v>
      </c>
    </row>
    <row r="210" spans="1:29" x14ac:dyDescent="0.25">
      <c r="A210" s="4" t="s">
        <v>222</v>
      </c>
      <c r="B210" s="14">
        <v>45545</v>
      </c>
      <c r="C210" s="14">
        <v>45572</v>
      </c>
      <c r="D210" s="16">
        <f t="shared" si="33"/>
        <v>27</v>
      </c>
      <c r="E210" s="4" t="s">
        <v>646</v>
      </c>
      <c r="F210" s="4" t="s">
        <v>650</v>
      </c>
      <c r="G210" s="4" t="s">
        <v>662</v>
      </c>
      <c r="H210" s="4" t="s">
        <v>704</v>
      </c>
      <c r="I210" s="4" t="s">
        <v>707</v>
      </c>
      <c r="J210" s="4" t="s">
        <v>716</v>
      </c>
      <c r="K210" s="4" t="s">
        <v>728</v>
      </c>
      <c r="L210" s="4" t="s">
        <v>942</v>
      </c>
      <c r="M210" s="9">
        <v>11</v>
      </c>
      <c r="N210" s="16">
        <f>ROUND(IF('Dashboard Visualization'!$U$3="",'Working Data'!$M210,'Working Data'!$M210*(100% +'Dashboard Visualization'!$U$3)),0)</f>
        <v>11</v>
      </c>
      <c r="O210" s="19">
        <v>1248.3900000000001</v>
      </c>
      <c r="P210" s="20">
        <f>IF('Dashboard Visualization'!$U$2="",'Working Data'!$O210*'Working Data'!$N210,'Working Data'!$O210*'Working Data'!$N210*(100%+'Dashboard Visualization'!$U$2))</f>
        <v>13732.29</v>
      </c>
      <c r="Q210" s="19">
        <v>1805.11</v>
      </c>
      <c r="R210" s="20">
        <f t="shared" si="34"/>
        <v>1438.6726699999997</v>
      </c>
      <c r="S210" s="11">
        <v>0.20300000000000001</v>
      </c>
      <c r="T210" s="22">
        <f>IF('Dashboard Visualization'!$U$1="",$S210,IF(S210&gt;'Dashboard Visualization'!$U$1,'Dashboard Visualization'!$U$1,S210))</f>
        <v>0.20300000000000001</v>
      </c>
      <c r="U210" s="20">
        <f t="shared" si="35"/>
        <v>12612.843297889996</v>
      </c>
      <c r="V210" s="20">
        <f t="shared" si="36"/>
        <v>-1119.4467021100045</v>
      </c>
      <c r="W210" s="22">
        <f t="shared" si="32"/>
        <v>0</v>
      </c>
      <c r="X210" s="28" t="str">
        <f>TEXT(B210,"MMM-YYYY")</f>
        <v>Sep-2024</v>
      </c>
      <c r="Y210" s="7" t="str">
        <f t="shared" si="37"/>
        <v>Q3-2024</v>
      </c>
      <c r="Z210" s="7" t="str">
        <f t="shared" si="38"/>
        <v>High Price</v>
      </c>
      <c r="AA210" s="7" t="str">
        <f t="shared" si="39"/>
        <v>Q3</v>
      </c>
      <c r="AB210" s="28" t="str">
        <f t="shared" si="40"/>
        <v>Sep</v>
      </c>
      <c r="AC210" s="28" t="str">
        <f t="shared" si="41"/>
        <v>2024</v>
      </c>
    </row>
    <row r="211" spans="1:29" x14ac:dyDescent="0.25">
      <c r="A211" s="4" t="s">
        <v>223</v>
      </c>
      <c r="B211" s="14">
        <v>45859</v>
      </c>
      <c r="C211" s="14">
        <v>45876</v>
      </c>
      <c r="D211" s="16">
        <f t="shared" si="33"/>
        <v>17</v>
      </c>
      <c r="E211" s="4" t="s">
        <v>646</v>
      </c>
      <c r="F211" s="4" t="s">
        <v>651</v>
      </c>
      <c r="G211" s="4" t="s">
        <v>665</v>
      </c>
      <c r="H211" s="4" t="s">
        <v>706</v>
      </c>
      <c r="I211" s="4" t="s">
        <v>711</v>
      </c>
      <c r="J211" s="4" t="s">
        <v>724</v>
      </c>
      <c r="K211" s="4" t="s">
        <v>733</v>
      </c>
      <c r="L211" s="4" t="s">
        <v>943</v>
      </c>
      <c r="M211" s="9">
        <v>10</v>
      </c>
      <c r="N211" s="16">
        <f>ROUND(IF('Dashboard Visualization'!$U$3="",'Working Data'!$M211,'Working Data'!$M211*(100% +'Dashboard Visualization'!$U$3)),0)</f>
        <v>10</v>
      </c>
      <c r="O211" s="19">
        <v>1204.95</v>
      </c>
      <c r="P211" s="20">
        <f>IF('Dashboard Visualization'!$U$2="",'Working Data'!$O211*'Working Data'!$N211,'Working Data'!$O211*'Working Data'!$N211*(100%+'Dashboard Visualization'!$U$2))</f>
        <v>12049.5</v>
      </c>
      <c r="Q211" s="19">
        <v>2065.73</v>
      </c>
      <c r="R211" s="20">
        <f t="shared" si="34"/>
        <v>1784.79072</v>
      </c>
      <c r="S211" s="11">
        <v>0.13600000000000001</v>
      </c>
      <c r="T211" s="22">
        <f>IF('Dashboard Visualization'!$U$1="",$S211,IF(S211&gt;'Dashboard Visualization'!$U$1,'Dashboard Visualization'!$U$1,S211))</f>
        <v>0.13600000000000001</v>
      </c>
      <c r="U211" s="20">
        <f t="shared" si="35"/>
        <v>15420.5918208</v>
      </c>
      <c r="V211" s="20">
        <f t="shared" si="36"/>
        <v>3371.0918208000003</v>
      </c>
      <c r="W211" s="22">
        <f t="shared" si="32"/>
        <v>0.21860975635532465</v>
      </c>
      <c r="X211" s="28" t="str">
        <f>TEXT(B211,"MMM-YYYY")</f>
        <v>Jul-2025</v>
      </c>
      <c r="Y211" s="7" t="str">
        <f t="shared" si="37"/>
        <v>Q3-2025</v>
      </c>
      <c r="Z211" s="7" t="str">
        <f t="shared" si="38"/>
        <v>Medium Price</v>
      </c>
      <c r="AA211" s="7" t="str">
        <f t="shared" si="39"/>
        <v>Q3</v>
      </c>
      <c r="AB211" s="28" t="str">
        <f t="shared" si="40"/>
        <v>Jul</v>
      </c>
      <c r="AC211" s="28" t="str">
        <f t="shared" si="41"/>
        <v>2025</v>
      </c>
    </row>
    <row r="212" spans="1:29" x14ac:dyDescent="0.25">
      <c r="A212" s="4" t="s">
        <v>224</v>
      </c>
      <c r="B212" s="14">
        <v>45567</v>
      </c>
      <c r="C212" s="14">
        <v>45588</v>
      </c>
      <c r="D212" s="16">
        <f t="shared" si="33"/>
        <v>21</v>
      </c>
      <c r="E212" s="4" t="s">
        <v>646</v>
      </c>
      <c r="F212" s="4" t="s">
        <v>661</v>
      </c>
      <c r="G212" s="4" t="s">
        <v>687</v>
      </c>
      <c r="H212" s="4" t="s">
        <v>701</v>
      </c>
      <c r="I212" s="4" t="s">
        <v>709</v>
      </c>
      <c r="J212" s="4" t="s">
        <v>720</v>
      </c>
      <c r="K212" s="4" t="s">
        <v>727</v>
      </c>
      <c r="L212" s="4" t="s">
        <v>944</v>
      </c>
      <c r="M212" s="9">
        <v>9</v>
      </c>
      <c r="N212" s="16">
        <f>ROUND(IF('Dashboard Visualization'!$U$3="",'Working Data'!$M212,'Working Data'!$M212*(100% +'Dashboard Visualization'!$U$3)),0)</f>
        <v>9</v>
      </c>
      <c r="O212" s="19">
        <v>1095.6099999999999</v>
      </c>
      <c r="P212" s="20">
        <f>IF('Dashboard Visualization'!$U$2="",'Working Data'!$O212*'Working Data'!$N212,'Working Data'!$O212*'Working Data'!$N212*(100%+'Dashboard Visualization'!$U$2))</f>
        <v>9860.49</v>
      </c>
      <c r="Q212" s="19">
        <v>2366.5100000000002</v>
      </c>
      <c r="R212" s="20">
        <f t="shared" si="34"/>
        <v>2006.8004800000001</v>
      </c>
      <c r="S212" s="11">
        <v>0.152</v>
      </c>
      <c r="T212" s="22">
        <f>IF('Dashboard Visualization'!$U$1="",$S212,IF(S212&gt;'Dashboard Visualization'!$U$1,'Dashboard Visualization'!$U$1,S212))</f>
        <v>0.152</v>
      </c>
      <c r="U212" s="20">
        <f t="shared" si="35"/>
        <v>15315.90126336</v>
      </c>
      <c r="V212" s="20">
        <f t="shared" si="36"/>
        <v>5455.4112633599998</v>
      </c>
      <c r="W212" s="22">
        <f t="shared" si="32"/>
        <v>0.35619263728285439</v>
      </c>
      <c r="X212" s="28" t="str">
        <f>TEXT(B212,"MMM-YYYY")</f>
        <v>Oct-2024</v>
      </c>
      <c r="Y212" s="7" t="str">
        <f t="shared" si="37"/>
        <v>Q4-2024</v>
      </c>
      <c r="Z212" s="7" t="str">
        <f t="shared" si="38"/>
        <v>Medium Price</v>
      </c>
      <c r="AA212" s="7" t="str">
        <f t="shared" si="39"/>
        <v>Q4</v>
      </c>
      <c r="AB212" s="28" t="str">
        <f t="shared" si="40"/>
        <v>Oct</v>
      </c>
      <c r="AC212" s="28" t="str">
        <f t="shared" si="41"/>
        <v>2024</v>
      </c>
    </row>
    <row r="213" spans="1:29" x14ac:dyDescent="0.25">
      <c r="A213" s="4" t="s">
        <v>225</v>
      </c>
      <c r="B213" s="14">
        <v>45852</v>
      </c>
      <c r="C213" s="14">
        <v>45873</v>
      </c>
      <c r="D213" s="16">
        <f t="shared" si="33"/>
        <v>21</v>
      </c>
      <c r="E213" s="4" t="s">
        <v>648</v>
      </c>
      <c r="F213" s="4" t="s">
        <v>653</v>
      </c>
      <c r="G213" s="4" t="s">
        <v>681</v>
      </c>
      <c r="H213" s="4" t="s">
        <v>704</v>
      </c>
      <c r="I213" s="4" t="s">
        <v>708</v>
      </c>
      <c r="J213" s="4" t="s">
        <v>722</v>
      </c>
      <c r="K213" s="4" t="s">
        <v>732</v>
      </c>
      <c r="L213" s="4" t="s">
        <v>945</v>
      </c>
      <c r="M213" s="9">
        <v>15</v>
      </c>
      <c r="N213" s="16">
        <f>ROUND(IF('Dashboard Visualization'!$U$3="",'Working Data'!$M213,'Working Data'!$M213*(100% +'Dashboard Visualization'!$U$3)),0)</f>
        <v>15</v>
      </c>
      <c r="O213" s="19">
        <v>90.3</v>
      </c>
      <c r="P213" s="20">
        <f>IF('Dashboard Visualization'!$U$2="",'Working Data'!$O213*'Working Data'!$N213,'Working Data'!$O213*'Working Data'!$N213*(100%+'Dashboard Visualization'!$U$2))</f>
        <v>1354.5</v>
      </c>
      <c r="Q213" s="19">
        <v>131.76</v>
      </c>
      <c r="R213" s="20">
        <f t="shared" si="34"/>
        <v>118.32047999999999</v>
      </c>
      <c r="S213" s="11">
        <v>0.10199999999999999</v>
      </c>
      <c r="T213" s="22">
        <f>IF('Dashboard Visualization'!$U$1="",$S213,IF(S213&gt;'Dashboard Visualization'!$U$1,'Dashboard Visualization'!$U$1,S213))</f>
        <v>0.10199999999999999</v>
      </c>
      <c r="U213" s="20">
        <f t="shared" si="35"/>
        <v>1593.7768655999998</v>
      </c>
      <c r="V213" s="20">
        <f t="shared" si="36"/>
        <v>239.27686559999984</v>
      </c>
      <c r="W213" s="22">
        <f t="shared" si="32"/>
        <v>0.15013197315417218</v>
      </c>
      <c r="X213" s="28" t="str">
        <f>TEXT(B213,"MMM-YYYY")</f>
        <v>Jul-2025</v>
      </c>
      <c r="Y213" s="7" t="str">
        <f t="shared" si="37"/>
        <v>Q3-2025</v>
      </c>
      <c r="Z213" s="7" t="str">
        <f t="shared" si="38"/>
        <v>Low Price</v>
      </c>
      <c r="AA213" s="7" t="str">
        <f t="shared" si="39"/>
        <v>Q3</v>
      </c>
      <c r="AB213" s="28" t="str">
        <f t="shared" si="40"/>
        <v>Jul</v>
      </c>
      <c r="AC213" s="28" t="str">
        <f t="shared" si="41"/>
        <v>2025</v>
      </c>
    </row>
    <row r="214" spans="1:29" x14ac:dyDescent="0.25">
      <c r="A214" s="4" t="s">
        <v>226</v>
      </c>
      <c r="B214" s="14">
        <v>45544</v>
      </c>
      <c r="C214" s="14">
        <v>45566</v>
      </c>
      <c r="D214" s="16">
        <f t="shared" si="33"/>
        <v>22</v>
      </c>
      <c r="E214" s="4" t="s">
        <v>647</v>
      </c>
      <c r="F214" s="4" t="s">
        <v>659</v>
      </c>
      <c r="G214" s="4" t="s">
        <v>676</v>
      </c>
      <c r="H214" s="4" t="s">
        <v>704</v>
      </c>
      <c r="I214" s="4" t="s">
        <v>711</v>
      </c>
      <c r="J214" s="4" t="s">
        <v>716</v>
      </c>
      <c r="K214" s="4" t="s">
        <v>728</v>
      </c>
      <c r="L214" s="4" t="s">
        <v>946</v>
      </c>
      <c r="M214" s="9">
        <v>6</v>
      </c>
      <c r="N214" s="16">
        <f>ROUND(IF('Dashboard Visualization'!$U$3="",'Working Data'!$M214,'Working Data'!$M214*(100% +'Dashboard Visualization'!$U$3)),0)</f>
        <v>6</v>
      </c>
      <c r="O214" s="19">
        <v>1166.18</v>
      </c>
      <c r="P214" s="20">
        <f>IF('Dashboard Visualization'!$U$2="",'Working Data'!$O214*'Working Data'!$N214,'Working Data'!$O214*'Working Data'!$N214*(100%+'Dashboard Visualization'!$U$2))</f>
        <v>6997.08</v>
      </c>
      <c r="Q214" s="19">
        <v>1335.02</v>
      </c>
      <c r="R214" s="20">
        <f t="shared" si="34"/>
        <v>1164.13744</v>
      </c>
      <c r="S214" s="11">
        <v>0.128</v>
      </c>
      <c r="T214" s="22">
        <f>IF('Dashboard Visualization'!$U$1="",$S214,IF(S214&gt;'Dashboard Visualization'!$U$1,'Dashboard Visualization'!$U$1,S214))</f>
        <v>0.128</v>
      </c>
      <c r="U214" s="20">
        <f t="shared" si="35"/>
        <v>6090.7670860799999</v>
      </c>
      <c r="V214" s="20">
        <f t="shared" si="36"/>
        <v>-906.31291392000003</v>
      </c>
      <c r="W214" s="22">
        <f t="shared" si="32"/>
        <v>0</v>
      </c>
      <c r="X214" s="28" t="str">
        <f>TEXT(B214,"MMM-YYYY")</f>
        <v>Sep-2024</v>
      </c>
      <c r="Y214" s="7" t="str">
        <f t="shared" si="37"/>
        <v>Q3-2024</v>
      </c>
      <c r="Z214" s="7" t="str">
        <f t="shared" si="38"/>
        <v>High Price</v>
      </c>
      <c r="AA214" s="7" t="str">
        <f t="shared" si="39"/>
        <v>Q3</v>
      </c>
      <c r="AB214" s="28" t="str">
        <f t="shared" si="40"/>
        <v>Sep</v>
      </c>
      <c r="AC214" s="28" t="str">
        <f t="shared" si="41"/>
        <v>2024</v>
      </c>
    </row>
    <row r="215" spans="1:29" x14ac:dyDescent="0.25">
      <c r="A215" s="4" t="s">
        <v>227</v>
      </c>
      <c r="B215" s="14">
        <v>45686</v>
      </c>
      <c r="C215" s="14">
        <v>45694</v>
      </c>
      <c r="D215" s="16">
        <f t="shared" si="33"/>
        <v>8</v>
      </c>
      <c r="E215" s="4" t="s">
        <v>646</v>
      </c>
      <c r="F215" s="4" t="s">
        <v>650</v>
      </c>
      <c r="G215" s="4" t="s">
        <v>662</v>
      </c>
      <c r="H215" s="4" t="s">
        <v>702</v>
      </c>
      <c r="I215" s="4" t="s">
        <v>707</v>
      </c>
      <c r="J215" s="4" t="s">
        <v>717</v>
      </c>
      <c r="K215" s="4" t="s">
        <v>730</v>
      </c>
      <c r="L215" s="4" t="s">
        <v>947</v>
      </c>
      <c r="M215" s="9">
        <v>9</v>
      </c>
      <c r="N215" s="16">
        <f>ROUND(IF('Dashboard Visualization'!$U$3="",'Working Data'!$M215,'Working Data'!$M215*(100% +'Dashboard Visualization'!$U$3)),0)</f>
        <v>9</v>
      </c>
      <c r="O215" s="19">
        <v>1445.27</v>
      </c>
      <c r="P215" s="20">
        <f>IF('Dashboard Visualization'!$U$2="",'Working Data'!$O215*'Working Data'!$N215,'Working Data'!$O215*'Working Data'!$N215*(100%+'Dashboard Visualization'!$U$2))</f>
        <v>13007.43</v>
      </c>
      <c r="Q215" s="19">
        <v>2691.45</v>
      </c>
      <c r="R215" s="20">
        <f t="shared" si="34"/>
        <v>2691.45</v>
      </c>
      <c r="S215" s="11">
        <v>0</v>
      </c>
      <c r="T215" s="22">
        <f>IF('Dashboard Visualization'!$U$1="",$S215,IF(S215&gt;'Dashboard Visualization'!$U$1,'Dashboard Visualization'!$U$1,S215))</f>
        <v>0</v>
      </c>
      <c r="U215" s="20">
        <f t="shared" si="35"/>
        <v>24223.05</v>
      </c>
      <c r="V215" s="20">
        <f t="shared" si="36"/>
        <v>11215.619999999999</v>
      </c>
      <c r="W215" s="22">
        <f t="shared" si="32"/>
        <v>0.46301436028906351</v>
      </c>
      <c r="X215" s="28" t="str">
        <f>TEXT(B215,"MMM-YYYY")</f>
        <v>Jan-2025</v>
      </c>
      <c r="Y215" s="7" t="str">
        <f t="shared" si="37"/>
        <v>Q1-2025</v>
      </c>
      <c r="Z215" s="7" t="str">
        <f t="shared" si="38"/>
        <v>Medium Price</v>
      </c>
      <c r="AA215" s="7" t="str">
        <f t="shared" si="39"/>
        <v>Q1</v>
      </c>
      <c r="AB215" s="28" t="str">
        <f t="shared" si="40"/>
        <v>Jan</v>
      </c>
      <c r="AC215" s="28" t="str">
        <f t="shared" si="41"/>
        <v>2025</v>
      </c>
    </row>
    <row r="216" spans="1:29" x14ac:dyDescent="0.25">
      <c r="A216" s="4" t="s">
        <v>228</v>
      </c>
      <c r="B216" s="14">
        <v>45240</v>
      </c>
      <c r="C216" s="14">
        <v>45258</v>
      </c>
      <c r="D216" s="16">
        <f t="shared" si="33"/>
        <v>18</v>
      </c>
      <c r="E216" s="4" t="s">
        <v>648</v>
      </c>
      <c r="F216" s="4" t="s">
        <v>655</v>
      </c>
      <c r="G216" s="4" t="s">
        <v>672</v>
      </c>
      <c r="H216" s="4" t="s">
        <v>702</v>
      </c>
      <c r="I216" s="4" t="s">
        <v>709</v>
      </c>
      <c r="J216" s="4" t="s">
        <v>716</v>
      </c>
      <c r="K216" s="4" t="s">
        <v>733</v>
      </c>
      <c r="L216" s="4" t="s">
        <v>948</v>
      </c>
      <c r="M216" s="9">
        <v>12</v>
      </c>
      <c r="N216" s="16">
        <f>ROUND(IF('Dashboard Visualization'!$U$3="",'Working Data'!$M216,'Working Data'!$M216*(100% +'Dashboard Visualization'!$U$3)),0)</f>
        <v>12</v>
      </c>
      <c r="O216" s="19">
        <v>388.51</v>
      </c>
      <c r="P216" s="20">
        <f>IF('Dashboard Visualization'!$U$2="",'Working Data'!$O216*'Working Data'!$N216,'Working Data'!$O216*'Working Data'!$N216*(100%+'Dashboard Visualization'!$U$2))</f>
        <v>4662.12</v>
      </c>
      <c r="Q216" s="19">
        <v>776.46</v>
      </c>
      <c r="R216" s="20">
        <f t="shared" si="34"/>
        <v>654.55578000000003</v>
      </c>
      <c r="S216" s="11">
        <v>0.157</v>
      </c>
      <c r="T216" s="22">
        <f>IF('Dashboard Visualization'!$U$1="",$S216,IF(S216&gt;'Dashboard Visualization'!$U$1,'Dashboard Visualization'!$U$1,S216))</f>
        <v>0.157</v>
      </c>
      <c r="U216" s="20">
        <f t="shared" si="35"/>
        <v>6621.4862704799998</v>
      </c>
      <c r="V216" s="20">
        <f t="shared" si="36"/>
        <v>1959.3662704799999</v>
      </c>
      <c r="W216" s="22">
        <f t="shared" si="32"/>
        <v>0.29591034254881315</v>
      </c>
      <c r="X216" s="28" t="str">
        <f>TEXT(B216,"MMM-YYYY")</f>
        <v>Nov-2023</v>
      </c>
      <c r="Y216" s="7" t="str">
        <f t="shared" si="37"/>
        <v>Q4-2023</v>
      </c>
      <c r="Z216" s="7" t="str">
        <f t="shared" si="38"/>
        <v>High Price</v>
      </c>
      <c r="AA216" s="7" t="str">
        <f t="shared" si="39"/>
        <v>Q4</v>
      </c>
      <c r="AB216" s="28" t="str">
        <f t="shared" si="40"/>
        <v>Nov</v>
      </c>
      <c r="AC216" s="28" t="str">
        <f t="shared" si="41"/>
        <v>2023</v>
      </c>
    </row>
    <row r="217" spans="1:29" x14ac:dyDescent="0.25">
      <c r="A217" s="4" t="s">
        <v>229</v>
      </c>
      <c r="B217" s="14">
        <v>45351</v>
      </c>
      <c r="C217" s="14">
        <v>45381</v>
      </c>
      <c r="D217" s="16">
        <f t="shared" si="33"/>
        <v>30</v>
      </c>
      <c r="E217" s="4" t="s">
        <v>647</v>
      </c>
      <c r="F217" s="4" t="s">
        <v>652</v>
      </c>
      <c r="G217" s="4" t="s">
        <v>694</v>
      </c>
      <c r="H217" s="4" t="s">
        <v>705</v>
      </c>
      <c r="I217" s="4" t="s">
        <v>711</v>
      </c>
      <c r="J217" s="4" t="s">
        <v>714</v>
      </c>
      <c r="K217" s="4" t="s">
        <v>729</v>
      </c>
      <c r="L217" s="4" t="s">
        <v>949</v>
      </c>
      <c r="M217" s="9">
        <v>60</v>
      </c>
      <c r="N217" s="16">
        <f>ROUND(IF('Dashboard Visualization'!$U$3="",'Working Data'!$M217,'Working Data'!$M217*(100% +'Dashboard Visualization'!$U$3)),0)</f>
        <v>60</v>
      </c>
      <c r="O217" s="19">
        <v>231.11</v>
      </c>
      <c r="P217" s="20">
        <f>IF('Dashboard Visualization'!$U$2="",'Working Data'!$O217*'Working Data'!$N217,'Working Data'!$O217*'Working Data'!$N217*(100%+'Dashboard Visualization'!$U$2))</f>
        <v>13866.6</v>
      </c>
      <c r="Q217" s="19">
        <v>318.17</v>
      </c>
      <c r="R217" s="20">
        <f t="shared" si="34"/>
        <v>254.21782999999999</v>
      </c>
      <c r="S217" s="11">
        <v>0.20100000000000001</v>
      </c>
      <c r="T217" s="22">
        <f>IF('Dashboard Visualization'!$U$1="",$S217,IF(S217&gt;'Dashboard Visualization'!$U$1,'Dashboard Visualization'!$U$1,S217))</f>
        <v>0.20100000000000001</v>
      </c>
      <c r="U217" s="20">
        <f t="shared" si="35"/>
        <v>12187.202770199998</v>
      </c>
      <c r="V217" s="20">
        <f t="shared" si="36"/>
        <v>-1679.3972298000026</v>
      </c>
      <c r="W217" s="22">
        <f t="shared" si="32"/>
        <v>0</v>
      </c>
      <c r="X217" s="28" t="str">
        <f>TEXT(B217,"MMM-YYYY")</f>
        <v>Feb-2024</v>
      </c>
      <c r="Y217" s="7" t="str">
        <f t="shared" si="37"/>
        <v>Q1-2024</v>
      </c>
      <c r="Z217" s="7" t="str">
        <f t="shared" si="38"/>
        <v>Low Price</v>
      </c>
      <c r="AA217" s="7" t="str">
        <f t="shared" si="39"/>
        <v>Q1</v>
      </c>
      <c r="AB217" s="28" t="str">
        <f t="shared" si="40"/>
        <v>Feb</v>
      </c>
      <c r="AC217" s="28" t="str">
        <f t="shared" si="41"/>
        <v>2024</v>
      </c>
    </row>
    <row r="218" spans="1:29" x14ac:dyDescent="0.25">
      <c r="A218" s="4" t="s">
        <v>230</v>
      </c>
      <c r="B218" s="14">
        <v>45280</v>
      </c>
      <c r="C218" s="14">
        <v>45305</v>
      </c>
      <c r="D218" s="16">
        <f t="shared" si="33"/>
        <v>25</v>
      </c>
      <c r="E218" s="4" t="s">
        <v>647</v>
      </c>
      <c r="F218" s="4" t="s">
        <v>654</v>
      </c>
      <c r="G218" s="4" t="s">
        <v>691</v>
      </c>
      <c r="H218" s="4" t="s">
        <v>703</v>
      </c>
      <c r="I218" s="4" t="s">
        <v>709</v>
      </c>
      <c r="J218" s="4" t="s">
        <v>716</v>
      </c>
      <c r="K218" s="4" t="s">
        <v>732</v>
      </c>
      <c r="L218" s="4" t="s">
        <v>950</v>
      </c>
      <c r="M218" s="9">
        <v>7</v>
      </c>
      <c r="N218" s="16">
        <f>ROUND(IF('Dashboard Visualization'!$U$3="",'Working Data'!$M218,'Working Data'!$M218*(100% +'Dashboard Visualization'!$U$3)),0)</f>
        <v>7</v>
      </c>
      <c r="O218" s="19">
        <v>1085.6099999999999</v>
      </c>
      <c r="P218" s="20">
        <f>IF('Dashboard Visualization'!$U$2="",'Working Data'!$O218*'Working Data'!$N218,'Working Data'!$O218*'Working Data'!$N218*(100%+'Dashboard Visualization'!$U$2))</f>
        <v>7599.2699999999995</v>
      </c>
      <c r="Q218" s="19">
        <v>1246.4100000000001</v>
      </c>
      <c r="R218" s="20">
        <f t="shared" si="34"/>
        <v>1105.5656700000002</v>
      </c>
      <c r="S218" s="11">
        <v>0.113</v>
      </c>
      <c r="T218" s="22">
        <f>IF('Dashboard Visualization'!$U$1="",$S218,IF(S218&gt;'Dashboard Visualization'!$U$1,'Dashboard Visualization'!$U$1,S218))</f>
        <v>0.113</v>
      </c>
      <c r="U218" s="20">
        <f t="shared" si="35"/>
        <v>6864.4572450300011</v>
      </c>
      <c r="V218" s="20">
        <f t="shared" si="36"/>
        <v>-734.81275496999842</v>
      </c>
      <c r="W218" s="22">
        <f t="shared" si="32"/>
        <v>0</v>
      </c>
      <c r="X218" s="28" t="str">
        <f>TEXT(B218,"MMM-YYYY")</f>
        <v>Dec-2023</v>
      </c>
      <c r="Y218" s="7" t="str">
        <f t="shared" si="37"/>
        <v>Q4-2023</v>
      </c>
      <c r="Z218" s="7" t="str">
        <f t="shared" si="38"/>
        <v>High Price</v>
      </c>
      <c r="AA218" s="7" t="str">
        <f t="shared" si="39"/>
        <v>Q4</v>
      </c>
      <c r="AB218" s="28" t="str">
        <f t="shared" si="40"/>
        <v>Dec</v>
      </c>
      <c r="AC218" s="28" t="str">
        <f t="shared" si="41"/>
        <v>2023</v>
      </c>
    </row>
    <row r="219" spans="1:29" x14ac:dyDescent="0.25">
      <c r="A219" s="4" t="s">
        <v>231</v>
      </c>
      <c r="B219" s="14">
        <v>44948</v>
      </c>
      <c r="C219" s="14">
        <v>44947</v>
      </c>
      <c r="D219" s="16" t="str">
        <f t="shared" si="33"/>
        <v/>
      </c>
      <c r="E219" s="4" t="s">
        <v>649</v>
      </c>
      <c r="F219" s="4" t="s">
        <v>656</v>
      </c>
      <c r="G219" s="4" t="s">
        <v>684</v>
      </c>
      <c r="H219" s="4" t="s">
        <v>701</v>
      </c>
      <c r="I219" s="4" t="s">
        <v>711</v>
      </c>
      <c r="J219" s="4" t="s">
        <v>721</v>
      </c>
      <c r="K219" s="4" t="s">
        <v>732</v>
      </c>
      <c r="L219" s="4" t="s">
        <v>951</v>
      </c>
      <c r="M219" s="9">
        <v>8</v>
      </c>
      <c r="N219" s="16">
        <f>ROUND(IF('Dashboard Visualization'!$U$3="",'Working Data'!$M219,'Working Data'!$M219*(100% +'Dashboard Visualization'!$U$3)),0)</f>
        <v>8</v>
      </c>
      <c r="O219" s="19">
        <v>150.86000000000001</v>
      </c>
      <c r="P219" s="20">
        <f>IF('Dashboard Visualization'!$U$2="",'Working Data'!$O219*'Working Data'!$N219,'Working Data'!$O219*'Working Data'!$N219*(100%+'Dashboard Visualization'!$U$2))</f>
        <v>1206.8800000000001</v>
      </c>
      <c r="Q219" s="19">
        <v>346.96</v>
      </c>
      <c r="R219" s="20">
        <f t="shared" si="34"/>
        <v>278.95584000000002</v>
      </c>
      <c r="S219" s="11">
        <v>0.19600000000000001</v>
      </c>
      <c r="T219" s="22">
        <f>IF('Dashboard Visualization'!$U$1="",$S219,IF(S219&gt;'Dashboard Visualization'!$U$1,'Dashboard Visualization'!$U$1,S219))</f>
        <v>0.19600000000000001</v>
      </c>
      <c r="U219" s="20">
        <f t="shared" si="35"/>
        <v>1794.2439628800003</v>
      </c>
      <c r="V219" s="20">
        <f t="shared" si="36"/>
        <v>587.36396288000014</v>
      </c>
      <c r="W219" s="22">
        <f t="shared" si="32"/>
        <v>0.3273601444572804</v>
      </c>
      <c r="X219" s="28" t="str">
        <f>TEXT(B219,"MMM-YYYY")</f>
        <v>Jan-2023</v>
      </c>
      <c r="Y219" s="7" t="str">
        <f t="shared" si="37"/>
        <v>Q1-2023</v>
      </c>
      <c r="Z219" s="7" t="str">
        <f t="shared" si="38"/>
        <v>Low Price</v>
      </c>
      <c r="AA219" s="7" t="str">
        <f t="shared" si="39"/>
        <v>Q1</v>
      </c>
      <c r="AB219" s="28" t="str">
        <f t="shared" si="40"/>
        <v>Jan</v>
      </c>
      <c r="AC219" s="28" t="str">
        <f t="shared" si="41"/>
        <v>2023</v>
      </c>
    </row>
    <row r="220" spans="1:29" x14ac:dyDescent="0.25">
      <c r="A220" s="4" t="s">
        <v>232</v>
      </c>
      <c r="B220" s="14">
        <v>45576</v>
      </c>
      <c r="C220" s="14">
        <v>45605</v>
      </c>
      <c r="D220" s="16">
        <f t="shared" si="33"/>
        <v>29</v>
      </c>
      <c r="E220" s="4" t="s">
        <v>647</v>
      </c>
      <c r="F220" s="4" t="s">
        <v>659</v>
      </c>
      <c r="G220" s="4" t="s">
        <v>685</v>
      </c>
      <c r="H220" s="4" t="s">
        <v>703</v>
      </c>
      <c r="I220" s="4" t="s">
        <v>708</v>
      </c>
      <c r="J220" s="4" t="s">
        <v>721</v>
      </c>
      <c r="K220" s="4" t="s">
        <v>728</v>
      </c>
      <c r="L220" s="4" t="s">
        <v>952</v>
      </c>
      <c r="M220" s="9">
        <v>13</v>
      </c>
      <c r="N220" s="16">
        <f>ROUND(IF('Dashboard Visualization'!$U$3="",'Working Data'!$M220,'Working Data'!$M220*(100% +'Dashboard Visualization'!$U$3)),0)</f>
        <v>13</v>
      </c>
      <c r="O220" s="19">
        <v>391.64</v>
      </c>
      <c r="P220" s="20">
        <f>IF('Dashboard Visualization'!$U$2="",'Working Data'!$O220*'Working Data'!$N220,'Working Data'!$O220*'Working Data'!$N220*(100%+'Dashboard Visualization'!$U$2))</f>
        <v>5091.32</v>
      </c>
      <c r="Q220" s="19">
        <v>504.76</v>
      </c>
      <c r="R220" s="20">
        <f t="shared" si="34"/>
        <v>502.74095999999997</v>
      </c>
      <c r="S220" s="11">
        <v>4.0000000000000001E-3</v>
      </c>
      <c r="T220" s="22">
        <f>IF('Dashboard Visualization'!$U$1="",$S220,IF(S220&gt;'Dashboard Visualization'!$U$1,'Dashboard Visualization'!$U$1,S220))</f>
        <v>4.0000000000000001E-3</v>
      </c>
      <c r="U220" s="20">
        <f t="shared" si="35"/>
        <v>6509.4899500800002</v>
      </c>
      <c r="V220" s="20">
        <f t="shared" si="36"/>
        <v>1418.1699500800005</v>
      </c>
      <c r="W220" s="22">
        <f t="shared" si="32"/>
        <v>0.21786191559640883</v>
      </c>
      <c r="X220" s="28" t="str">
        <f>TEXT(B220,"MMM-YYYY")</f>
        <v>Oct-2024</v>
      </c>
      <c r="Y220" s="7" t="str">
        <f t="shared" si="37"/>
        <v>Q4-2024</v>
      </c>
      <c r="Z220" s="7" t="str">
        <f t="shared" si="38"/>
        <v>Low Price</v>
      </c>
      <c r="AA220" s="7" t="str">
        <f t="shared" si="39"/>
        <v>Q4</v>
      </c>
      <c r="AB220" s="28" t="str">
        <f t="shared" si="40"/>
        <v>Oct</v>
      </c>
      <c r="AC220" s="28" t="str">
        <f t="shared" si="41"/>
        <v>2024</v>
      </c>
    </row>
    <row r="221" spans="1:29" x14ac:dyDescent="0.25">
      <c r="A221" s="4" t="s">
        <v>233</v>
      </c>
      <c r="B221" s="14">
        <v>45554</v>
      </c>
      <c r="C221" s="14">
        <v>45579</v>
      </c>
      <c r="D221" s="16">
        <f t="shared" si="33"/>
        <v>25</v>
      </c>
      <c r="E221" s="4" t="s">
        <v>648</v>
      </c>
      <c r="F221" s="4" t="s">
        <v>655</v>
      </c>
      <c r="G221" s="4" t="s">
        <v>692</v>
      </c>
      <c r="H221" s="4" t="s">
        <v>705</v>
      </c>
      <c r="I221" s="4" t="s">
        <v>707</v>
      </c>
      <c r="J221" s="4" t="s">
        <v>723</v>
      </c>
      <c r="K221" s="4" t="s">
        <v>728</v>
      </c>
      <c r="L221" s="4" t="s">
        <v>953</v>
      </c>
      <c r="M221" s="9">
        <v>41</v>
      </c>
      <c r="N221" s="16">
        <f>ROUND(IF('Dashboard Visualization'!$U$3="",'Working Data'!$M221,'Working Data'!$M221*(100% +'Dashboard Visualization'!$U$3)),0)</f>
        <v>41</v>
      </c>
      <c r="O221" s="19">
        <v>386.96</v>
      </c>
      <c r="P221" s="20">
        <f>IF('Dashboard Visualization'!$U$2="",'Working Data'!$O221*'Working Data'!$N221,'Working Data'!$O221*'Working Data'!$N221*(100%+'Dashboard Visualization'!$U$2))</f>
        <v>15865.359999999999</v>
      </c>
      <c r="Q221" s="19">
        <v>937.46</v>
      </c>
      <c r="R221" s="20">
        <f t="shared" si="34"/>
        <v>688.09564</v>
      </c>
      <c r="S221" s="11">
        <v>0.26600000000000001</v>
      </c>
      <c r="T221" s="22">
        <f>IF('Dashboard Visualization'!$U$1="",$S221,IF(S221&gt;'Dashboard Visualization'!$U$1,'Dashboard Visualization'!$U$1,S221))</f>
        <v>0.26600000000000001</v>
      </c>
      <c r="U221" s="20">
        <f t="shared" si="35"/>
        <v>20707.55019016</v>
      </c>
      <c r="V221" s="20">
        <f t="shared" si="36"/>
        <v>4842.1901901600013</v>
      </c>
      <c r="W221" s="22">
        <f t="shared" si="32"/>
        <v>0.23383694090771573</v>
      </c>
      <c r="X221" s="28" t="str">
        <f>TEXT(B221,"MMM-YYYY")</f>
        <v>Sep-2024</v>
      </c>
      <c r="Y221" s="7" t="str">
        <f t="shared" si="37"/>
        <v>Q3-2024</v>
      </c>
      <c r="Z221" s="7" t="str">
        <f t="shared" si="38"/>
        <v>High Price</v>
      </c>
      <c r="AA221" s="7" t="str">
        <f t="shared" si="39"/>
        <v>Q3</v>
      </c>
      <c r="AB221" s="28" t="str">
        <f t="shared" si="40"/>
        <v>Sep</v>
      </c>
      <c r="AC221" s="28" t="str">
        <f t="shared" si="41"/>
        <v>2024</v>
      </c>
    </row>
    <row r="222" spans="1:29" x14ac:dyDescent="0.25">
      <c r="A222" s="4" t="s">
        <v>234</v>
      </c>
      <c r="B222" s="14">
        <v>45894</v>
      </c>
      <c r="C222" s="14">
        <v>45924</v>
      </c>
      <c r="D222" s="16">
        <f t="shared" si="33"/>
        <v>30</v>
      </c>
      <c r="E222" s="4" t="s">
        <v>646</v>
      </c>
      <c r="F222" s="4" t="s">
        <v>650</v>
      </c>
      <c r="G222" s="4" t="s">
        <v>664</v>
      </c>
      <c r="H222" s="4" t="s">
        <v>704</v>
      </c>
      <c r="I222" s="4" t="s">
        <v>711</v>
      </c>
      <c r="J222" s="4" t="s">
        <v>717</v>
      </c>
      <c r="K222" s="4" t="s">
        <v>727</v>
      </c>
      <c r="L222" s="4" t="s">
        <v>954</v>
      </c>
      <c r="M222" s="9">
        <v>11</v>
      </c>
      <c r="N222" s="16">
        <f>ROUND(IF('Dashboard Visualization'!$U$3="",'Working Data'!$M222,'Working Data'!$M222*(100% +'Dashboard Visualization'!$U$3)),0)</f>
        <v>11</v>
      </c>
      <c r="O222" s="19">
        <v>589.14</v>
      </c>
      <c r="P222" s="20">
        <f>IF('Dashboard Visualization'!$U$2="",'Working Data'!$O222*'Working Data'!$N222,'Working Data'!$O222*'Working Data'!$N222*(100%+'Dashboard Visualization'!$U$2))</f>
        <v>6480.54</v>
      </c>
      <c r="Q222" s="19">
        <v>1300.58</v>
      </c>
      <c r="R222" s="20">
        <f t="shared" si="34"/>
        <v>1229.0481</v>
      </c>
      <c r="S222" s="11">
        <v>5.5E-2</v>
      </c>
      <c r="T222" s="22">
        <f>IF('Dashboard Visualization'!$U$1="",$S222,IF(S222&gt;'Dashboard Visualization'!$U$1,'Dashboard Visualization'!$U$1,S222))</f>
        <v>5.5E-2</v>
      </c>
      <c r="U222" s="20">
        <f t="shared" si="35"/>
        <v>12775.9549995</v>
      </c>
      <c r="V222" s="20">
        <f t="shared" si="36"/>
        <v>6295.4149994999998</v>
      </c>
      <c r="W222" s="22">
        <f t="shared" si="32"/>
        <v>0.49275494471813475</v>
      </c>
      <c r="X222" s="28" t="str">
        <f>TEXT(B222,"MMM-YYYY")</f>
        <v>Aug-2025</v>
      </c>
      <c r="Y222" s="7" t="str">
        <f t="shared" si="37"/>
        <v>Q3-2025</v>
      </c>
      <c r="Z222" s="7" t="str">
        <f t="shared" si="38"/>
        <v>High Price</v>
      </c>
      <c r="AA222" s="7" t="str">
        <f t="shared" si="39"/>
        <v>Q3</v>
      </c>
      <c r="AB222" s="28" t="str">
        <f t="shared" si="40"/>
        <v>Aug</v>
      </c>
      <c r="AC222" s="28" t="str">
        <f t="shared" si="41"/>
        <v>2025</v>
      </c>
    </row>
    <row r="223" spans="1:29" x14ac:dyDescent="0.25">
      <c r="A223" s="4" t="s">
        <v>235</v>
      </c>
      <c r="B223" s="14">
        <v>45194</v>
      </c>
      <c r="C223" s="14">
        <v>45201</v>
      </c>
      <c r="D223" s="16">
        <f t="shared" si="33"/>
        <v>7</v>
      </c>
      <c r="E223" s="4" t="s">
        <v>648</v>
      </c>
      <c r="F223" s="4" t="s">
        <v>660</v>
      </c>
      <c r="G223" s="4" t="s">
        <v>700</v>
      </c>
      <c r="H223" s="4" t="s">
        <v>702</v>
      </c>
      <c r="I223" s="4" t="s">
        <v>709</v>
      </c>
      <c r="J223" s="4" t="s">
        <v>714</v>
      </c>
      <c r="K223" s="4" t="s">
        <v>733</v>
      </c>
      <c r="L223" s="4" t="s">
        <v>955</v>
      </c>
      <c r="M223" s="9">
        <v>5</v>
      </c>
      <c r="N223" s="16">
        <f>ROUND(IF('Dashboard Visualization'!$U$3="",'Working Data'!$M223,'Working Data'!$M223*(100% +'Dashboard Visualization'!$U$3)),0)</f>
        <v>5</v>
      </c>
      <c r="O223" s="19">
        <v>145.58000000000001</v>
      </c>
      <c r="P223" s="20">
        <f>IF('Dashboard Visualization'!$U$2="",'Working Data'!$O223*'Working Data'!$N223,'Working Data'!$O223*'Working Data'!$N223*(100%+'Dashboard Visualization'!$U$2))</f>
        <v>727.90000000000009</v>
      </c>
      <c r="Q223" s="19">
        <v>228.15</v>
      </c>
      <c r="R223" s="20">
        <f t="shared" si="34"/>
        <v>181.60740000000001</v>
      </c>
      <c r="S223" s="11">
        <v>0.20399999999999999</v>
      </c>
      <c r="T223" s="22">
        <f>IF('Dashboard Visualization'!$U$1="",$S223,IF(S223&gt;'Dashboard Visualization'!$U$1,'Dashboard Visualization'!$U$1,S223))</f>
        <v>0.20399999999999999</v>
      </c>
      <c r="U223" s="20">
        <f t="shared" si="35"/>
        <v>722.79745200000002</v>
      </c>
      <c r="V223" s="20">
        <f t="shared" si="36"/>
        <v>-5.1025480000000698</v>
      </c>
      <c r="W223" s="22">
        <f t="shared" si="32"/>
        <v>0</v>
      </c>
      <c r="X223" s="28" t="str">
        <f>TEXT(B223,"MMM-YYYY")</f>
        <v>Sep-2023</v>
      </c>
      <c r="Y223" s="7" t="str">
        <f t="shared" si="37"/>
        <v>Q3-2023</v>
      </c>
      <c r="Z223" s="7" t="str">
        <f t="shared" si="38"/>
        <v>Low Price</v>
      </c>
      <c r="AA223" s="7" t="str">
        <f t="shared" si="39"/>
        <v>Q3</v>
      </c>
      <c r="AB223" s="28" t="str">
        <f t="shared" si="40"/>
        <v>Sep</v>
      </c>
      <c r="AC223" s="28" t="str">
        <f t="shared" si="41"/>
        <v>2023</v>
      </c>
    </row>
    <row r="224" spans="1:29" x14ac:dyDescent="0.25">
      <c r="A224" s="4" t="s">
        <v>236</v>
      </c>
      <c r="B224" s="14">
        <v>45164</v>
      </c>
      <c r="C224" s="14">
        <v>45179</v>
      </c>
      <c r="D224" s="16">
        <f t="shared" si="33"/>
        <v>15</v>
      </c>
      <c r="E224" s="4" t="s">
        <v>646</v>
      </c>
      <c r="F224" s="4" t="s">
        <v>661</v>
      </c>
      <c r="G224" s="4" t="s">
        <v>695</v>
      </c>
      <c r="H224" s="4" t="s">
        <v>703</v>
      </c>
      <c r="I224" s="4" t="s">
        <v>711</v>
      </c>
      <c r="J224" s="4" t="s">
        <v>725</v>
      </c>
      <c r="K224" s="4" t="s">
        <v>727</v>
      </c>
      <c r="L224" s="4" t="s">
        <v>956</v>
      </c>
      <c r="M224" s="9">
        <v>10</v>
      </c>
      <c r="N224" s="16">
        <f>ROUND(IF('Dashboard Visualization'!$U$3="",'Working Data'!$M224,'Working Data'!$M224*(100% +'Dashboard Visualization'!$U$3)),0)</f>
        <v>10</v>
      </c>
      <c r="O224" s="19">
        <v>241.14</v>
      </c>
      <c r="P224" s="20">
        <f>IF('Dashboard Visualization'!$U$2="",'Working Data'!$O224*'Working Data'!$N224,'Working Data'!$O224*'Working Data'!$N224*(100%+'Dashboard Visualization'!$U$2))</f>
        <v>2411.3999999999996</v>
      </c>
      <c r="Q224" s="19">
        <v>496.52</v>
      </c>
      <c r="R224" s="20">
        <f t="shared" si="34"/>
        <v>450.34363999999999</v>
      </c>
      <c r="S224" s="11">
        <v>9.2999999999999999E-2</v>
      </c>
      <c r="T224" s="22">
        <f>IF('Dashboard Visualization'!$U$1="",$S224,IF(S224&gt;'Dashboard Visualization'!$U$1,'Dashboard Visualization'!$U$1,S224))</f>
        <v>9.2999999999999999E-2</v>
      </c>
      <c r="U224" s="20">
        <f t="shared" si="35"/>
        <v>4084.6168147999997</v>
      </c>
      <c r="V224" s="20">
        <f t="shared" si="36"/>
        <v>1673.2168148000001</v>
      </c>
      <c r="W224" s="22">
        <f t="shared" si="32"/>
        <v>0.40963862478785001</v>
      </c>
      <c r="X224" s="28" t="str">
        <f>TEXT(B224,"MMM-YYYY")</f>
        <v>Aug-2023</v>
      </c>
      <c r="Y224" s="7" t="str">
        <f t="shared" si="37"/>
        <v>Q3-2023</v>
      </c>
      <c r="Z224" s="7" t="str">
        <f t="shared" si="38"/>
        <v>Low Price</v>
      </c>
      <c r="AA224" s="7" t="str">
        <f t="shared" si="39"/>
        <v>Q3</v>
      </c>
      <c r="AB224" s="28" t="str">
        <f t="shared" si="40"/>
        <v>Aug</v>
      </c>
      <c r="AC224" s="28" t="str">
        <f t="shared" si="41"/>
        <v>2023</v>
      </c>
    </row>
    <row r="225" spans="1:29" x14ac:dyDescent="0.25">
      <c r="A225" s="4" t="s">
        <v>237</v>
      </c>
      <c r="B225" s="14">
        <v>45854</v>
      </c>
      <c r="C225" s="14">
        <v>45855</v>
      </c>
      <c r="D225" s="16">
        <f t="shared" si="33"/>
        <v>1</v>
      </c>
      <c r="E225" s="4" t="s">
        <v>646</v>
      </c>
      <c r="F225" s="4" t="s">
        <v>661</v>
      </c>
      <c r="G225" s="4" t="s">
        <v>687</v>
      </c>
      <c r="H225" s="4" t="s">
        <v>705</v>
      </c>
      <c r="I225" s="4" t="s">
        <v>710</v>
      </c>
      <c r="J225" s="4" t="s">
        <v>717</v>
      </c>
      <c r="K225" s="4" t="s">
        <v>729</v>
      </c>
      <c r="L225" s="4" t="s">
        <v>957</v>
      </c>
      <c r="M225" s="9">
        <v>24</v>
      </c>
      <c r="N225" s="16">
        <f>ROUND(IF('Dashboard Visualization'!$U$3="",'Working Data'!$M225,'Working Data'!$M225*(100% +'Dashboard Visualization'!$U$3)),0)</f>
        <v>24</v>
      </c>
      <c r="O225" s="19">
        <v>1198.9000000000001</v>
      </c>
      <c r="P225" s="20">
        <f>IF('Dashboard Visualization'!$U$2="",'Working Data'!$O225*'Working Data'!$N225,'Working Data'!$O225*'Working Data'!$N225*(100%+'Dashboard Visualization'!$U$2))</f>
        <v>28773.600000000002</v>
      </c>
      <c r="Q225" s="19">
        <v>2941.2</v>
      </c>
      <c r="R225" s="20">
        <f t="shared" si="34"/>
        <v>2791.1987999999997</v>
      </c>
      <c r="S225" s="11">
        <v>5.0999999999999997E-2</v>
      </c>
      <c r="T225" s="22">
        <f>IF('Dashboard Visualization'!$U$1="",$S225,IF(S225&gt;'Dashboard Visualization'!$U$1,'Dashboard Visualization'!$U$1,S225))</f>
        <v>5.0999999999999997E-2</v>
      </c>
      <c r="U225" s="20">
        <f t="shared" si="35"/>
        <v>63572.343868799988</v>
      </c>
      <c r="V225" s="20">
        <f t="shared" si="36"/>
        <v>34798.743868799982</v>
      </c>
      <c r="W225" s="22">
        <f t="shared" si="32"/>
        <v>0.5473880897111062</v>
      </c>
      <c r="X225" s="28" t="str">
        <f>TEXT(B225,"MMM-YYYY")</f>
        <v>Jul-2025</v>
      </c>
      <c r="Y225" s="7" t="str">
        <f t="shared" si="37"/>
        <v>Q3-2025</v>
      </c>
      <c r="Z225" s="7" t="str">
        <f t="shared" si="38"/>
        <v>Medium Price</v>
      </c>
      <c r="AA225" s="7" t="str">
        <f t="shared" si="39"/>
        <v>Q3</v>
      </c>
      <c r="AB225" s="28" t="str">
        <f t="shared" si="40"/>
        <v>Jul</v>
      </c>
      <c r="AC225" s="28" t="str">
        <f t="shared" si="41"/>
        <v>2025</v>
      </c>
    </row>
    <row r="226" spans="1:29" x14ac:dyDescent="0.25">
      <c r="A226" s="4" t="s">
        <v>238</v>
      </c>
      <c r="B226" s="14">
        <v>45035</v>
      </c>
      <c r="C226" s="14">
        <v>45053</v>
      </c>
      <c r="D226" s="16">
        <f t="shared" si="33"/>
        <v>18</v>
      </c>
      <c r="E226" s="4" t="s">
        <v>649</v>
      </c>
      <c r="F226" s="4" t="s">
        <v>658</v>
      </c>
      <c r="G226" s="4" t="s">
        <v>674</v>
      </c>
      <c r="H226" s="4" t="s">
        <v>706</v>
      </c>
      <c r="I226" s="4" t="s">
        <v>707</v>
      </c>
      <c r="J226" s="4" t="s">
        <v>725</v>
      </c>
      <c r="K226" s="4" t="s">
        <v>731</v>
      </c>
      <c r="L226" s="4" t="s">
        <v>958</v>
      </c>
      <c r="M226" s="9">
        <v>15</v>
      </c>
      <c r="N226" s="16">
        <f>ROUND(IF('Dashboard Visualization'!$U$3="",'Working Data'!$M226,'Working Data'!$M226*(100% +'Dashboard Visualization'!$U$3)),0)</f>
        <v>15</v>
      </c>
      <c r="O226" s="19">
        <v>1089.1500000000001</v>
      </c>
      <c r="P226" s="20">
        <f>IF('Dashboard Visualization'!$U$2="",'Working Data'!$O226*'Working Data'!$N226,'Working Data'!$O226*'Working Data'!$N226*(100%+'Dashboard Visualization'!$U$2))</f>
        <v>16337.250000000002</v>
      </c>
      <c r="Q226" s="19">
        <v>1088.2</v>
      </c>
      <c r="R226" s="20">
        <f t="shared" si="34"/>
        <v>1032.7018</v>
      </c>
      <c r="S226" s="11">
        <v>5.0999999999999997E-2</v>
      </c>
      <c r="T226" s="22">
        <f>IF('Dashboard Visualization'!$U$1="",$S226,IF(S226&gt;'Dashboard Visualization'!$U$1,'Dashboard Visualization'!$U$1,S226))</f>
        <v>5.0999999999999997E-2</v>
      </c>
      <c r="U226" s="20">
        <f t="shared" si="35"/>
        <v>14700.510123</v>
      </c>
      <c r="V226" s="20">
        <f t="shared" si="36"/>
        <v>-1636.7398770000018</v>
      </c>
      <c r="W226" s="22">
        <f t="shared" si="32"/>
        <v>0</v>
      </c>
      <c r="X226" s="28" t="str">
        <f>TEXT(B226,"MMM-YYYY")</f>
        <v>Apr-2023</v>
      </c>
      <c r="Y226" s="7" t="str">
        <f t="shared" si="37"/>
        <v>Q2-2023</v>
      </c>
      <c r="Z226" s="7" t="str">
        <f t="shared" si="38"/>
        <v>High Price</v>
      </c>
      <c r="AA226" s="7" t="str">
        <f t="shared" si="39"/>
        <v>Q2</v>
      </c>
      <c r="AB226" s="28" t="str">
        <f t="shared" si="40"/>
        <v>Apr</v>
      </c>
      <c r="AC226" s="28" t="str">
        <f t="shared" si="41"/>
        <v>2023</v>
      </c>
    </row>
    <row r="227" spans="1:29" x14ac:dyDescent="0.25">
      <c r="A227" s="4" t="s">
        <v>239</v>
      </c>
      <c r="B227" s="14">
        <v>45279</v>
      </c>
      <c r="C227" s="14">
        <v>45280</v>
      </c>
      <c r="D227" s="16">
        <f t="shared" si="33"/>
        <v>1</v>
      </c>
      <c r="E227" s="4" t="s">
        <v>648</v>
      </c>
      <c r="F227" s="4" t="s">
        <v>655</v>
      </c>
      <c r="G227" s="4" t="s">
        <v>692</v>
      </c>
      <c r="H227" s="4" t="s">
        <v>704</v>
      </c>
      <c r="I227" s="4" t="s">
        <v>710</v>
      </c>
      <c r="J227" s="4" t="s">
        <v>713</v>
      </c>
      <c r="K227" s="4" t="s">
        <v>730</v>
      </c>
      <c r="L227" s="4" t="s">
        <v>959</v>
      </c>
      <c r="M227" s="9">
        <v>10</v>
      </c>
      <c r="N227" s="16">
        <f>ROUND(IF('Dashboard Visualization'!$U$3="",'Working Data'!$M227,'Working Data'!$M227*(100% +'Dashboard Visualization'!$U$3)),0)</f>
        <v>10</v>
      </c>
      <c r="O227" s="19">
        <v>1080.43</v>
      </c>
      <c r="P227" s="20">
        <f>IF('Dashboard Visualization'!$U$2="",'Working Data'!$O227*'Working Data'!$N227,'Working Data'!$O227*'Working Data'!$N227*(100%+'Dashboard Visualization'!$U$2))</f>
        <v>10804.300000000001</v>
      </c>
      <c r="Q227" s="19">
        <v>2529.15</v>
      </c>
      <c r="R227" s="20">
        <f t="shared" si="34"/>
        <v>2157.3649500000001</v>
      </c>
      <c r="S227" s="11">
        <v>0.14699999999999999</v>
      </c>
      <c r="T227" s="22">
        <f>IF('Dashboard Visualization'!$U$1="",$S227,IF(S227&gt;'Dashboard Visualization'!$U$1,'Dashboard Visualization'!$U$1,S227))</f>
        <v>0.14699999999999999</v>
      </c>
      <c r="U227" s="20">
        <f t="shared" si="35"/>
        <v>18402.323023500001</v>
      </c>
      <c r="V227" s="20">
        <f t="shared" si="36"/>
        <v>7598.0230234999999</v>
      </c>
      <c r="W227" s="22">
        <f t="shared" si="32"/>
        <v>0.41288390676531589</v>
      </c>
      <c r="X227" s="28" t="str">
        <f>TEXT(B227,"MMM-YYYY")</f>
        <v>Dec-2023</v>
      </c>
      <c r="Y227" s="7" t="str">
        <f t="shared" si="37"/>
        <v>Q4-2023</v>
      </c>
      <c r="Z227" s="7" t="str">
        <f t="shared" si="38"/>
        <v>Medium Price</v>
      </c>
      <c r="AA227" s="7" t="str">
        <f t="shared" si="39"/>
        <v>Q4</v>
      </c>
      <c r="AB227" s="28" t="str">
        <f t="shared" si="40"/>
        <v>Dec</v>
      </c>
      <c r="AC227" s="28" t="str">
        <f t="shared" si="41"/>
        <v>2023</v>
      </c>
    </row>
    <row r="228" spans="1:29" x14ac:dyDescent="0.25">
      <c r="A228" s="4" t="s">
        <v>240</v>
      </c>
      <c r="B228" s="14">
        <v>45137</v>
      </c>
      <c r="C228" s="14">
        <v>45145</v>
      </c>
      <c r="D228" s="16">
        <f t="shared" si="33"/>
        <v>8</v>
      </c>
      <c r="E228" s="4" t="s">
        <v>647</v>
      </c>
      <c r="F228" s="4" t="s">
        <v>652</v>
      </c>
      <c r="G228" s="4" t="s">
        <v>694</v>
      </c>
      <c r="H228" s="4" t="s">
        <v>702</v>
      </c>
      <c r="I228" s="4" t="s">
        <v>709</v>
      </c>
      <c r="J228" s="4" t="s">
        <v>720</v>
      </c>
      <c r="K228" s="4" t="s">
        <v>729</v>
      </c>
      <c r="L228" s="4" t="s">
        <v>960</v>
      </c>
      <c r="M228" s="9">
        <v>13</v>
      </c>
      <c r="N228" s="16">
        <f>ROUND(IF('Dashboard Visualization'!$U$3="",'Working Data'!$M228,'Working Data'!$M228*(100% +'Dashboard Visualization'!$U$3)),0)</f>
        <v>13</v>
      </c>
      <c r="O228" s="19">
        <v>1352.44</v>
      </c>
      <c r="P228" s="20">
        <f>IF('Dashboard Visualization'!$U$2="",'Working Data'!$O228*'Working Data'!$N228,'Working Data'!$O228*'Working Data'!$N228*(100%+'Dashboard Visualization'!$U$2))</f>
        <v>17581.72</v>
      </c>
      <c r="Q228" s="19">
        <v>2698.01</v>
      </c>
      <c r="R228" s="20">
        <f t="shared" si="34"/>
        <v>2344.57069</v>
      </c>
      <c r="S228" s="11">
        <v>0.13100000000000001</v>
      </c>
      <c r="T228" s="22">
        <f>IF('Dashboard Visualization'!$U$1="",$S228,IF(S228&gt;'Dashboard Visualization'!$U$1,'Dashboard Visualization'!$U$1,S228))</f>
        <v>0.13100000000000001</v>
      </c>
      <c r="U228" s="20">
        <f t="shared" si="35"/>
        <v>26486.615084929999</v>
      </c>
      <c r="V228" s="20">
        <f t="shared" si="36"/>
        <v>8904.8950849299981</v>
      </c>
      <c r="W228" s="22">
        <f t="shared" si="32"/>
        <v>0.33620359024270285</v>
      </c>
      <c r="X228" s="28" t="str">
        <f>TEXT(B228,"MMM-YYYY")</f>
        <v>Jul-2023</v>
      </c>
      <c r="Y228" s="7" t="str">
        <f t="shared" si="37"/>
        <v>Q3-2023</v>
      </c>
      <c r="Z228" s="7" t="str">
        <f t="shared" si="38"/>
        <v>Medium Price</v>
      </c>
      <c r="AA228" s="7" t="str">
        <f t="shared" si="39"/>
        <v>Q3</v>
      </c>
      <c r="AB228" s="28" t="str">
        <f t="shared" si="40"/>
        <v>Jul</v>
      </c>
      <c r="AC228" s="28" t="str">
        <f t="shared" si="41"/>
        <v>2023</v>
      </c>
    </row>
    <row r="229" spans="1:29" x14ac:dyDescent="0.25">
      <c r="A229" s="4" t="s">
        <v>241</v>
      </c>
      <c r="B229" s="14">
        <v>45203</v>
      </c>
      <c r="C229" s="14">
        <v>45228</v>
      </c>
      <c r="D229" s="16">
        <f t="shared" si="33"/>
        <v>25</v>
      </c>
      <c r="E229" s="4" t="s">
        <v>648</v>
      </c>
      <c r="F229" s="4" t="s">
        <v>660</v>
      </c>
      <c r="G229" s="4" t="s">
        <v>686</v>
      </c>
      <c r="H229" s="4" t="s">
        <v>705</v>
      </c>
      <c r="I229" s="4" t="s">
        <v>710</v>
      </c>
      <c r="J229" s="4" t="s">
        <v>719</v>
      </c>
      <c r="K229" s="4" t="s">
        <v>733</v>
      </c>
      <c r="L229" s="4" t="s">
        <v>961</v>
      </c>
      <c r="M229" s="9">
        <v>4</v>
      </c>
      <c r="N229" s="16">
        <f>ROUND(IF('Dashboard Visualization'!$U$3="",'Working Data'!$M229,'Working Data'!$M229*(100% +'Dashboard Visualization'!$U$3)),0)</f>
        <v>4</v>
      </c>
      <c r="O229" s="19">
        <v>1239.8399999999999</v>
      </c>
      <c r="P229" s="20">
        <f>IF('Dashboard Visualization'!$U$2="",'Working Data'!$O229*'Working Data'!$N229,'Working Data'!$O229*'Working Data'!$N229*(100%+'Dashboard Visualization'!$U$2))</f>
        <v>4959.3599999999997</v>
      </c>
      <c r="Q229" s="19">
        <v>1482.75</v>
      </c>
      <c r="R229" s="20">
        <f t="shared" si="34"/>
        <v>1383.4057500000001</v>
      </c>
      <c r="S229" s="11">
        <v>6.7000000000000004E-2</v>
      </c>
      <c r="T229" s="22">
        <f>IF('Dashboard Visualization'!$U$1="",$S229,IF(S229&gt;'Dashboard Visualization'!$U$1,'Dashboard Visualization'!$U$1,S229))</f>
        <v>6.7000000000000004E-2</v>
      </c>
      <c r="U229" s="20">
        <f t="shared" si="35"/>
        <v>5162.8702590000012</v>
      </c>
      <c r="V229" s="20">
        <f t="shared" si="36"/>
        <v>203.5102590000015</v>
      </c>
      <c r="W229" s="22">
        <f t="shared" si="32"/>
        <v>3.9418046317402422E-2</v>
      </c>
      <c r="X229" s="28" t="str">
        <f>TEXT(B229,"MMM-YYYY")</f>
        <v>Oct-2023</v>
      </c>
      <c r="Y229" s="7" t="str">
        <f t="shared" si="37"/>
        <v>Q4-2023</v>
      </c>
      <c r="Z229" s="7" t="str">
        <f t="shared" si="38"/>
        <v>High Price</v>
      </c>
      <c r="AA229" s="7" t="str">
        <f t="shared" si="39"/>
        <v>Q4</v>
      </c>
      <c r="AB229" s="28" t="str">
        <f t="shared" si="40"/>
        <v>Oct</v>
      </c>
      <c r="AC229" s="28" t="str">
        <f t="shared" si="41"/>
        <v>2023</v>
      </c>
    </row>
    <row r="230" spans="1:29" x14ac:dyDescent="0.25">
      <c r="A230" s="4" t="s">
        <v>242</v>
      </c>
      <c r="B230" s="14">
        <v>45879</v>
      </c>
      <c r="C230" s="14">
        <v>45899</v>
      </c>
      <c r="D230" s="16">
        <f t="shared" si="33"/>
        <v>20</v>
      </c>
      <c r="E230" s="4" t="s">
        <v>648</v>
      </c>
      <c r="F230" s="4" t="s">
        <v>660</v>
      </c>
      <c r="G230" s="4" t="s">
        <v>686</v>
      </c>
      <c r="H230" s="4" t="s">
        <v>701</v>
      </c>
      <c r="I230" s="4" t="s">
        <v>709</v>
      </c>
      <c r="J230" s="4" t="s">
        <v>723</v>
      </c>
      <c r="K230" s="4" t="s">
        <v>728</v>
      </c>
      <c r="L230" s="4" t="s">
        <v>962</v>
      </c>
      <c r="M230" s="9">
        <v>13</v>
      </c>
      <c r="N230" s="16">
        <f>ROUND(IF('Dashboard Visualization'!$U$3="",'Working Data'!$M230,'Working Data'!$M230*(100% +'Dashboard Visualization'!$U$3)),0)</f>
        <v>13</v>
      </c>
      <c r="O230" s="19">
        <v>933.29</v>
      </c>
      <c r="P230" s="20">
        <f>IF('Dashboard Visualization'!$U$2="",'Working Data'!$O230*'Working Data'!$N230,'Working Data'!$O230*'Working Data'!$N230*(100%+'Dashboard Visualization'!$U$2))</f>
        <v>12132.77</v>
      </c>
      <c r="Q230" s="19">
        <v>1456.81</v>
      </c>
      <c r="R230" s="20">
        <f t="shared" si="34"/>
        <v>1277.62237</v>
      </c>
      <c r="S230" s="11">
        <v>0.123</v>
      </c>
      <c r="T230" s="22">
        <f>IF('Dashboard Visualization'!$U$1="",$S230,IF(S230&gt;'Dashboard Visualization'!$U$1,'Dashboard Visualization'!$U$1,S230))</f>
        <v>0.123</v>
      </c>
      <c r="U230" s="20">
        <f t="shared" si="35"/>
        <v>14566.172640369999</v>
      </c>
      <c r="V230" s="20">
        <f t="shared" si="36"/>
        <v>2433.4026403699991</v>
      </c>
      <c r="W230" s="22">
        <f t="shared" si="32"/>
        <v>0.16705847860307851</v>
      </c>
      <c r="X230" s="28" t="str">
        <f>TEXT(B230,"MMM-YYYY")</f>
        <v>Aug-2025</v>
      </c>
      <c r="Y230" s="7" t="str">
        <f t="shared" si="37"/>
        <v>Q3-2025</v>
      </c>
      <c r="Z230" s="7" t="str">
        <f t="shared" si="38"/>
        <v>High Price</v>
      </c>
      <c r="AA230" s="7" t="str">
        <f t="shared" si="39"/>
        <v>Q3</v>
      </c>
      <c r="AB230" s="28" t="str">
        <f t="shared" si="40"/>
        <v>Aug</v>
      </c>
      <c r="AC230" s="28" t="str">
        <f t="shared" si="41"/>
        <v>2025</v>
      </c>
    </row>
    <row r="231" spans="1:29" x14ac:dyDescent="0.25">
      <c r="A231" s="4" t="s">
        <v>243</v>
      </c>
      <c r="B231" s="14">
        <v>44992</v>
      </c>
      <c r="C231" s="14">
        <v>45017</v>
      </c>
      <c r="D231" s="16">
        <f t="shared" si="33"/>
        <v>25</v>
      </c>
      <c r="E231" s="4" t="s">
        <v>646</v>
      </c>
      <c r="F231" s="4" t="s">
        <v>650</v>
      </c>
      <c r="G231" s="4" t="s">
        <v>664</v>
      </c>
      <c r="H231" s="4" t="s">
        <v>704</v>
      </c>
      <c r="I231" s="4" t="s">
        <v>709</v>
      </c>
      <c r="J231" s="4" t="s">
        <v>726</v>
      </c>
      <c r="K231" s="4" t="s">
        <v>728</v>
      </c>
      <c r="L231" s="4" t="s">
        <v>963</v>
      </c>
      <c r="M231" s="9">
        <v>10</v>
      </c>
      <c r="N231" s="16">
        <f>ROUND(IF('Dashboard Visualization'!$U$3="",'Working Data'!$M231,'Working Data'!$M231*(100% +'Dashboard Visualization'!$U$3)),0)</f>
        <v>10</v>
      </c>
      <c r="O231" s="19">
        <v>1024.0999999999999</v>
      </c>
      <c r="P231" s="20">
        <f>IF('Dashboard Visualization'!$U$2="",'Working Data'!$O231*'Working Data'!$N231,'Working Data'!$O231*'Working Data'!$N231*(100%+'Dashboard Visualization'!$U$2))</f>
        <v>10241</v>
      </c>
      <c r="Q231" s="19">
        <v>918.19</v>
      </c>
      <c r="R231" s="20">
        <f t="shared" si="34"/>
        <v>744.65209000000004</v>
      </c>
      <c r="S231" s="11">
        <v>0.189</v>
      </c>
      <c r="T231" s="22">
        <f>IF('Dashboard Visualization'!$U$1="",$S231,IF(S231&gt;'Dashboard Visualization'!$U$1,'Dashboard Visualization'!$U$1,S231))</f>
        <v>0.189</v>
      </c>
      <c r="U231" s="20">
        <f t="shared" si="35"/>
        <v>6039.1284498999994</v>
      </c>
      <c r="V231" s="20">
        <f t="shared" si="36"/>
        <v>-4201.8715501000006</v>
      </c>
      <c r="W231" s="22">
        <f t="shared" si="32"/>
        <v>0</v>
      </c>
      <c r="X231" s="28" t="str">
        <f>TEXT(B231,"MMM-YYYY")</f>
        <v>Mar-2023</v>
      </c>
      <c r="Y231" s="7" t="str">
        <f t="shared" si="37"/>
        <v>Q1-2023</v>
      </c>
      <c r="Z231" s="7" t="str">
        <f t="shared" si="38"/>
        <v>High Price</v>
      </c>
      <c r="AA231" s="7" t="str">
        <f t="shared" si="39"/>
        <v>Q1</v>
      </c>
      <c r="AB231" s="28" t="str">
        <f t="shared" si="40"/>
        <v>Mar</v>
      </c>
      <c r="AC231" s="28" t="str">
        <f t="shared" si="41"/>
        <v>2023</v>
      </c>
    </row>
    <row r="232" spans="1:29" x14ac:dyDescent="0.25">
      <c r="A232" s="4" t="s">
        <v>244</v>
      </c>
      <c r="B232" s="14">
        <v>45069</v>
      </c>
      <c r="C232" s="14">
        <v>45087</v>
      </c>
      <c r="D232" s="16">
        <f t="shared" si="33"/>
        <v>18</v>
      </c>
      <c r="E232" s="4" t="s">
        <v>647</v>
      </c>
      <c r="F232" s="4" t="s">
        <v>659</v>
      </c>
      <c r="G232" s="4" t="s">
        <v>685</v>
      </c>
      <c r="H232" s="4" t="s">
        <v>701</v>
      </c>
      <c r="I232" s="4" t="s">
        <v>710</v>
      </c>
      <c r="J232" s="4" t="s">
        <v>718</v>
      </c>
      <c r="K232" s="4" t="s">
        <v>727</v>
      </c>
      <c r="L232" s="4" t="s">
        <v>964</v>
      </c>
      <c r="M232" s="9">
        <v>16</v>
      </c>
      <c r="N232" s="16">
        <f>ROUND(IF('Dashboard Visualization'!$U$3="",'Working Data'!$M232,'Working Data'!$M232*(100% +'Dashboard Visualization'!$U$3)),0)</f>
        <v>16</v>
      </c>
      <c r="O232" s="19">
        <v>54.62</v>
      </c>
      <c r="P232" s="20">
        <f>IF('Dashboard Visualization'!$U$2="",'Working Data'!$O232*'Working Data'!$N232,'Working Data'!$O232*'Working Data'!$N232*(100%+'Dashboard Visualization'!$U$2))</f>
        <v>873.92</v>
      </c>
      <c r="Q232" s="19">
        <v>48.94</v>
      </c>
      <c r="R232" s="20">
        <f t="shared" si="34"/>
        <v>41.69688</v>
      </c>
      <c r="S232" s="11">
        <v>0.14799999999999999</v>
      </c>
      <c r="T232" s="22">
        <f>IF('Dashboard Visualization'!$U$1="",$S232,IF(S232&gt;'Dashboard Visualization'!$U$1,'Dashboard Visualization'!$U$1,S232))</f>
        <v>0.14799999999999999</v>
      </c>
      <c r="U232" s="20">
        <f t="shared" si="35"/>
        <v>568.41186816000004</v>
      </c>
      <c r="V232" s="20">
        <f t="shared" si="36"/>
        <v>-305.50813183999992</v>
      </c>
      <c r="W232" s="22">
        <f t="shared" si="32"/>
        <v>0</v>
      </c>
      <c r="X232" s="28" t="str">
        <f>TEXT(B232,"MMM-YYYY")</f>
        <v>May-2023</v>
      </c>
      <c r="Y232" s="7" t="str">
        <f t="shared" si="37"/>
        <v>Q2-2023</v>
      </c>
      <c r="Z232" s="7" t="str">
        <f t="shared" si="38"/>
        <v>Low Price</v>
      </c>
      <c r="AA232" s="7" t="str">
        <f t="shared" si="39"/>
        <v>Q2</v>
      </c>
      <c r="AB232" s="28" t="str">
        <f t="shared" si="40"/>
        <v>May</v>
      </c>
      <c r="AC232" s="28" t="str">
        <f t="shared" si="41"/>
        <v>2023</v>
      </c>
    </row>
    <row r="233" spans="1:29" x14ac:dyDescent="0.25">
      <c r="A233" s="4" t="s">
        <v>245</v>
      </c>
      <c r="B233" s="14">
        <v>45771</v>
      </c>
      <c r="C233" s="14">
        <v>45783</v>
      </c>
      <c r="D233" s="16">
        <f t="shared" si="33"/>
        <v>12</v>
      </c>
      <c r="E233" s="4" t="s">
        <v>648</v>
      </c>
      <c r="F233" s="4" t="s">
        <v>655</v>
      </c>
      <c r="G233" s="4" t="s">
        <v>672</v>
      </c>
      <c r="H233" s="4" t="s">
        <v>704</v>
      </c>
      <c r="I233" s="4" t="s">
        <v>708</v>
      </c>
      <c r="J233" s="4" t="s">
        <v>712</v>
      </c>
      <c r="K233" s="4" t="s">
        <v>730</v>
      </c>
      <c r="L233" s="4" t="s">
        <v>965</v>
      </c>
      <c r="M233" s="9">
        <v>7</v>
      </c>
      <c r="N233" s="16">
        <f>ROUND(IF('Dashboard Visualization'!$U$3="",'Working Data'!$M233,'Working Data'!$M233*(100% +'Dashboard Visualization'!$U$3)),0)</f>
        <v>7</v>
      </c>
      <c r="O233" s="19">
        <v>394.13</v>
      </c>
      <c r="P233" s="20">
        <f>IF('Dashboard Visualization'!$U$2="",'Working Data'!$O233*'Working Data'!$N233,'Working Data'!$O233*'Working Data'!$N233*(100%+'Dashboard Visualization'!$U$2))</f>
        <v>2758.91</v>
      </c>
      <c r="Q233" s="19">
        <v>932.29</v>
      </c>
      <c r="R233" s="20">
        <f t="shared" si="34"/>
        <v>830.67039</v>
      </c>
      <c r="S233" s="11">
        <v>0.109</v>
      </c>
      <c r="T233" s="22">
        <f>IF('Dashboard Visualization'!$U$1="",$S233,IF(S233&gt;'Dashboard Visualization'!$U$1,'Dashboard Visualization'!$U$1,S233))</f>
        <v>0.109</v>
      </c>
      <c r="U233" s="20">
        <f t="shared" si="35"/>
        <v>5180.8912224300002</v>
      </c>
      <c r="V233" s="20">
        <f t="shared" si="36"/>
        <v>2421.9812224300003</v>
      </c>
      <c r="W233" s="22">
        <f t="shared" si="32"/>
        <v>0.46748351170631514</v>
      </c>
      <c r="X233" s="28" t="str">
        <f>TEXT(B233,"MMM-YYYY")</f>
        <v>Apr-2025</v>
      </c>
      <c r="Y233" s="7" t="str">
        <f t="shared" si="37"/>
        <v>Q2-2025</v>
      </c>
      <c r="Z233" s="7" t="str">
        <f t="shared" si="38"/>
        <v>High Price</v>
      </c>
      <c r="AA233" s="7" t="str">
        <f t="shared" si="39"/>
        <v>Q2</v>
      </c>
      <c r="AB233" s="28" t="str">
        <f t="shared" si="40"/>
        <v>Apr</v>
      </c>
      <c r="AC233" s="28" t="str">
        <f t="shared" si="41"/>
        <v>2025</v>
      </c>
    </row>
    <row r="234" spans="1:29" x14ac:dyDescent="0.25">
      <c r="A234" s="4" t="s">
        <v>246</v>
      </c>
      <c r="B234" s="14">
        <v>45538</v>
      </c>
      <c r="C234" s="14">
        <v>45543</v>
      </c>
      <c r="D234" s="16">
        <f t="shared" si="33"/>
        <v>5</v>
      </c>
      <c r="E234" s="4" t="s">
        <v>646</v>
      </c>
      <c r="F234" s="4" t="s">
        <v>651</v>
      </c>
      <c r="G234" s="4" t="s">
        <v>665</v>
      </c>
      <c r="H234" s="4" t="s">
        <v>705</v>
      </c>
      <c r="I234" s="4" t="s">
        <v>711</v>
      </c>
      <c r="J234" s="4" t="s">
        <v>723</v>
      </c>
      <c r="K234" s="4" t="s">
        <v>728</v>
      </c>
      <c r="L234" s="4" t="s">
        <v>966</v>
      </c>
      <c r="M234" s="9">
        <v>10</v>
      </c>
      <c r="N234" s="16">
        <f>ROUND(IF('Dashboard Visualization'!$U$3="",'Working Data'!$M234,'Working Data'!$M234*(100% +'Dashboard Visualization'!$U$3)),0)</f>
        <v>10</v>
      </c>
      <c r="O234" s="19">
        <v>197.63</v>
      </c>
      <c r="P234" s="20">
        <f>IF('Dashboard Visualization'!$U$2="",'Working Data'!$O234*'Working Data'!$N234,'Working Data'!$O234*'Working Data'!$N234*(100%+'Dashboard Visualization'!$U$2))</f>
        <v>1976.3</v>
      </c>
      <c r="Q234" s="19">
        <v>325.79000000000002</v>
      </c>
      <c r="R234" s="20">
        <f t="shared" si="34"/>
        <v>287.99836000000005</v>
      </c>
      <c r="S234" s="11">
        <v>0.11600000000000001</v>
      </c>
      <c r="T234" s="22">
        <f>IF('Dashboard Visualization'!$U$1="",$S234,IF(S234&gt;'Dashboard Visualization'!$U$1,'Dashboard Visualization'!$U$1,S234))</f>
        <v>0.11600000000000001</v>
      </c>
      <c r="U234" s="20">
        <f t="shared" si="35"/>
        <v>2545.9055024000004</v>
      </c>
      <c r="V234" s="20">
        <f t="shared" si="36"/>
        <v>569.60550240000043</v>
      </c>
      <c r="W234" s="22">
        <f t="shared" si="32"/>
        <v>0.22373395315067227</v>
      </c>
      <c r="X234" s="28" t="str">
        <f>TEXT(B234,"MMM-YYYY")</f>
        <v>Sep-2024</v>
      </c>
      <c r="Y234" s="7" t="str">
        <f t="shared" si="37"/>
        <v>Q3-2024</v>
      </c>
      <c r="Z234" s="7" t="str">
        <f t="shared" si="38"/>
        <v>Low Price</v>
      </c>
      <c r="AA234" s="7" t="str">
        <f t="shared" si="39"/>
        <v>Q3</v>
      </c>
      <c r="AB234" s="28" t="str">
        <f t="shared" si="40"/>
        <v>Sep</v>
      </c>
      <c r="AC234" s="28" t="str">
        <f t="shared" si="41"/>
        <v>2024</v>
      </c>
    </row>
    <row r="235" spans="1:29" x14ac:dyDescent="0.25">
      <c r="A235" s="4" t="s">
        <v>247</v>
      </c>
      <c r="B235" s="14">
        <v>45540</v>
      </c>
      <c r="C235" s="14">
        <v>45560</v>
      </c>
      <c r="D235" s="16">
        <f t="shared" si="33"/>
        <v>20</v>
      </c>
      <c r="E235" s="4" t="s">
        <v>647</v>
      </c>
      <c r="F235" s="4" t="s">
        <v>652</v>
      </c>
      <c r="G235" s="4" t="s">
        <v>666</v>
      </c>
      <c r="H235" s="4" t="s">
        <v>706</v>
      </c>
      <c r="I235" s="4" t="s">
        <v>710</v>
      </c>
      <c r="J235" s="4" t="s">
        <v>726</v>
      </c>
      <c r="K235" s="4" t="s">
        <v>732</v>
      </c>
      <c r="L235" s="4" t="s">
        <v>967</v>
      </c>
      <c r="M235" s="9">
        <v>16</v>
      </c>
      <c r="N235" s="16">
        <f>ROUND(IF('Dashboard Visualization'!$U$3="",'Working Data'!$M235,'Working Data'!$M235*(100% +'Dashboard Visualization'!$U$3)),0)</f>
        <v>16</v>
      </c>
      <c r="O235" s="19">
        <v>195.54</v>
      </c>
      <c r="P235" s="20">
        <f>IF('Dashboard Visualization'!$U$2="",'Working Data'!$O235*'Working Data'!$N235,'Working Data'!$O235*'Working Data'!$N235*(100%+'Dashboard Visualization'!$U$2))</f>
        <v>3128.64</v>
      </c>
      <c r="Q235" s="19">
        <v>405.97</v>
      </c>
      <c r="R235" s="20">
        <f t="shared" si="34"/>
        <v>330.05360999999999</v>
      </c>
      <c r="S235" s="11">
        <v>0.187</v>
      </c>
      <c r="T235" s="22">
        <f>IF('Dashboard Visualization'!$U$1="",$S235,IF(S235&gt;'Dashboard Visualization'!$U$1,'Dashboard Visualization'!$U$1,S235))</f>
        <v>0.187</v>
      </c>
      <c r="U235" s="20">
        <f t="shared" si="35"/>
        <v>4293.3373588799996</v>
      </c>
      <c r="V235" s="20">
        <f t="shared" si="36"/>
        <v>1164.6973588799997</v>
      </c>
      <c r="W235" s="22">
        <f t="shared" si="32"/>
        <v>0.27128018637320261</v>
      </c>
      <c r="X235" s="28" t="str">
        <f>TEXT(B235,"MMM-YYYY")</f>
        <v>Sep-2024</v>
      </c>
      <c r="Y235" s="7" t="str">
        <f t="shared" si="37"/>
        <v>Q3-2024</v>
      </c>
      <c r="Z235" s="7" t="str">
        <f t="shared" si="38"/>
        <v>Low Price</v>
      </c>
      <c r="AA235" s="7" t="str">
        <f t="shared" si="39"/>
        <v>Q3</v>
      </c>
      <c r="AB235" s="28" t="str">
        <f t="shared" si="40"/>
        <v>Sep</v>
      </c>
      <c r="AC235" s="28" t="str">
        <f t="shared" si="41"/>
        <v>2024</v>
      </c>
    </row>
    <row r="236" spans="1:29" x14ac:dyDescent="0.25">
      <c r="A236" s="4" t="s">
        <v>248</v>
      </c>
      <c r="B236" s="14">
        <v>44999</v>
      </c>
      <c r="C236" s="14">
        <v>45015</v>
      </c>
      <c r="D236" s="16">
        <f t="shared" si="33"/>
        <v>16</v>
      </c>
      <c r="E236" s="4" t="s">
        <v>646</v>
      </c>
      <c r="F236" s="4" t="s">
        <v>661</v>
      </c>
      <c r="G236" s="4" t="s">
        <v>695</v>
      </c>
      <c r="H236" s="4" t="s">
        <v>704</v>
      </c>
      <c r="I236" s="4" t="s">
        <v>710</v>
      </c>
      <c r="J236" s="4" t="s">
        <v>723</v>
      </c>
      <c r="K236" s="4" t="s">
        <v>727</v>
      </c>
      <c r="L236" s="4" t="s">
        <v>968</v>
      </c>
      <c r="M236" s="9">
        <v>10</v>
      </c>
      <c r="N236" s="16">
        <f>ROUND(IF('Dashboard Visualization'!$U$3="",'Working Data'!$M236,'Working Data'!$M236*(100% +'Dashboard Visualization'!$U$3)),0)</f>
        <v>10</v>
      </c>
      <c r="O236" s="19">
        <v>1309.77</v>
      </c>
      <c r="P236" s="20">
        <f>IF('Dashboard Visualization'!$U$2="",'Working Data'!$O236*'Working Data'!$N236,'Working Data'!$O236*'Working Data'!$N236*(100%+'Dashboard Visualization'!$U$2))</f>
        <v>13097.7</v>
      </c>
      <c r="Q236" s="19">
        <v>1589.07</v>
      </c>
      <c r="R236" s="20">
        <f t="shared" si="34"/>
        <v>1426.98486</v>
      </c>
      <c r="S236" s="11">
        <v>0.10199999999999999</v>
      </c>
      <c r="T236" s="22">
        <f>IF('Dashboard Visualization'!$U$1="",$S236,IF(S236&gt;'Dashboard Visualization'!$U$1,'Dashboard Visualization'!$U$1,S236))</f>
        <v>0.10199999999999999</v>
      </c>
      <c r="U236" s="20">
        <f t="shared" si="35"/>
        <v>12814.324042800001</v>
      </c>
      <c r="V236" s="20">
        <f t="shared" si="36"/>
        <v>-283.3759571999999</v>
      </c>
      <c r="W236" s="22">
        <f t="shared" si="32"/>
        <v>0</v>
      </c>
      <c r="X236" s="28" t="str">
        <f>TEXT(B236,"MMM-YYYY")</f>
        <v>Mar-2023</v>
      </c>
      <c r="Y236" s="7" t="str">
        <f t="shared" si="37"/>
        <v>Q1-2023</v>
      </c>
      <c r="Z236" s="7" t="str">
        <f t="shared" si="38"/>
        <v>High Price</v>
      </c>
      <c r="AA236" s="7" t="str">
        <f t="shared" si="39"/>
        <v>Q1</v>
      </c>
      <c r="AB236" s="28" t="str">
        <f t="shared" si="40"/>
        <v>Mar</v>
      </c>
      <c r="AC236" s="28" t="str">
        <f t="shared" si="41"/>
        <v>2023</v>
      </c>
    </row>
    <row r="237" spans="1:29" x14ac:dyDescent="0.25">
      <c r="A237" s="4" t="s">
        <v>249</v>
      </c>
      <c r="B237" s="14">
        <v>45302</v>
      </c>
      <c r="C237" s="14">
        <v>45324</v>
      </c>
      <c r="D237" s="16">
        <f t="shared" si="33"/>
        <v>22</v>
      </c>
      <c r="E237" s="4" t="s">
        <v>647</v>
      </c>
      <c r="F237" s="4" t="s">
        <v>652</v>
      </c>
      <c r="G237" s="4" t="s">
        <v>694</v>
      </c>
      <c r="H237" s="4" t="s">
        <v>705</v>
      </c>
      <c r="I237" s="4" t="s">
        <v>708</v>
      </c>
      <c r="J237" s="12" t="s">
        <v>1430</v>
      </c>
      <c r="K237" s="4" t="s">
        <v>728</v>
      </c>
      <c r="L237" s="4" t="s">
        <v>969</v>
      </c>
      <c r="M237" s="9">
        <v>13</v>
      </c>
      <c r="N237" s="16">
        <f>ROUND(IF('Dashboard Visualization'!$U$3="",'Working Data'!$M237,'Working Data'!$M237*(100% +'Dashboard Visualization'!$U$3)),0)</f>
        <v>13</v>
      </c>
      <c r="O237" s="19">
        <v>1237.68</v>
      </c>
      <c r="P237" s="20">
        <f>IF('Dashboard Visualization'!$U$2="",'Working Data'!$O237*'Working Data'!$N237,'Working Data'!$O237*'Working Data'!$N237*(100%+'Dashboard Visualization'!$U$2))</f>
        <v>16089.84</v>
      </c>
      <c r="Q237" s="19">
        <v>1432.8</v>
      </c>
      <c r="R237" s="20">
        <f t="shared" si="34"/>
        <v>1335.3695999999998</v>
      </c>
      <c r="S237" s="11">
        <v>6.8000000000000005E-2</v>
      </c>
      <c r="T237" s="22">
        <f>IF('Dashboard Visualization'!$U$1="",$S237,IF(S237&gt;'Dashboard Visualization'!$U$1,'Dashboard Visualization'!$U$1,S237))</f>
        <v>6.8000000000000005E-2</v>
      </c>
      <c r="U237" s="20">
        <f t="shared" si="35"/>
        <v>16179.338073599994</v>
      </c>
      <c r="V237" s="20">
        <f t="shared" si="36"/>
        <v>89.498073599994314</v>
      </c>
      <c r="W237" s="22">
        <f t="shared" si="32"/>
        <v>5.5316276347565363E-3</v>
      </c>
      <c r="X237" s="28" t="str">
        <f>TEXT(B237,"MMM-YYYY")</f>
        <v>Jan-2024</v>
      </c>
      <c r="Y237" s="7" t="str">
        <f t="shared" si="37"/>
        <v>Q1-2024</v>
      </c>
      <c r="Z237" s="7" t="str">
        <f t="shared" si="38"/>
        <v>High Price</v>
      </c>
      <c r="AA237" s="7" t="str">
        <f t="shared" si="39"/>
        <v>Q1</v>
      </c>
      <c r="AB237" s="28" t="str">
        <f t="shared" si="40"/>
        <v>Jan</v>
      </c>
      <c r="AC237" s="28" t="str">
        <f t="shared" si="41"/>
        <v>2024</v>
      </c>
    </row>
    <row r="238" spans="1:29" x14ac:dyDescent="0.25">
      <c r="A238" s="4" t="s">
        <v>250</v>
      </c>
      <c r="B238" s="14">
        <v>45548</v>
      </c>
      <c r="C238" s="14">
        <v>45567</v>
      </c>
      <c r="D238" s="16">
        <f t="shared" si="33"/>
        <v>19</v>
      </c>
      <c r="E238" s="4" t="s">
        <v>646</v>
      </c>
      <c r="F238" s="4" t="s">
        <v>650</v>
      </c>
      <c r="G238" s="4" t="s">
        <v>675</v>
      </c>
      <c r="H238" s="4" t="s">
        <v>705</v>
      </c>
      <c r="I238" s="4" t="s">
        <v>707</v>
      </c>
      <c r="J238" s="4" t="s">
        <v>724</v>
      </c>
      <c r="K238" s="4" t="s">
        <v>730</v>
      </c>
      <c r="L238" s="4" t="s">
        <v>970</v>
      </c>
      <c r="M238" s="9">
        <v>24</v>
      </c>
      <c r="N238" s="16">
        <f>ROUND(IF('Dashboard Visualization'!$U$3="",'Working Data'!$M238,'Working Data'!$M238*(100% +'Dashboard Visualization'!$U$3)),0)</f>
        <v>24</v>
      </c>
      <c r="O238" s="19">
        <v>1338.99</v>
      </c>
      <c r="P238" s="20">
        <f>IF('Dashboard Visualization'!$U$2="",'Working Data'!$O238*'Working Data'!$N238,'Working Data'!$O238*'Working Data'!$N238*(100%+'Dashboard Visualization'!$U$2))</f>
        <v>32135.760000000002</v>
      </c>
      <c r="Q238" s="19">
        <v>1765.76</v>
      </c>
      <c r="R238" s="20">
        <f t="shared" si="34"/>
        <v>1543.27424</v>
      </c>
      <c r="S238" s="11">
        <v>0.126</v>
      </c>
      <c r="T238" s="22">
        <f>IF('Dashboard Visualization'!$U$1="",$S238,IF(S238&gt;'Dashboard Visualization'!$U$1,'Dashboard Visualization'!$U$1,S238))</f>
        <v>0.126</v>
      </c>
      <c r="U238" s="20">
        <f t="shared" si="35"/>
        <v>32371.720458240001</v>
      </c>
      <c r="V238" s="20">
        <f t="shared" si="36"/>
        <v>235.96045823999884</v>
      </c>
      <c r="W238" s="22">
        <f t="shared" si="32"/>
        <v>7.2890922972225509E-3</v>
      </c>
      <c r="X238" s="28" t="str">
        <f>TEXT(B238,"MMM-YYYY")</f>
        <v>Sep-2024</v>
      </c>
      <c r="Y238" s="7" t="str">
        <f t="shared" si="37"/>
        <v>Q3-2024</v>
      </c>
      <c r="Z238" s="7" t="str">
        <f t="shared" si="38"/>
        <v>High Price</v>
      </c>
      <c r="AA238" s="7" t="str">
        <f t="shared" si="39"/>
        <v>Q3</v>
      </c>
      <c r="AB238" s="28" t="str">
        <f t="shared" si="40"/>
        <v>Sep</v>
      </c>
      <c r="AC238" s="28" t="str">
        <f t="shared" si="41"/>
        <v>2024</v>
      </c>
    </row>
    <row r="239" spans="1:29" x14ac:dyDescent="0.25">
      <c r="A239" s="4" t="s">
        <v>251</v>
      </c>
      <c r="B239" s="14">
        <v>45855</v>
      </c>
      <c r="C239" s="14">
        <v>45861</v>
      </c>
      <c r="D239" s="16">
        <f t="shared" si="33"/>
        <v>6</v>
      </c>
      <c r="E239" s="4" t="s">
        <v>648</v>
      </c>
      <c r="F239" s="4" t="s">
        <v>653</v>
      </c>
      <c r="G239" s="4" t="s">
        <v>688</v>
      </c>
      <c r="H239" s="4" t="s">
        <v>704</v>
      </c>
      <c r="I239" s="4" t="s">
        <v>708</v>
      </c>
      <c r="J239" s="4" t="s">
        <v>722</v>
      </c>
      <c r="K239" s="4" t="s">
        <v>727</v>
      </c>
      <c r="L239" s="4" t="s">
        <v>971</v>
      </c>
      <c r="M239" s="9">
        <v>61</v>
      </c>
      <c r="N239" s="16">
        <f>ROUND(IF('Dashboard Visualization'!$U$3="",'Working Data'!$M239,'Working Data'!$M239*(100% +'Dashboard Visualization'!$U$3)),0)</f>
        <v>61</v>
      </c>
      <c r="O239" s="19">
        <v>1364.89</v>
      </c>
      <c r="P239" s="20">
        <f>IF('Dashboard Visualization'!$U$2="",'Working Data'!$O239*'Working Data'!$N239,'Working Data'!$O239*'Working Data'!$N239*(100%+'Dashboard Visualization'!$U$2))</f>
        <v>83258.290000000008</v>
      </c>
      <c r="Q239" s="19">
        <v>2757.54</v>
      </c>
      <c r="R239" s="20">
        <f t="shared" si="34"/>
        <v>2283.2431200000001</v>
      </c>
      <c r="S239" s="11">
        <v>0.17199999999999999</v>
      </c>
      <c r="T239" s="22">
        <f>IF('Dashboard Visualization'!$U$1="",$S239,IF(S239&gt;'Dashboard Visualization'!$U$1,'Dashboard Visualization'!$U$1,S239))</f>
        <v>0.17199999999999999</v>
      </c>
      <c r="U239" s="20">
        <f t="shared" si="35"/>
        <v>115322.04350496001</v>
      </c>
      <c r="V239" s="20">
        <f t="shared" si="36"/>
        <v>32063.753504959997</v>
      </c>
      <c r="W239" s="22">
        <f t="shared" si="32"/>
        <v>0.27803664009457946</v>
      </c>
      <c r="X239" s="28" t="str">
        <f>TEXT(B239,"MMM-YYYY")</f>
        <v>Jul-2025</v>
      </c>
      <c r="Y239" s="7" t="str">
        <f t="shared" si="37"/>
        <v>Q3-2025</v>
      </c>
      <c r="Z239" s="7" t="str">
        <f t="shared" si="38"/>
        <v>Medium Price</v>
      </c>
      <c r="AA239" s="7" t="str">
        <f t="shared" si="39"/>
        <v>Q3</v>
      </c>
      <c r="AB239" s="28" t="str">
        <f t="shared" si="40"/>
        <v>Jul</v>
      </c>
      <c r="AC239" s="28" t="str">
        <f t="shared" si="41"/>
        <v>2025</v>
      </c>
    </row>
    <row r="240" spans="1:29" x14ac:dyDescent="0.25">
      <c r="A240" s="4" t="s">
        <v>252</v>
      </c>
      <c r="B240" s="14">
        <v>45258</v>
      </c>
      <c r="C240" s="14">
        <v>45267</v>
      </c>
      <c r="D240" s="16">
        <f t="shared" si="33"/>
        <v>9</v>
      </c>
      <c r="E240" s="4" t="s">
        <v>647</v>
      </c>
      <c r="F240" s="4" t="s">
        <v>654</v>
      </c>
      <c r="G240" s="4" t="s">
        <v>680</v>
      </c>
      <c r="H240" s="4" t="s">
        <v>706</v>
      </c>
      <c r="I240" s="4" t="s">
        <v>709</v>
      </c>
      <c r="J240" s="4" t="s">
        <v>716</v>
      </c>
      <c r="K240" s="4" t="s">
        <v>730</v>
      </c>
      <c r="L240" s="4" t="s">
        <v>972</v>
      </c>
      <c r="M240" s="9">
        <v>10</v>
      </c>
      <c r="N240" s="16">
        <f>ROUND(IF('Dashboard Visualization'!$U$3="",'Working Data'!$M240,'Working Data'!$M240*(100% +'Dashboard Visualization'!$U$3)),0)</f>
        <v>10</v>
      </c>
      <c r="O240" s="19">
        <v>699.33</v>
      </c>
      <c r="P240" s="20">
        <f>IF('Dashboard Visualization'!$U$2="",'Working Data'!$O240*'Working Data'!$N240,'Working Data'!$O240*'Working Data'!$N240*(100%+'Dashboard Visualization'!$U$2))</f>
        <v>6993.3</v>
      </c>
      <c r="Q240" s="19">
        <v>873.75</v>
      </c>
      <c r="R240" s="20">
        <f t="shared" si="34"/>
        <v>668.41875000000005</v>
      </c>
      <c r="S240" s="11">
        <v>0.23499999999999999</v>
      </c>
      <c r="T240" s="22">
        <f>IF('Dashboard Visualization'!$U$1="",$S240,IF(S240&gt;'Dashboard Visualization'!$U$1,'Dashboard Visualization'!$U$1,S240))</f>
        <v>0.23499999999999999</v>
      </c>
      <c r="U240" s="20">
        <f t="shared" si="35"/>
        <v>5113.4034375000001</v>
      </c>
      <c r="V240" s="20">
        <f t="shared" si="36"/>
        <v>-1879.8965625000001</v>
      </c>
      <c r="W240" s="22">
        <f t="shared" si="32"/>
        <v>0</v>
      </c>
      <c r="X240" s="28" t="str">
        <f>TEXT(B240,"MMM-YYYY")</f>
        <v>Nov-2023</v>
      </c>
      <c r="Y240" s="7" t="str">
        <f t="shared" si="37"/>
        <v>Q4-2023</v>
      </c>
      <c r="Z240" s="7" t="str">
        <f t="shared" si="38"/>
        <v>High Price</v>
      </c>
      <c r="AA240" s="7" t="str">
        <f t="shared" si="39"/>
        <v>Q4</v>
      </c>
      <c r="AB240" s="28" t="str">
        <f t="shared" si="40"/>
        <v>Nov</v>
      </c>
      <c r="AC240" s="28" t="str">
        <f t="shared" si="41"/>
        <v>2023</v>
      </c>
    </row>
    <row r="241" spans="1:29" x14ac:dyDescent="0.25">
      <c r="A241" s="4" t="s">
        <v>253</v>
      </c>
      <c r="B241" s="14">
        <v>45381</v>
      </c>
      <c r="C241" s="14">
        <v>45406</v>
      </c>
      <c r="D241" s="16">
        <f t="shared" si="33"/>
        <v>25</v>
      </c>
      <c r="E241" s="4" t="s">
        <v>648</v>
      </c>
      <c r="F241" s="4" t="s">
        <v>660</v>
      </c>
      <c r="G241" s="4" t="s">
        <v>697</v>
      </c>
      <c r="H241" s="4" t="s">
        <v>703</v>
      </c>
      <c r="I241" s="4" t="s">
        <v>708</v>
      </c>
      <c r="J241" s="4" t="s">
        <v>715</v>
      </c>
      <c r="K241" s="4" t="s">
        <v>731</v>
      </c>
      <c r="L241" s="4" t="s">
        <v>973</v>
      </c>
      <c r="M241" s="9">
        <v>17</v>
      </c>
      <c r="N241" s="16">
        <f>ROUND(IF('Dashboard Visualization'!$U$3="",'Working Data'!$M241,'Working Data'!$M241*(100% +'Dashboard Visualization'!$U$3)),0)</f>
        <v>17</v>
      </c>
      <c r="O241" s="19">
        <v>160.82</v>
      </c>
      <c r="P241" s="20">
        <f>IF('Dashboard Visualization'!$U$2="",'Working Data'!$O241*'Working Data'!$N241,'Working Data'!$O241*'Working Data'!$N241*(100%+'Dashboard Visualization'!$U$2))</f>
        <v>2733.94</v>
      </c>
      <c r="Q241" s="19">
        <v>258.52</v>
      </c>
      <c r="R241" s="20">
        <f t="shared" si="34"/>
        <v>224.91239999999999</v>
      </c>
      <c r="S241" s="11">
        <v>0.13</v>
      </c>
      <c r="T241" s="22">
        <f>IF('Dashboard Visualization'!$U$1="",$S241,IF(S241&gt;'Dashboard Visualization'!$U$1,'Dashboard Visualization'!$U$1,S241))</f>
        <v>0.13</v>
      </c>
      <c r="U241" s="20">
        <f t="shared" si="35"/>
        <v>3326.4543960000001</v>
      </c>
      <c r="V241" s="20">
        <f t="shared" si="36"/>
        <v>592.51439600000003</v>
      </c>
      <c r="W241" s="22">
        <f t="shared" si="32"/>
        <v>0.17812190562795258</v>
      </c>
      <c r="X241" s="28" t="str">
        <f>TEXT(B241,"MMM-YYYY")</f>
        <v>Mar-2024</v>
      </c>
      <c r="Y241" s="7" t="str">
        <f t="shared" si="37"/>
        <v>Q1-2024</v>
      </c>
      <c r="Z241" s="7" t="str">
        <f t="shared" si="38"/>
        <v>Low Price</v>
      </c>
      <c r="AA241" s="7" t="str">
        <f t="shared" si="39"/>
        <v>Q1</v>
      </c>
      <c r="AB241" s="28" t="str">
        <f t="shared" si="40"/>
        <v>Mar</v>
      </c>
      <c r="AC241" s="28" t="str">
        <f t="shared" si="41"/>
        <v>2024</v>
      </c>
    </row>
    <row r="242" spans="1:29" x14ac:dyDescent="0.25">
      <c r="A242" s="4" t="s">
        <v>254</v>
      </c>
      <c r="B242" s="14">
        <v>45188</v>
      </c>
      <c r="C242" s="14">
        <v>45207</v>
      </c>
      <c r="D242" s="16">
        <f t="shared" si="33"/>
        <v>19</v>
      </c>
      <c r="E242" s="4" t="s">
        <v>647</v>
      </c>
      <c r="F242" s="4" t="s">
        <v>654</v>
      </c>
      <c r="G242" s="4" t="s">
        <v>668</v>
      </c>
      <c r="H242" s="4" t="s">
        <v>702</v>
      </c>
      <c r="I242" s="4" t="s">
        <v>711</v>
      </c>
      <c r="J242" s="4" t="s">
        <v>713</v>
      </c>
      <c r="K242" s="4" t="s">
        <v>728</v>
      </c>
      <c r="L242" s="4" t="s">
        <v>974</v>
      </c>
      <c r="M242" s="9">
        <v>8</v>
      </c>
      <c r="N242" s="16">
        <f>ROUND(IF('Dashboard Visualization'!$U$3="",'Working Data'!$M242,'Working Data'!$M242*(100% +'Dashboard Visualization'!$U$3)),0)</f>
        <v>8</v>
      </c>
      <c r="O242" s="19">
        <v>385.32</v>
      </c>
      <c r="P242" s="20">
        <f>IF('Dashboard Visualization'!$U$2="",'Working Data'!$O242*'Working Data'!$N242,'Working Data'!$O242*'Working Data'!$N242*(100%+'Dashboard Visualization'!$U$2))</f>
        <v>3082.56</v>
      </c>
      <c r="Q242" s="19">
        <v>606.76</v>
      </c>
      <c r="R242" s="20">
        <f t="shared" si="34"/>
        <v>554.57864000000006</v>
      </c>
      <c r="S242" s="11">
        <v>8.5999999999999993E-2</v>
      </c>
      <c r="T242" s="22">
        <f>IF('Dashboard Visualization'!$U$1="",$S242,IF(S242&gt;'Dashboard Visualization'!$U$1,'Dashboard Visualization'!$U$1,S242))</f>
        <v>8.5999999999999993E-2</v>
      </c>
      <c r="U242" s="20">
        <f t="shared" si="35"/>
        <v>4055.0790156800008</v>
      </c>
      <c r="V242" s="20">
        <f t="shared" si="36"/>
        <v>972.51901568000085</v>
      </c>
      <c r="W242" s="22">
        <f t="shared" si="32"/>
        <v>0.23982738977946105</v>
      </c>
      <c r="X242" s="28" t="str">
        <f>TEXT(B242,"MMM-YYYY")</f>
        <v>Sep-2023</v>
      </c>
      <c r="Y242" s="7" t="str">
        <f t="shared" si="37"/>
        <v>Q3-2023</v>
      </c>
      <c r="Z242" s="7" t="str">
        <f t="shared" si="38"/>
        <v>High Price</v>
      </c>
      <c r="AA242" s="7" t="str">
        <f t="shared" si="39"/>
        <v>Q3</v>
      </c>
      <c r="AB242" s="28" t="str">
        <f t="shared" si="40"/>
        <v>Sep</v>
      </c>
      <c r="AC242" s="28" t="str">
        <f t="shared" si="41"/>
        <v>2023</v>
      </c>
    </row>
    <row r="243" spans="1:29" x14ac:dyDescent="0.25">
      <c r="A243" s="4" t="s">
        <v>255</v>
      </c>
      <c r="B243" s="14">
        <v>45793</v>
      </c>
      <c r="C243" s="14">
        <v>45804</v>
      </c>
      <c r="D243" s="16">
        <f t="shared" si="33"/>
        <v>11</v>
      </c>
      <c r="E243" s="4" t="s">
        <v>647</v>
      </c>
      <c r="F243" s="4" t="s">
        <v>659</v>
      </c>
      <c r="G243" s="4" t="s">
        <v>699</v>
      </c>
      <c r="H243" s="4" t="s">
        <v>706</v>
      </c>
      <c r="I243" s="4" t="s">
        <v>708</v>
      </c>
      <c r="J243" s="4" t="s">
        <v>721</v>
      </c>
      <c r="K243" s="4" t="s">
        <v>730</v>
      </c>
      <c r="L243" s="4" t="s">
        <v>975</v>
      </c>
      <c r="M243" s="9">
        <v>8</v>
      </c>
      <c r="N243" s="16">
        <f>ROUND(IF('Dashboard Visualization'!$U$3="",'Working Data'!$M243,'Working Data'!$M243*(100% +'Dashboard Visualization'!$U$3)),0)</f>
        <v>8</v>
      </c>
      <c r="O243" s="19">
        <v>918.12</v>
      </c>
      <c r="P243" s="20">
        <f>IF('Dashboard Visualization'!$U$2="",'Working Data'!$O243*'Working Data'!$N243,'Working Data'!$O243*'Working Data'!$N243*(100%+'Dashboard Visualization'!$U$2))</f>
        <v>7344.96</v>
      </c>
      <c r="Q243" s="19">
        <v>1337.69</v>
      </c>
      <c r="R243" s="20">
        <f t="shared" si="34"/>
        <v>1210.6094500000002</v>
      </c>
      <c r="S243" s="11">
        <v>9.5000000000000001E-2</v>
      </c>
      <c r="T243" s="22">
        <f>IF('Dashboard Visualization'!$U$1="",$S243,IF(S243&gt;'Dashboard Visualization'!$U$1,'Dashboard Visualization'!$U$1,S243))</f>
        <v>9.5000000000000001E-2</v>
      </c>
      <c r="U243" s="20">
        <f t="shared" si="35"/>
        <v>8764.8124180000013</v>
      </c>
      <c r="V243" s="20">
        <f t="shared" si="36"/>
        <v>1419.8524180000013</v>
      </c>
      <c r="W243" s="22">
        <f t="shared" si="32"/>
        <v>0.16199461554751565</v>
      </c>
      <c r="X243" s="28" t="str">
        <f>TEXT(B243,"MMM-YYYY")</f>
        <v>May-2025</v>
      </c>
      <c r="Y243" s="7" t="str">
        <f t="shared" si="37"/>
        <v>Q2-2025</v>
      </c>
      <c r="Z243" s="7" t="str">
        <f t="shared" si="38"/>
        <v>High Price</v>
      </c>
      <c r="AA243" s="7" t="str">
        <f t="shared" si="39"/>
        <v>Q2</v>
      </c>
      <c r="AB243" s="28" t="str">
        <f t="shared" si="40"/>
        <v>May</v>
      </c>
      <c r="AC243" s="28" t="str">
        <f t="shared" si="41"/>
        <v>2025</v>
      </c>
    </row>
    <row r="244" spans="1:29" x14ac:dyDescent="0.25">
      <c r="A244" s="4" t="s">
        <v>256</v>
      </c>
      <c r="B244" s="14">
        <v>45871</v>
      </c>
      <c r="C244" s="14">
        <v>45877</v>
      </c>
      <c r="D244" s="16">
        <f t="shared" si="33"/>
        <v>6</v>
      </c>
      <c r="E244" s="4" t="s">
        <v>647</v>
      </c>
      <c r="F244" s="4" t="s">
        <v>652</v>
      </c>
      <c r="G244" s="4" t="s">
        <v>666</v>
      </c>
      <c r="H244" s="4" t="s">
        <v>704</v>
      </c>
      <c r="I244" s="4" t="s">
        <v>711</v>
      </c>
      <c r="J244" s="4" t="s">
        <v>725</v>
      </c>
      <c r="K244" s="4" t="s">
        <v>731</v>
      </c>
      <c r="L244" s="4" t="s">
        <v>976</v>
      </c>
      <c r="M244" s="9">
        <v>22</v>
      </c>
      <c r="N244" s="16">
        <f>ROUND(IF('Dashboard Visualization'!$U$3="",'Working Data'!$M244,'Working Data'!$M244*(100% +'Dashboard Visualization'!$U$3)),0)</f>
        <v>22</v>
      </c>
      <c r="O244" s="19">
        <v>1225.94</v>
      </c>
      <c r="P244" s="20">
        <f>IF('Dashboard Visualization'!$U$2="",'Working Data'!$O244*'Working Data'!$N244,'Working Data'!$O244*'Working Data'!$N244*(100%+'Dashboard Visualization'!$U$2))</f>
        <v>26970.68</v>
      </c>
      <c r="Q244" s="19">
        <v>1793.08</v>
      </c>
      <c r="R244" s="20">
        <f t="shared" si="34"/>
        <v>1549.2211199999999</v>
      </c>
      <c r="S244" s="11">
        <v>0.13600000000000001</v>
      </c>
      <c r="T244" s="22">
        <f>IF('Dashboard Visualization'!$U$1="",$S244,IF(S244&gt;'Dashboard Visualization'!$U$1,'Dashboard Visualization'!$U$1,S244))</f>
        <v>0.13600000000000001</v>
      </c>
      <c r="U244" s="20">
        <f t="shared" si="35"/>
        <v>29447.595048959996</v>
      </c>
      <c r="V244" s="20">
        <f t="shared" si="36"/>
        <v>2476.9150489599961</v>
      </c>
      <c r="W244" s="22">
        <f t="shared" si="32"/>
        <v>8.4112642979565611E-2</v>
      </c>
      <c r="X244" s="28" t="str">
        <f>TEXT(B244,"MMM-YYYY")</f>
        <v>Aug-2025</v>
      </c>
      <c r="Y244" s="7" t="str">
        <f t="shared" si="37"/>
        <v>Q3-2025</v>
      </c>
      <c r="Z244" s="7" t="str">
        <f t="shared" si="38"/>
        <v>High Price</v>
      </c>
      <c r="AA244" s="7" t="str">
        <f t="shared" si="39"/>
        <v>Q3</v>
      </c>
      <c r="AB244" s="28" t="str">
        <f t="shared" si="40"/>
        <v>Aug</v>
      </c>
      <c r="AC244" s="28" t="str">
        <f t="shared" si="41"/>
        <v>2025</v>
      </c>
    </row>
    <row r="245" spans="1:29" x14ac:dyDescent="0.25">
      <c r="A245" s="4" t="s">
        <v>257</v>
      </c>
      <c r="B245" s="14">
        <v>45630</v>
      </c>
      <c r="C245" s="14">
        <v>45638</v>
      </c>
      <c r="D245" s="16">
        <f t="shared" si="33"/>
        <v>8</v>
      </c>
      <c r="E245" s="4" t="s">
        <v>649</v>
      </c>
      <c r="F245" s="4" t="s">
        <v>656</v>
      </c>
      <c r="G245" s="4" t="s">
        <v>698</v>
      </c>
      <c r="H245" s="4" t="s">
        <v>706</v>
      </c>
      <c r="I245" s="4" t="s">
        <v>709</v>
      </c>
      <c r="J245" s="4" t="s">
        <v>717</v>
      </c>
      <c r="K245" s="4" t="s">
        <v>728</v>
      </c>
      <c r="L245" s="4" t="s">
        <v>977</v>
      </c>
      <c r="M245" s="9">
        <v>8</v>
      </c>
      <c r="N245" s="16">
        <f>ROUND(IF('Dashboard Visualization'!$U$3="",'Working Data'!$M245,'Working Data'!$M245*(100% +'Dashboard Visualization'!$U$3)),0)</f>
        <v>8</v>
      </c>
      <c r="O245" s="19">
        <v>72.06</v>
      </c>
      <c r="P245" s="20">
        <f>IF('Dashboard Visualization'!$U$2="",'Working Data'!$O245*'Working Data'!$N245,'Working Data'!$O245*'Working Data'!$N245*(100%+'Dashboard Visualization'!$U$2))</f>
        <v>576.48</v>
      </c>
      <c r="Q245" s="19">
        <v>122.74</v>
      </c>
      <c r="R245" s="20">
        <f t="shared" si="34"/>
        <v>93.527879999999996</v>
      </c>
      <c r="S245" s="11">
        <v>0.23799999999999999</v>
      </c>
      <c r="T245" s="22">
        <f>IF('Dashboard Visualization'!$U$1="",$S245,IF(S245&gt;'Dashboard Visualization'!$U$1,'Dashboard Visualization'!$U$1,S245))</f>
        <v>0.23799999999999999</v>
      </c>
      <c r="U245" s="20">
        <f t="shared" si="35"/>
        <v>570.14595648</v>
      </c>
      <c r="V245" s="20">
        <f t="shared" si="36"/>
        <v>-6.3340435200000229</v>
      </c>
      <c r="W245" s="22">
        <f t="shared" si="32"/>
        <v>0</v>
      </c>
      <c r="X245" s="28" t="str">
        <f>TEXT(B245,"MMM-YYYY")</f>
        <v>Dec-2024</v>
      </c>
      <c r="Y245" s="7" t="str">
        <f t="shared" si="37"/>
        <v>Q4-2024</v>
      </c>
      <c r="Z245" s="7" t="str">
        <f t="shared" si="38"/>
        <v>Low Price</v>
      </c>
      <c r="AA245" s="7" t="str">
        <f t="shared" si="39"/>
        <v>Q4</v>
      </c>
      <c r="AB245" s="28" t="str">
        <f t="shared" si="40"/>
        <v>Dec</v>
      </c>
      <c r="AC245" s="28" t="str">
        <f t="shared" si="41"/>
        <v>2024</v>
      </c>
    </row>
    <row r="246" spans="1:29" x14ac:dyDescent="0.25">
      <c r="A246" s="4" t="s">
        <v>258</v>
      </c>
      <c r="B246" s="14">
        <v>45035</v>
      </c>
      <c r="C246" s="14">
        <v>45044</v>
      </c>
      <c r="D246" s="16">
        <f t="shared" si="33"/>
        <v>9</v>
      </c>
      <c r="E246" s="4" t="s">
        <v>648</v>
      </c>
      <c r="F246" s="4" t="s">
        <v>655</v>
      </c>
      <c r="G246" s="4" t="s">
        <v>692</v>
      </c>
      <c r="H246" s="4" t="s">
        <v>701</v>
      </c>
      <c r="I246" s="4" t="s">
        <v>710</v>
      </c>
      <c r="J246" s="4" t="s">
        <v>724</v>
      </c>
      <c r="K246" s="4" t="s">
        <v>730</v>
      </c>
      <c r="L246" s="4" t="s">
        <v>978</v>
      </c>
      <c r="M246" s="9">
        <v>16</v>
      </c>
      <c r="N246" s="16">
        <f>ROUND(IF('Dashboard Visualization'!$U$3="",'Working Data'!$M246,'Working Data'!$M246*(100% +'Dashboard Visualization'!$U$3)),0)</f>
        <v>16</v>
      </c>
      <c r="O246" s="19">
        <v>1013.54</v>
      </c>
      <c r="P246" s="20">
        <f>IF('Dashboard Visualization'!$U$2="",'Working Data'!$O246*'Working Data'!$N246,'Working Data'!$O246*'Working Data'!$N246*(100%+'Dashboard Visualization'!$U$2))</f>
        <v>16216.64</v>
      </c>
      <c r="Q246" s="19">
        <v>927.93</v>
      </c>
      <c r="R246" s="20">
        <f t="shared" si="34"/>
        <v>765.54224999999997</v>
      </c>
      <c r="S246" s="11">
        <v>0.17499999999999999</v>
      </c>
      <c r="T246" s="22">
        <f>IF('Dashboard Visualization'!$U$1="",$S246,IF(S246&gt;'Dashboard Visualization'!$U$1,'Dashboard Visualization'!$U$1,S246))</f>
        <v>0.17499999999999999</v>
      </c>
      <c r="U246" s="20">
        <f t="shared" si="35"/>
        <v>10105.1577</v>
      </c>
      <c r="V246" s="20">
        <f t="shared" si="36"/>
        <v>-6111.4822999999997</v>
      </c>
      <c r="W246" s="22">
        <f t="shared" si="32"/>
        <v>0</v>
      </c>
      <c r="X246" s="28" t="str">
        <f>TEXT(B246,"MMM-YYYY")</f>
        <v>Apr-2023</v>
      </c>
      <c r="Y246" s="7" t="str">
        <f t="shared" si="37"/>
        <v>Q2-2023</v>
      </c>
      <c r="Z246" s="7" t="str">
        <f t="shared" si="38"/>
        <v>High Price</v>
      </c>
      <c r="AA246" s="7" t="str">
        <f t="shared" si="39"/>
        <v>Q2</v>
      </c>
      <c r="AB246" s="28" t="str">
        <f t="shared" si="40"/>
        <v>Apr</v>
      </c>
      <c r="AC246" s="28" t="str">
        <f t="shared" si="41"/>
        <v>2023</v>
      </c>
    </row>
    <row r="247" spans="1:29" x14ac:dyDescent="0.25">
      <c r="A247" s="4" t="s">
        <v>259</v>
      </c>
      <c r="B247" s="14">
        <v>45357</v>
      </c>
      <c r="C247" s="14">
        <v>45377</v>
      </c>
      <c r="D247" s="16">
        <f t="shared" si="33"/>
        <v>20</v>
      </c>
      <c r="E247" s="4" t="s">
        <v>646</v>
      </c>
      <c r="F247" s="4" t="s">
        <v>651</v>
      </c>
      <c r="G247" s="4" t="s">
        <v>663</v>
      </c>
      <c r="H247" s="4" t="s">
        <v>704</v>
      </c>
      <c r="I247" s="4" t="s">
        <v>709</v>
      </c>
      <c r="J247" s="4" t="s">
        <v>714</v>
      </c>
      <c r="K247" s="4" t="s">
        <v>730</v>
      </c>
      <c r="L247" s="4" t="s">
        <v>979</v>
      </c>
      <c r="M247" s="9">
        <v>23</v>
      </c>
      <c r="N247" s="16">
        <f>ROUND(IF('Dashboard Visualization'!$U$3="",'Working Data'!$M247,'Working Data'!$M247*(100% +'Dashboard Visualization'!$U$3)),0)</f>
        <v>23</v>
      </c>
      <c r="O247" s="19">
        <v>65.64</v>
      </c>
      <c r="P247" s="20">
        <f>IF('Dashboard Visualization'!$U$2="",'Working Data'!$O247*'Working Data'!$N247,'Working Data'!$O247*'Working Data'!$N247*(100%+'Dashboard Visualization'!$U$2))</f>
        <v>1509.72</v>
      </c>
      <c r="Q247" s="19">
        <v>151.88</v>
      </c>
      <c r="R247" s="20">
        <f t="shared" si="34"/>
        <v>126.51603999999999</v>
      </c>
      <c r="S247" s="11">
        <v>0.16700000000000001</v>
      </c>
      <c r="T247" s="22">
        <f>IF('Dashboard Visualization'!$U$1="",$S247,IF(S247&gt;'Dashboard Visualization'!$U$1,'Dashboard Visualization'!$U$1,S247))</f>
        <v>0.16700000000000001</v>
      </c>
      <c r="U247" s="20">
        <f t="shared" si="35"/>
        <v>2423.9208103599995</v>
      </c>
      <c r="V247" s="20">
        <f t="shared" si="36"/>
        <v>914.20081035999942</v>
      </c>
      <c r="W247" s="22">
        <f t="shared" si="32"/>
        <v>0.37715787019635466</v>
      </c>
      <c r="X247" s="28" t="str">
        <f>TEXT(B247,"MMM-YYYY")</f>
        <v>Mar-2024</v>
      </c>
      <c r="Y247" s="7" t="str">
        <f t="shared" si="37"/>
        <v>Q1-2024</v>
      </c>
      <c r="Z247" s="7" t="str">
        <f t="shared" si="38"/>
        <v>Low Price</v>
      </c>
      <c r="AA247" s="7" t="str">
        <f t="shared" si="39"/>
        <v>Q1</v>
      </c>
      <c r="AB247" s="28" t="str">
        <f t="shared" si="40"/>
        <v>Mar</v>
      </c>
      <c r="AC247" s="28" t="str">
        <f t="shared" si="41"/>
        <v>2024</v>
      </c>
    </row>
    <row r="248" spans="1:29" x14ac:dyDescent="0.25">
      <c r="A248" s="4" t="s">
        <v>260</v>
      </c>
      <c r="B248" s="14">
        <v>45338</v>
      </c>
      <c r="C248" s="14">
        <v>45355</v>
      </c>
      <c r="D248" s="16">
        <f t="shared" si="33"/>
        <v>17</v>
      </c>
      <c r="E248" s="4" t="s">
        <v>648</v>
      </c>
      <c r="F248" s="4" t="s">
        <v>653</v>
      </c>
      <c r="G248" s="4" t="s">
        <v>681</v>
      </c>
      <c r="H248" s="4" t="s">
        <v>703</v>
      </c>
      <c r="I248" s="4" t="s">
        <v>707</v>
      </c>
      <c r="J248" s="4" t="s">
        <v>726</v>
      </c>
      <c r="K248" s="4" t="s">
        <v>731</v>
      </c>
      <c r="L248" s="4" t="s">
        <v>980</v>
      </c>
      <c r="M248" s="9">
        <v>6</v>
      </c>
      <c r="N248" s="16">
        <f>ROUND(IF('Dashboard Visualization'!$U$3="",'Working Data'!$M248,'Working Data'!$M248*(100% +'Dashboard Visualization'!$U$3)),0)</f>
        <v>6</v>
      </c>
      <c r="O248" s="19">
        <v>1350.98</v>
      </c>
      <c r="P248" s="20">
        <f>IF('Dashboard Visualization'!$U$2="",'Working Data'!$O248*'Working Data'!$N248,'Working Data'!$O248*'Working Data'!$N248*(100%+'Dashboard Visualization'!$U$2))</f>
        <v>8105.88</v>
      </c>
      <c r="Q248" s="19">
        <v>2210.4</v>
      </c>
      <c r="R248" s="20">
        <f t="shared" si="34"/>
        <v>1629.0648000000001</v>
      </c>
      <c r="S248" s="11">
        <v>0.26300000000000001</v>
      </c>
      <c r="T248" s="22">
        <f>IF('Dashboard Visualization'!$U$1="",$S248,IF(S248&gt;'Dashboard Visualization'!$U$1,'Dashboard Visualization'!$U$1,S248))</f>
        <v>0.26300000000000001</v>
      </c>
      <c r="U248" s="20">
        <f t="shared" si="35"/>
        <v>7203.724545600001</v>
      </c>
      <c r="V248" s="20">
        <f t="shared" si="36"/>
        <v>-902.15545439999914</v>
      </c>
      <c r="W248" s="22">
        <f t="shared" si="32"/>
        <v>0</v>
      </c>
      <c r="X248" s="28" t="str">
        <f>TEXT(B248,"MMM-YYYY")</f>
        <v>Feb-2024</v>
      </c>
      <c r="Y248" s="7" t="str">
        <f t="shared" si="37"/>
        <v>Q1-2024</v>
      </c>
      <c r="Z248" s="7" t="str">
        <f t="shared" si="38"/>
        <v>High Price</v>
      </c>
      <c r="AA248" s="7" t="str">
        <f t="shared" si="39"/>
        <v>Q1</v>
      </c>
      <c r="AB248" s="28" t="str">
        <f t="shared" si="40"/>
        <v>Feb</v>
      </c>
      <c r="AC248" s="28" t="str">
        <f t="shared" si="41"/>
        <v>2024</v>
      </c>
    </row>
    <row r="249" spans="1:29" x14ac:dyDescent="0.25">
      <c r="A249" s="4" t="s">
        <v>261</v>
      </c>
      <c r="B249" s="14">
        <v>45769</v>
      </c>
      <c r="C249" s="14">
        <v>45779</v>
      </c>
      <c r="D249" s="16">
        <f t="shared" si="33"/>
        <v>10</v>
      </c>
      <c r="E249" s="4" t="s">
        <v>649</v>
      </c>
      <c r="F249" s="4" t="s">
        <v>656</v>
      </c>
      <c r="G249" s="4" t="s">
        <v>671</v>
      </c>
      <c r="H249" s="4" t="s">
        <v>701</v>
      </c>
      <c r="I249" s="4" t="s">
        <v>709</v>
      </c>
      <c r="J249" s="4" t="s">
        <v>712</v>
      </c>
      <c r="K249" s="4" t="s">
        <v>732</v>
      </c>
      <c r="L249" s="4" t="s">
        <v>981</v>
      </c>
      <c r="M249" s="9">
        <v>18</v>
      </c>
      <c r="N249" s="16">
        <f>ROUND(IF('Dashboard Visualization'!$U$3="",'Working Data'!$M249,'Working Data'!$M249*(100% +'Dashboard Visualization'!$U$3)),0)</f>
        <v>18</v>
      </c>
      <c r="O249" s="19">
        <v>20.149999999999999</v>
      </c>
      <c r="P249" s="20">
        <f>IF('Dashboard Visualization'!$U$2="",'Working Data'!$O249*'Working Data'!$N249,'Working Data'!$O249*'Working Data'!$N249*(100%+'Dashboard Visualization'!$U$2))</f>
        <v>362.7</v>
      </c>
      <c r="Q249" s="19">
        <v>39.74</v>
      </c>
      <c r="R249" s="20">
        <f t="shared" si="34"/>
        <v>33.739260000000002</v>
      </c>
      <c r="S249" s="11">
        <v>0.151</v>
      </c>
      <c r="T249" s="22">
        <f>IF('Dashboard Visualization'!$U$1="",$S249,IF(S249&gt;'Dashboard Visualization'!$U$1,'Dashboard Visualization'!$U$1,S249))</f>
        <v>0.151</v>
      </c>
      <c r="U249" s="20">
        <f t="shared" si="35"/>
        <v>515.60337132000006</v>
      </c>
      <c r="V249" s="20">
        <f t="shared" si="36"/>
        <v>152.90337132000008</v>
      </c>
      <c r="W249" s="22">
        <f t="shared" si="32"/>
        <v>0.29655231099158835</v>
      </c>
      <c r="X249" s="28" t="str">
        <f>TEXT(B249,"MMM-YYYY")</f>
        <v>Apr-2025</v>
      </c>
      <c r="Y249" s="7" t="str">
        <f t="shared" si="37"/>
        <v>Q2-2025</v>
      </c>
      <c r="Z249" s="7" t="str">
        <f t="shared" si="38"/>
        <v>Low Price</v>
      </c>
      <c r="AA249" s="7" t="str">
        <f t="shared" si="39"/>
        <v>Q2</v>
      </c>
      <c r="AB249" s="28" t="str">
        <f t="shared" si="40"/>
        <v>Apr</v>
      </c>
      <c r="AC249" s="28" t="str">
        <f t="shared" si="41"/>
        <v>2025</v>
      </c>
    </row>
    <row r="250" spans="1:29" x14ac:dyDescent="0.25">
      <c r="A250" s="4" t="s">
        <v>262</v>
      </c>
      <c r="B250" s="14">
        <v>45604</v>
      </c>
      <c r="C250" s="14">
        <v>45604</v>
      </c>
      <c r="D250" s="16">
        <f t="shared" si="33"/>
        <v>0</v>
      </c>
      <c r="E250" s="4" t="s">
        <v>646</v>
      </c>
      <c r="F250" s="4" t="s">
        <v>650</v>
      </c>
      <c r="G250" s="4" t="s">
        <v>678</v>
      </c>
      <c r="H250" s="4" t="s">
        <v>706</v>
      </c>
      <c r="I250" s="4" t="s">
        <v>709</v>
      </c>
      <c r="J250" s="4" t="s">
        <v>724</v>
      </c>
      <c r="K250" s="4" t="s">
        <v>729</v>
      </c>
      <c r="L250" s="4" t="s">
        <v>982</v>
      </c>
      <c r="M250" s="9">
        <v>4</v>
      </c>
      <c r="N250" s="16">
        <f>ROUND(IF('Dashboard Visualization'!$U$3="",'Working Data'!$M250,'Working Data'!$M250*(100% +'Dashboard Visualization'!$U$3)),0)</f>
        <v>4</v>
      </c>
      <c r="O250" s="19">
        <v>803.28</v>
      </c>
      <c r="P250" s="20">
        <f>IF('Dashboard Visualization'!$U$2="",'Working Data'!$O250*'Working Data'!$N250,'Working Data'!$O250*'Working Data'!$N250*(100%+'Dashboard Visualization'!$U$2))</f>
        <v>3213.12</v>
      </c>
      <c r="Q250" s="19">
        <v>1009</v>
      </c>
      <c r="R250" s="20">
        <f t="shared" si="34"/>
        <v>898.01</v>
      </c>
      <c r="S250" s="11">
        <v>0.11</v>
      </c>
      <c r="T250" s="22">
        <f>IF('Dashboard Visualization'!$U$1="",$S250,IF(S250&gt;'Dashboard Visualization'!$U$1,'Dashboard Visualization'!$U$1,S250))</f>
        <v>0.11</v>
      </c>
      <c r="U250" s="20">
        <f t="shared" si="35"/>
        <v>3196.9155999999998</v>
      </c>
      <c r="V250" s="20">
        <f t="shared" si="36"/>
        <v>-16.204400000000078</v>
      </c>
      <c r="W250" s="22">
        <f t="shared" si="32"/>
        <v>0</v>
      </c>
      <c r="X250" s="28" t="str">
        <f>TEXT(B250,"MMM-YYYY")</f>
        <v>Nov-2024</v>
      </c>
      <c r="Y250" s="7" t="str">
        <f t="shared" si="37"/>
        <v>Q4-2024</v>
      </c>
      <c r="Z250" s="7" t="str">
        <f t="shared" si="38"/>
        <v>High Price</v>
      </c>
      <c r="AA250" s="7" t="str">
        <f t="shared" si="39"/>
        <v>Q4</v>
      </c>
      <c r="AB250" s="28" t="str">
        <f t="shared" si="40"/>
        <v>Nov</v>
      </c>
      <c r="AC250" s="28" t="str">
        <f t="shared" si="41"/>
        <v>2024</v>
      </c>
    </row>
    <row r="251" spans="1:29" x14ac:dyDescent="0.25">
      <c r="A251" s="4" t="s">
        <v>263</v>
      </c>
      <c r="B251" s="14">
        <v>45912</v>
      </c>
      <c r="C251" s="14">
        <v>45930</v>
      </c>
      <c r="D251" s="16">
        <f t="shared" si="33"/>
        <v>18</v>
      </c>
      <c r="E251" s="4" t="s">
        <v>647</v>
      </c>
      <c r="F251" s="4" t="s">
        <v>652</v>
      </c>
      <c r="G251" s="4" t="s">
        <v>694</v>
      </c>
      <c r="H251" s="4" t="s">
        <v>703</v>
      </c>
      <c r="I251" s="4" t="s">
        <v>709</v>
      </c>
      <c r="J251" s="4" t="s">
        <v>721</v>
      </c>
      <c r="K251" s="4" t="s">
        <v>732</v>
      </c>
      <c r="L251" s="4" t="s">
        <v>983</v>
      </c>
      <c r="M251" s="9">
        <v>8</v>
      </c>
      <c r="N251" s="16">
        <f>ROUND(IF('Dashboard Visualization'!$U$3="",'Working Data'!$M251,'Working Data'!$M251*(100% +'Dashboard Visualization'!$U$3)),0)</f>
        <v>8</v>
      </c>
      <c r="O251" s="19">
        <v>1212.99</v>
      </c>
      <c r="P251" s="20">
        <f>IF('Dashboard Visualization'!$U$2="",'Working Data'!$O251*'Working Data'!$N251,'Working Data'!$O251*'Working Data'!$N251*(100%+'Dashboard Visualization'!$U$2))</f>
        <v>9703.92</v>
      </c>
      <c r="Q251" s="19">
        <v>1653.64</v>
      </c>
      <c r="R251" s="20">
        <f t="shared" si="34"/>
        <v>1476.7005200000001</v>
      </c>
      <c r="S251" s="11">
        <v>0.107</v>
      </c>
      <c r="T251" s="22">
        <f>IF('Dashboard Visualization'!$U$1="",$S251,IF(S251&gt;'Dashboard Visualization'!$U$1,'Dashboard Visualization'!$U$1,S251))</f>
        <v>0.107</v>
      </c>
      <c r="U251" s="20">
        <f t="shared" si="35"/>
        <v>10549.548514880002</v>
      </c>
      <c r="V251" s="20">
        <f t="shared" si="36"/>
        <v>845.6285148800016</v>
      </c>
      <c r="W251" s="22">
        <f t="shared" si="32"/>
        <v>8.0157791936522546E-2</v>
      </c>
      <c r="X251" s="28" t="str">
        <f>TEXT(B251,"MMM-YYYY")</f>
        <v>Sep-2025</v>
      </c>
      <c r="Y251" s="7" t="str">
        <f t="shared" si="37"/>
        <v>Q3-2025</v>
      </c>
      <c r="Z251" s="7" t="str">
        <f t="shared" si="38"/>
        <v>High Price</v>
      </c>
      <c r="AA251" s="7" t="str">
        <f t="shared" si="39"/>
        <v>Q3</v>
      </c>
      <c r="AB251" s="28" t="str">
        <f t="shared" si="40"/>
        <v>Sep</v>
      </c>
      <c r="AC251" s="28" t="str">
        <f t="shared" si="41"/>
        <v>2025</v>
      </c>
    </row>
    <row r="252" spans="1:29" x14ac:dyDescent="0.25">
      <c r="A252" s="4" t="s">
        <v>264</v>
      </c>
      <c r="B252" s="14">
        <v>45537</v>
      </c>
      <c r="C252" s="14">
        <v>45543</v>
      </c>
      <c r="D252" s="16">
        <f t="shared" si="33"/>
        <v>6</v>
      </c>
      <c r="E252" s="4" t="s">
        <v>648</v>
      </c>
      <c r="F252" s="4" t="s">
        <v>660</v>
      </c>
      <c r="G252" s="4" t="s">
        <v>697</v>
      </c>
      <c r="H252" s="4" t="s">
        <v>704</v>
      </c>
      <c r="I252" s="4" t="s">
        <v>711</v>
      </c>
      <c r="J252" s="4" t="s">
        <v>722</v>
      </c>
      <c r="K252" s="4" t="s">
        <v>727</v>
      </c>
      <c r="L252" s="4" t="s">
        <v>984</v>
      </c>
      <c r="M252" s="9">
        <v>14</v>
      </c>
      <c r="N252" s="16">
        <f>ROUND(IF('Dashboard Visualization'!$U$3="",'Working Data'!$M252,'Working Data'!$M252*(100% +'Dashboard Visualization'!$U$3)),0)</f>
        <v>14</v>
      </c>
      <c r="O252" s="19">
        <v>462.94</v>
      </c>
      <c r="P252" s="20">
        <f>IF('Dashboard Visualization'!$U$2="",'Working Data'!$O252*'Working Data'!$N252,'Working Data'!$O252*'Working Data'!$N252*(100%+'Dashboard Visualization'!$U$2))</f>
        <v>6481.16</v>
      </c>
      <c r="Q252" s="19">
        <v>1015.7</v>
      </c>
      <c r="R252" s="20">
        <f t="shared" si="34"/>
        <v>870.45490000000007</v>
      </c>
      <c r="S252" s="11">
        <v>0.14299999999999999</v>
      </c>
      <c r="T252" s="22">
        <f>IF('Dashboard Visualization'!$U$1="",$S252,IF(S252&gt;'Dashboard Visualization'!$U$1,'Dashboard Visualization'!$U$1,S252))</f>
        <v>0.14299999999999999</v>
      </c>
      <c r="U252" s="20">
        <f t="shared" si="35"/>
        <v>10443.717890200001</v>
      </c>
      <c r="V252" s="20">
        <f t="shared" si="36"/>
        <v>3962.5578902000016</v>
      </c>
      <c r="W252" s="22">
        <f t="shared" si="32"/>
        <v>0.37942023442804018</v>
      </c>
      <c r="X252" s="28" t="str">
        <f>TEXT(B252,"MMM-YYYY")</f>
        <v>Sep-2024</v>
      </c>
      <c r="Y252" s="7" t="str">
        <f t="shared" si="37"/>
        <v>Q3-2024</v>
      </c>
      <c r="Z252" s="7" t="str">
        <f t="shared" si="38"/>
        <v>High Price</v>
      </c>
      <c r="AA252" s="7" t="str">
        <f t="shared" si="39"/>
        <v>Q3</v>
      </c>
      <c r="AB252" s="28" t="str">
        <f t="shared" si="40"/>
        <v>Sep</v>
      </c>
      <c r="AC252" s="28" t="str">
        <f t="shared" si="41"/>
        <v>2024</v>
      </c>
    </row>
    <row r="253" spans="1:29" x14ac:dyDescent="0.25">
      <c r="A253" s="4" t="s">
        <v>265</v>
      </c>
      <c r="B253" s="14">
        <v>44989</v>
      </c>
      <c r="C253" s="14">
        <v>45009</v>
      </c>
      <c r="D253" s="16">
        <f t="shared" si="33"/>
        <v>20</v>
      </c>
      <c r="E253" s="4" t="s">
        <v>648</v>
      </c>
      <c r="F253" s="4" t="s">
        <v>653</v>
      </c>
      <c r="G253" s="4" t="s">
        <v>681</v>
      </c>
      <c r="H253" s="4" t="s">
        <v>704</v>
      </c>
      <c r="I253" s="4" t="s">
        <v>710</v>
      </c>
      <c r="J253" s="4" t="s">
        <v>714</v>
      </c>
      <c r="K253" s="4" t="s">
        <v>731</v>
      </c>
      <c r="L253" s="4" t="s">
        <v>985</v>
      </c>
      <c r="M253" s="9">
        <v>24</v>
      </c>
      <c r="N253" s="16">
        <f>ROUND(IF('Dashboard Visualization'!$U$3="",'Working Data'!$M253,'Working Data'!$M253*(100% +'Dashboard Visualization'!$U$3)),0)</f>
        <v>24</v>
      </c>
      <c r="O253" s="19">
        <v>481.71</v>
      </c>
      <c r="P253" s="20">
        <f>IF('Dashboard Visualization'!$U$2="",'Working Data'!$O253*'Working Data'!$N253,'Working Data'!$O253*'Working Data'!$N253*(100%+'Dashboard Visualization'!$U$2))</f>
        <v>11561.039999999999</v>
      </c>
      <c r="Q253" s="19">
        <v>912.45</v>
      </c>
      <c r="R253" s="20">
        <f t="shared" si="34"/>
        <v>727.22264999999993</v>
      </c>
      <c r="S253" s="11">
        <v>0.20300000000000001</v>
      </c>
      <c r="T253" s="22">
        <f>IF('Dashboard Visualization'!$U$1="",$S253,IF(S253&gt;'Dashboard Visualization'!$U$1,'Dashboard Visualization'!$U$1,S253))</f>
        <v>0.20300000000000001</v>
      </c>
      <c r="U253" s="20">
        <f t="shared" si="35"/>
        <v>13910.314849199998</v>
      </c>
      <c r="V253" s="20">
        <f t="shared" si="36"/>
        <v>2349.2748491999992</v>
      </c>
      <c r="W253" s="22">
        <f t="shared" si="32"/>
        <v>0.16888725199020993</v>
      </c>
      <c r="X253" s="28" t="str">
        <f>TEXT(B253,"MMM-YYYY")</f>
        <v>Mar-2023</v>
      </c>
      <c r="Y253" s="7" t="str">
        <f t="shared" si="37"/>
        <v>Q1-2023</v>
      </c>
      <c r="Z253" s="7" t="str">
        <f t="shared" si="38"/>
        <v>High Price</v>
      </c>
      <c r="AA253" s="7" t="str">
        <f t="shared" si="39"/>
        <v>Q1</v>
      </c>
      <c r="AB253" s="28" t="str">
        <f t="shared" si="40"/>
        <v>Mar</v>
      </c>
      <c r="AC253" s="28" t="str">
        <f t="shared" si="41"/>
        <v>2023</v>
      </c>
    </row>
    <row r="254" spans="1:29" x14ac:dyDescent="0.25">
      <c r="A254" s="4" t="s">
        <v>266</v>
      </c>
      <c r="B254" s="14">
        <v>45366</v>
      </c>
      <c r="C254" s="14">
        <v>45391</v>
      </c>
      <c r="D254" s="16">
        <f t="shared" si="33"/>
        <v>25</v>
      </c>
      <c r="E254" s="4" t="s">
        <v>648</v>
      </c>
      <c r="F254" s="4" t="s">
        <v>653</v>
      </c>
      <c r="G254" s="4" t="s">
        <v>688</v>
      </c>
      <c r="H254" s="4" t="s">
        <v>704</v>
      </c>
      <c r="I254" s="4" t="s">
        <v>708</v>
      </c>
      <c r="J254" s="4" t="s">
        <v>721</v>
      </c>
      <c r="K254" s="4" t="s">
        <v>732</v>
      </c>
      <c r="L254" s="4" t="s">
        <v>986</v>
      </c>
      <c r="M254" s="9">
        <v>28</v>
      </c>
      <c r="N254" s="16">
        <f>ROUND(IF('Dashboard Visualization'!$U$3="",'Working Data'!$M254,'Working Data'!$M254*(100% +'Dashboard Visualization'!$U$3)),0)</f>
        <v>28</v>
      </c>
      <c r="O254" s="19">
        <v>648.64</v>
      </c>
      <c r="P254" s="20">
        <f>IF('Dashboard Visualization'!$U$2="",'Working Data'!$O254*'Working Data'!$N254,'Working Data'!$O254*'Working Data'!$N254*(100%+'Dashboard Visualization'!$U$2))</f>
        <v>18161.919999999998</v>
      </c>
      <c r="Q254" s="19">
        <v>815.19</v>
      </c>
      <c r="R254" s="20">
        <f t="shared" si="34"/>
        <v>631.7722500000001</v>
      </c>
      <c r="S254" s="11">
        <v>0.22500000000000001</v>
      </c>
      <c r="T254" s="22">
        <f>IF('Dashboard Visualization'!$U$1="",$S254,IF(S254&gt;'Dashboard Visualization'!$U$1,'Dashboard Visualization'!$U$1,S254))</f>
        <v>0.22500000000000001</v>
      </c>
      <c r="U254" s="20">
        <f t="shared" si="35"/>
        <v>13709.457825000001</v>
      </c>
      <c r="V254" s="20">
        <f t="shared" si="36"/>
        <v>-4452.4621749999969</v>
      </c>
      <c r="W254" s="22">
        <f t="shared" si="32"/>
        <v>0</v>
      </c>
      <c r="X254" s="28" t="str">
        <f>TEXT(B254,"MMM-YYYY")</f>
        <v>Mar-2024</v>
      </c>
      <c r="Y254" s="7" t="str">
        <f t="shared" si="37"/>
        <v>Q1-2024</v>
      </c>
      <c r="Z254" s="7" t="str">
        <f t="shared" si="38"/>
        <v>High Price</v>
      </c>
      <c r="AA254" s="7" t="str">
        <f t="shared" si="39"/>
        <v>Q1</v>
      </c>
      <c r="AB254" s="28" t="str">
        <f t="shared" si="40"/>
        <v>Mar</v>
      </c>
      <c r="AC254" s="28" t="str">
        <f t="shared" si="41"/>
        <v>2024</v>
      </c>
    </row>
    <row r="255" spans="1:29" x14ac:dyDescent="0.25">
      <c r="A255" s="4" t="s">
        <v>267</v>
      </c>
      <c r="B255" s="14">
        <v>45502</v>
      </c>
      <c r="C255" s="14">
        <v>45504</v>
      </c>
      <c r="D255" s="16">
        <f t="shared" si="33"/>
        <v>2</v>
      </c>
      <c r="E255" s="4" t="s">
        <v>648</v>
      </c>
      <c r="F255" s="4" t="s">
        <v>660</v>
      </c>
      <c r="G255" s="4" t="s">
        <v>700</v>
      </c>
      <c r="H255" s="4" t="s">
        <v>702</v>
      </c>
      <c r="I255" s="4" t="s">
        <v>709</v>
      </c>
      <c r="J255" s="4" t="s">
        <v>714</v>
      </c>
      <c r="K255" s="4" t="s">
        <v>728</v>
      </c>
      <c r="L255" s="4" t="s">
        <v>987</v>
      </c>
      <c r="M255" s="9">
        <v>16</v>
      </c>
      <c r="N255" s="16">
        <f>ROUND(IF('Dashboard Visualization'!$U$3="",'Working Data'!$M255,'Working Data'!$M255*(100% +'Dashboard Visualization'!$U$3)),0)</f>
        <v>16</v>
      </c>
      <c r="O255" s="19">
        <v>798.97</v>
      </c>
      <c r="P255" s="20">
        <f>IF('Dashboard Visualization'!$U$2="",'Working Data'!$O255*'Working Data'!$N255,'Working Data'!$O255*'Working Data'!$N255*(100%+'Dashboard Visualization'!$U$2))</f>
        <v>12783.52</v>
      </c>
      <c r="Q255" s="19">
        <v>1814.06</v>
      </c>
      <c r="R255" s="20">
        <f t="shared" si="34"/>
        <v>1592.74468</v>
      </c>
      <c r="S255" s="11">
        <v>0.122</v>
      </c>
      <c r="T255" s="22">
        <f>IF('Dashboard Visualization'!$U$1="",$S255,IF(S255&gt;'Dashboard Visualization'!$U$1,'Dashboard Visualization'!$U$1,S255))</f>
        <v>0.122</v>
      </c>
      <c r="U255" s="20">
        <f t="shared" si="35"/>
        <v>22374.877264639999</v>
      </c>
      <c r="V255" s="20">
        <f t="shared" si="36"/>
        <v>9591.3572646399989</v>
      </c>
      <c r="W255" s="22">
        <f t="shared" si="32"/>
        <v>0.42866636322504625</v>
      </c>
      <c r="X255" s="28" t="str">
        <f>TEXT(B255,"MMM-YYYY")</f>
        <v>Jul-2024</v>
      </c>
      <c r="Y255" s="7" t="str">
        <f t="shared" si="37"/>
        <v>Q3-2024</v>
      </c>
      <c r="Z255" s="7" t="str">
        <f t="shared" si="38"/>
        <v>High Price</v>
      </c>
      <c r="AA255" s="7" t="str">
        <f t="shared" si="39"/>
        <v>Q3</v>
      </c>
      <c r="AB255" s="28" t="str">
        <f t="shared" si="40"/>
        <v>Jul</v>
      </c>
      <c r="AC255" s="28" t="str">
        <f t="shared" si="41"/>
        <v>2024</v>
      </c>
    </row>
    <row r="256" spans="1:29" x14ac:dyDescent="0.25">
      <c r="A256" s="4" t="s">
        <v>268</v>
      </c>
      <c r="B256" s="14">
        <v>45592</v>
      </c>
      <c r="C256" s="14">
        <v>45616</v>
      </c>
      <c r="D256" s="16">
        <f t="shared" si="33"/>
        <v>24</v>
      </c>
      <c r="E256" s="4" t="s">
        <v>647</v>
      </c>
      <c r="F256" s="4" t="s">
        <v>652</v>
      </c>
      <c r="G256" s="4" t="s">
        <v>694</v>
      </c>
      <c r="H256" s="4" t="s">
        <v>703</v>
      </c>
      <c r="I256" s="4" t="s">
        <v>708</v>
      </c>
      <c r="J256" s="4" t="s">
        <v>722</v>
      </c>
      <c r="K256" s="4" t="s">
        <v>732</v>
      </c>
      <c r="L256" s="4" t="s">
        <v>988</v>
      </c>
      <c r="M256" s="9">
        <v>9</v>
      </c>
      <c r="N256" s="16">
        <f>ROUND(IF('Dashboard Visualization'!$U$3="",'Working Data'!$M256,'Working Data'!$M256*(100% +'Dashboard Visualization'!$U$3)),0)</f>
        <v>9</v>
      </c>
      <c r="O256" s="19">
        <v>317.25</v>
      </c>
      <c r="P256" s="20">
        <f>IF('Dashboard Visualization'!$U$2="",'Working Data'!$O256*'Working Data'!$N256,'Working Data'!$O256*'Working Data'!$N256*(100%+'Dashboard Visualization'!$U$2))</f>
        <v>2855.25</v>
      </c>
      <c r="Q256" s="19">
        <v>758.92</v>
      </c>
      <c r="R256" s="20">
        <f t="shared" si="34"/>
        <v>718.69723999999997</v>
      </c>
      <c r="S256" s="11">
        <v>5.2999999999999999E-2</v>
      </c>
      <c r="T256" s="22">
        <f>IF('Dashboard Visualization'!$U$1="",$S256,IF(S256&gt;'Dashboard Visualization'!$U$1,'Dashboard Visualization'!$U$1,S256))</f>
        <v>5.2999999999999999E-2</v>
      </c>
      <c r="U256" s="20">
        <f t="shared" si="35"/>
        <v>6125.4565765199995</v>
      </c>
      <c r="V256" s="20">
        <f t="shared" si="36"/>
        <v>3270.2065765199995</v>
      </c>
      <c r="W256" s="22">
        <f t="shared" si="32"/>
        <v>0.53387148136112861</v>
      </c>
      <c r="X256" s="28" t="str">
        <f>TEXT(B256,"MMM-YYYY")</f>
        <v>Oct-2024</v>
      </c>
      <c r="Y256" s="7" t="str">
        <f t="shared" si="37"/>
        <v>Q4-2024</v>
      </c>
      <c r="Z256" s="7" t="str">
        <f t="shared" si="38"/>
        <v>High Price</v>
      </c>
      <c r="AA256" s="7" t="str">
        <f t="shared" si="39"/>
        <v>Q4</v>
      </c>
      <c r="AB256" s="28" t="str">
        <f t="shared" si="40"/>
        <v>Oct</v>
      </c>
      <c r="AC256" s="28" t="str">
        <f t="shared" si="41"/>
        <v>2024</v>
      </c>
    </row>
    <row r="257" spans="1:29" x14ac:dyDescent="0.25">
      <c r="A257" s="4" t="s">
        <v>269</v>
      </c>
      <c r="B257" s="14">
        <v>45411</v>
      </c>
      <c r="C257" s="14">
        <v>45431</v>
      </c>
      <c r="D257" s="16">
        <f t="shared" si="33"/>
        <v>20</v>
      </c>
      <c r="E257" s="4" t="s">
        <v>649</v>
      </c>
      <c r="F257" s="4" t="s">
        <v>656</v>
      </c>
      <c r="G257" s="4" t="s">
        <v>698</v>
      </c>
      <c r="H257" s="4" t="s">
        <v>706</v>
      </c>
      <c r="I257" s="4" t="s">
        <v>709</v>
      </c>
      <c r="J257" s="4" t="s">
        <v>712</v>
      </c>
      <c r="K257" s="4" t="s">
        <v>731</v>
      </c>
      <c r="L257" s="4" t="s">
        <v>989</v>
      </c>
      <c r="M257" s="9">
        <v>15</v>
      </c>
      <c r="N257" s="16">
        <f>ROUND(IF('Dashboard Visualization'!$U$3="",'Working Data'!$M257,'Working Data'!$M257*(100% +'Dashboard Visualization'!$U$3)),0)</f>
        <v>15</v>
      </c>
      <c r="O257" s="19">
        <v>668.97</v>
      </c>
      <c r="P257" s="20">
        <f>IF('Dashboard Visualization'!$U$2="",'Working Data'!$O257*'Working Data'!$N257,'Working Data'!$O257*'Working Data'!$N257*(100%+'Dashboard Visualization'!$U$2))</f>
        <v>10034.550000000001</v>
      </c>
      <c r="Q257" s="19">
        <v>1667.44</v>
      </c>
      <c r="R257" s="20">
        <f t="shared" si="34"/>
        <v>1610.74704</v>
      </c>
      <c r="S257" s="11">
        <v>3.4000000000000002E-2</v>
      </c>
      <c r="T257" s="22">
        <f>IF('Dashboard Visualization'!$U$1="",$S257,IF(S257&gt;'Dashboard Visualization'!$U$1,'Dashboard Visualization'!$U$1,S257))</f>
        <v>3.4000000000000002E-2</v>
      </c>
      <c r="U257" s="20">
        <f t="shared" si="35"/>
        <v>23339.724609600002</v>
      </c>
      <c r="V257" s="20">
        <f t="shared" si="36"/>
        <v>13305.174609600001</v>
      </c>
      <c r="W257" s="22">
        <f t="shared" si="32"/>
        <v>0.57006562125961713</v>
      </c>
      <c r="X257" s="28" t="str">
        <f>TEXT(B257,"MMM-YYYY")</f>
        <v>Apr-2024</v>
      </c>
      <c r="Y257" s="7" t="str">
        <f t="shared" si="37"/>
        <v>Q2-2024</v>
      </c>
      <c r="Z257" s="7" t="str">
        <f t="shared" si="38"/>
        <v>High Price</v>
      </c>
      <c r="AA257" s="7" t="str">
        <f t="shared" si="39"/>
        <v>Q2</v>
      </c>
      <c r="AB257" s="28" t="str">
        <f t="shared" si="40"/>
        <v>Apr</v>
      </c>
      <c r="AC257" s="28" t="str">
        <f t="shared" si="41"/>
        <v>2024</v>
      </c>
    </row>
    <row r="258" spans="1:29" x14ac:dyDescent="0.25">
      <c r="A258" s="4" t="s">
        <v>270</v>
      </c>
      <c r="B258" s="14">
        <v>45204</v>
      </c>
      <c r="C258" s="14">
        <v>45205</v>
      </c>
      <c r="D258" s="16">
        <f t="shared" si="33"/>
        <v>1</v>
      </c>
      <c r="E258" s="4" t="s">
        <v>647</v>
      </c>
      <c r="F258" s="4" t="s">
        <v>654</v>
      </c>
      <c r="G258" s="4" t="s">
        <v>668</v>
      </c>
      <c r="H258" s="4" t="s">
        <v>703</v>
      </c>
      <c r="I258" s="4" t="s">
        <v>708</v>
      </c>
      <c r="J258" s="4" t="s">
        <v>714</v>
      </c>
      <c r="K258" s="4" t="s">
        <v>727</v>
      </c>
      <c r="L258" s="4" t="s">
        <v>990</v>
      </c>
      <c r="M258" s="9">
        <v>9</v>
      </c>
      <c r="N258" s="16">
        <f>ROUND(IF('Dashboard Visualization'!$U$3="",'Working Data'!$M258,'Working Data'!$M258*(100% +'Dashboard Visualization'!$U$3)),0)</f>
        <v>9</v>
      </c>
      <c r="O258" s="19">
        <v>1470.26</v>
      </c>
      <c r="P258" s="20">
        <f>IF('Dashboard Visualization'!$U$2="",'Working Data'!$O258*'Working Data'!$N258,'Working Data'!$O258*'Working Data'!$N258*(100%+'Dashboard Visualization'!$U$2))</f>
        <v>13232.34</v>
      </c>
      <c r="Q258" s="19">
        <v>2562.5500000000002</v>
      </c>
      <c r="R258" s="20">
        <f t="shared" si="34"/>
        <v>2119.22885</v>
      </c>
      <c r="S258" s="11">
        <v>0.17299999999999999</v>
      </c>
      <c r="T258" s="22">
        <f>IF('Dashboard Visualization'!$U$1="",$S258,IF(S258&gt;'Dashboard Visualization'!$U$1,'Dashboard Visualization'!$U$1,S258))</f>
        <v>0.17299999999999999</v>
      </c>
      <c r="U258" s="20">
        <f t="shared" si="35"/>
        <v>15773.420330549998</v>
      </c>
      <c r="V258" s="20">
        <f t="shared" si="36"/>
        <v>2541.0803305499976</v>
      </c>
      <c r="W258" s="22">
        <f t="shared" ref="W258:W321" si="42">IFERROR(IF(V258&lt;=0,0,V258/U258),0)</f>
        <v>0.16109887882898977</v>
      </c>
      <c r="X258" s="28" t="str">
        <f>TEXT(B258,"MMM-YYYY")</f>
        <v>Oct-2023</v>
      </c>
      <c r="Y258" s="7" t="str">
        <f t="shared" si="37"/>
        <v>Q4-2023</v>
      </c>
      <c r="Z258" s="7" t="str">
        <f t="shared" si="38"/>
        <v>Medium Price</v>
      </c>
      <c r="AA258" s="7" t="str">
        <f t="shared" si="39"/>
        <v>Q4</v>
      </c>
      <c r="AB258" s="28" t="str">
        <f t="shared" si="40"/>
        <v>Oct</v>
      </c>
      <c r="AC258" s="28" t="str">
        <f t="shared" si="41"/>
        <v>2023</v>
      </c>
    </row>
    <row r="259" spans="1:29" x14ac:dyDescent="0.25">
      <c r="A259" s="4" t="s">
        <v>271</v>
      </c>
      <c r="B259" s="14">
        <v>45035</v>
      </c>
      <c r="C259" s="14">
        <v>45053</v>
      </c>
      <c r="D259" s="16">
        <f t="shared" ref="D259:D322" si="43">IFERROR(DATEDIF(B259,C259,"D"),"")</f>
        <v>18</v>
      </c>
      <c r="E259" s="4" t="s">
        <v>649</v>
      </c>
      <c r="F259" s="4" t="s">
        <v>658</v>
      </c>
      <c r="G259" s="4" t="s">
        <v>683</v>
      </c>
      <c r="H259" s="4" t="s">
        <v>703</v>
      </c>
      <c r="I259" s="4" t="s">
        <v>711</v>
      </c>
      <c r="J259" s="4" t="s">
        <v>722</v>
      </c>
      <c r="K259" s="4" t="s">
        <v>729</v>
      </c>
      <c r="L259" s="4" t="s">
        <v>991</v>
      </c>
      <c r="M259" s="9">
        <v>4</v>
      </c>
      <c r="N259" s="16">
        <f>ROUND(IF('Dashboard Visualization'!$U$3="",'Working Data'!$M259,'Working Data'!$M259*(100% +'Dashboard Visualization'!$U$3)),0)</f>
        <v>4</v>
      </c>
      <c r="O259" s="19">
        <v>516.96</v>
      </c>
      <c r="P259" s="20">
        <f>IF('Dashboard Visualization'!$U$2="",'Working Data'!$O259*'Working Data'!$N259,'Working Data'!$O259*'Working Data'!$N259*(100%+'Dashboard Visualization'!$U$2))</f>
        <v>2067.84</v>
      </c>
      <c r="Q259" s="19">
        <v>745.38</v>
      </c>
      <c r="R259" s="20">
        <f t="shared" ref="R259:R322" si="44">(1-T259)*Q259</f>
        <v>598.54013999999995</v>
      </c>
      <c r="S259" s="11">
        <v>0.19700000000000001</v>
      </c>
      <c r="T259" s="22">
        <f>IF('Dashboard Visualization'!$U$1="",$S259,IF(S259&gt;'Dashboard Visualization'!$U$1,'Dashboard Visualization'!$U$1,S259))</f>
        <v>0.19700000000000001</v>
      </c>
      <c r="U259" s="20">
        <f t="shared" ref="U259:U322" si="45">IFERROR(R259*(1-T259)*N259,"-")</f>
        <v>1922.5109296799997</v>
      </c>
      <c r="V259" s="20">
        <f t="shared" ref="V259:V322" si="46">IFERROR(U259-P259,"-")</f>
        <v>-145.32907032000048</v>
      </c>
      <c r="W259" s="22">
        <f t="shared" si="42"/>
        <v>0</v>
      </c>
      <c r="X259" s="28" t="str">
        <f>TEXT(B259,"MMM-YYYY")</f>
        <v>Apr-2023</v>
      </c>
      <c r="Y259" s="7" t="str">
        <f t="shared" ref="Y259:Y322" si="47">"Q" &amp; ROUNDUP(MONTH(X259)/3,0) &amp; "-" &amp; TEXT(X259,"YYYY")</f>
        <v>Q2-2023</v>
      </c>
      <c r="Z259" s="7" t="str">
        <f t="shared" ref="Z259:Z322" si="48">IF(R259&lt;QUARTILE(R:R,1), "Low Price", IF(R259&lt;QUARTILE(R:R,3), "High Price", "Medium Price"))</f>
        <v>High Price</v>
      </c>
      <c r="AA259" s="7" t="str">
        <f t="shared" ref="AA259:AA322" si="49">"Q"&amp;ROUNDUP(MONTH(X259)/3,0)</f>
        <v>Q2</v>
      </c>
      <c r="AB259" s="28" t="str">
        <f t="shared" ref="AB259:AB322" si="50">TEXT(X259,"MMM")</f>
        <v>Apr</v>
      </c>
      <c r="AC259" s="28" t="str">
        <f t="shared" ref="AC259:AC322" si="51">TEXT(X259,"YYYY")</f>
        <v>2023</v>
      </c>
    </row>
    <row r="260" spans="1:29" x14ac:dyDescent="0.25">
      <c r="A260" s="4" t="s">
        <v>272</v>
      </c>
      <c r="B260" s="14">
        <v>45835</v>
      </c>
      <c r="C260" s="14">
        <v>45843</v>
      </c>
      <c r="D260" s="16">
        <f t="shared" si="43"/>
        <v>8</v>
      </c>
      <c r="E260" s="4" t="s">
        <v>649</v>
      </c>
      <c r="F260" s="4" t="s">
        <v>656</v>
      </c>
      <c r="G260" s="4" t="s">
        <v>684</v>
      </c>
      <c r="H260" s="4" t="s">
        <v>705</v>
      </c>
      <c r="I260" s="4" t="s">
        <v>711</v>
      </c>
      <c r="J260" s="4" t="s">
        <v>715</v>
      </c>
      <c r="K260" s="4" t="s">
        <v>732</v>
      </c>
      <c r="L260" s="4" t="s">
        <v>992</v>
      </c>
      <c r="M260" s="9">
        <v>8</v>
      </c>
      <c r="N260" s="16">
        <f>ROUND(IF('Dashboard Visualization'!$U$3="",'Working Data'!$M260,'Working Data'!$M260*(100% +'Dashboard Visualization'!$U$3)),0)</f>
        <v>8</v>
      </c>
      <c r="O260" s="19">
        <v>314.93</v>
      </c>
      <c r="P260" s="20">
        <f>IF('Dashboard Visualization'!$U$2="",'Working Data'!$O260*'Working Data'!$N260,'Working Data'!$O260*'Working Data'!$N260*(100%+'Dashboard Visualization'!$U$2))</f>
        <v>2519.44</v>
      </c>
      <c r="Q260" s="19">
        <v>687.95</v>
      </c>
      <c r="R260" s="20">
        <f t="shared" si="44"/>
        <v>546.92025000000001</v>
      </c>
      <c r="S260" s="11">
        <v>0.20499999999999999</v>
      </c>
      <c r="T260" s="22">
        <f>IF('Dashboard Visualization'!$U$1="",$S260,IF(S260&gt;'Dashboard Visualization'!$U$1,'Dashboard Visualization'!$U$1,S260))</f>
        <v>0.20499999999999999</v>
      </c>
      <c r="U260" s="20">
        <f t="shared" si="45"/>
        <v>3478.4127900000003</v>
      </c>
      <c r="V260" s="20">
        <f t="shared" si="46"/>
        <v>958.97279000000026</v>
      </c>
      <c r="W260" s="22">
        <f t="shared" si="42"/>
        <v>0.27569263566329061</v>
      </c>
      <c r="X260" s="28" t="str">
        <f>TEXT(B260,"MMM-YYYY")</f>
        <v>Jun-2025</v>
      </c>
      <c r="Y260" s="7" t="str">
        <f t="shared" si="47"/>
        <v>Q2-2025</v>
      </c>
      <c r="Z260" s="7" t="str">
        <f t="shared" si="48"/>
        <v>High Price</v>
      </c>
      <c r="AA260" s="7" t="str">
        <f t="shared" si="49"/>
        <v>Q2</v>
      </c>
      <c r="AB260" s="28" t="str">
        <f t="shared" si="50"/>
        <v>Jun</v>
      </c>
      <c r="AC260" s="28" t="str">
        <f t="shared" si="51"/>
        <v>2025</v>
      </c>
    </row>
    <row r="261" spans="1:29" x14ac:dyDescent="0.25">
      <c r="A261" s="4" t="s">
        <v>273</v>
      </c>
      <c r="B261" s="14">
        <v>45210</v>
      </c>
      <c r="C261" s="14">
        <v>45212</v>
      </c>
      <c r="D261" s="16">
        <f t="shared" si="43"/>
        <v>2</v>
      </c>
      <c r="E261" s="4" t="s">
        <v>648</v>
      </c>
      <c r="F261" s="4" t="s">
        <v>655</v>
      </c>
      <c r="G261" s="4" t="s">
        <v>672</v>
      </c>
      <c r="H261" s="4" t="s">
        <v>704</v>
      </c>
      <c r="I261" s="4" t="s">
        <v>710</v>
      </c>
      <c r="J261" s="12" t="s">
        <v>1430</v>
      </c>
      <c r="K261" s="4" t="s">
        <v>733</v>
      </c>
      <c r="L261" s="4" t="s">
        <v>993</v>
      </c>
      <c r="M261" s="9">
        <v>16</v>
      </c>
      <c r="N261" s="16">
        <f>ROUND(IF('Dashboard Visualization'!$U$3="",'Working Data'!$M261,'Working Data'!$M261*(100% +'Dashboard Visualization'!$U$3)),0)</f>
        <v>16</v>
      </c>
      <c r="O261" s="19">
        <v>715.94</v>
      </c>
      <c r="P261" s="20">
        <f>IF('Dashboard Visualization'!$U$2="",'Working Data'!$O261*'Working Data'!$N261,'Working Data'!$O261*'Working Data'!$N261*(100%+'Dashboard Visualization'!$U$2))</f>
        <v>11455.04</v>
      </c>
      <c r="Q261" s="19">
        <v>550.07000000000005</v>
      </c>
      <c r="R261" s="20">
        <f t="shared" si="44"/>
        <v>473.06020000000001</v>
      </c>
      <c r="S261" s="11">
        <v>0.14000000000000001</v>
      </c>
      <c r="T261" s="22">
        <f>IF('Dashboard Visualization'!$U$1="",$S261,IF(S261&gt;'Dashboard Visualization'!$U$1,'Dashboard Visualization'!$U$1,S261))</f>
        <v>0.14000000000000001</v>
      </c>
      <c r="U261" s="20">
        <f t="shared" si="45"/>
        <v>6509.308352</v>
      </c>
      <c r="V261" s="20">
        <f t="shared" si="46"/>
        <v>-4945.7316480000009</v>
      </c>
      <c r="W261" s="22">
        <f t="shared" si="42"/>
        <v>0</v>
      </c>
      <c r="X261" s="28" t="str">
        <f>TEXT(B261,"MMM-YYYY")</f>
        <v>Oct-2023</v>
      </c>
      <c r="Y261" s="7" t="str">
        <f t="shared" si="47"/>
        <v>Q4-2023</v>
      </c>
      <c r="Z261" s="7" t="str">
        <f t="shared" si="48"/>
        <v>Low Price</v>
      </c>
      <c r="AA261" s="7" t="str">
        <f t="shared" si="49"/>
        <v>Q4</v>
      </c>
      <c r="AB261" s="28" t="str">
        <f t="shared" si="50"/>
        <v>Oct</v>
      </c>
      <c r="AC261" s="28" t="str">
        <f t="shared" si="51"/>
        <v>2023</v>
      </c>
    </row>
    <row r="262" spans="1:29" x14ac:dyDescent="0.25">
      <c r="A262" s="4" t="s">
        <v>274</v>
      </c>
      <c r="B262" s="14">
        <v>45066</v>
      </c>
      <c r="C262" s="14">
        <v>45084</v>
      </c>
      <c r="D262" s="16">
        <f t="shared" si="43"/>
        <v>18</v>
      </c>
      <c r="E262" s="4" t="s">
        <v>646</v>
      </c>
      <c r="F262" s="4" t="s">
        <v>651</v>
      </c>
      <c r="G262" s="4" t="s">
        <v>663</v>
      </c>
      <c r="H262" s="4" t="s">
        <v>706</v>
      </c>
      <c r="I262" s="4" t="s">
        <v>710</v>
      </c>
      <c r="J262" s="4" t="s">
        <v>718</v>
      </c>
      <c r="K262" s="4" t="s">
        <v>727</v>
      </c>
      <c r="L262" s="4" t="s">
        <v>994</v>
      </c>
      <c r="M262" s="9">
        <v>12</v>
      </c>
      <c r="N262" s="16">
        <f>ROUND(IF('Dashboard Visualization'!$U$3="",'Working Data'!$M262,'Working Data'!$M262*(100% +'Dashboard Visualization'!$U$3)),0)</f>
        <v>12</v>
      </c>
      <c r="O262" s="19">
        <v>1120.06</v>
      </c>
      <c r="P262" s="20">
        <f>IF('Dashboard Visualization'!$U$2="",'Working Data'!$O262*'Working Data'!$N262,'Working Data'!$O262*'Working Data'!$N262*(100%+'Dashboard Visualization'!$U$2))</f>
        <v>13440.72</v>
      </c>
      <c r="Q262" s="19">
        <v>2068.21</v>
      </c>
      <c r="R262" s="20">
        <f t="shared" si="44"/>
        <v>1906.8896200000001</v>
      </c>
      <c r="S262" s="11">
        <v>7.8E-2</v>
      </c>
      <c r="T262" s="22">
        <f>IF('Dashboard Visualization'!$U$1="",$S262,IF(S262&gt;'Dashboard Visualization'!$U$1,'Dashboard Visualization'!$U$1,S262))</f>
        <v>7.8E-2</v>
      </c>
      <c r="U262" s="20">
        <f t="shared" si="45"/>
        <v>21097.826755680006</v>
      </c>
      <c r="V262" s="20">
        <f t="shared" si="46"/>
        <v>7657.1067556800062</v>
      </c>
      <c r="W262" s="22">
        <f t="shared" si="42"/>
        <v>0.36293343595773636</v>
      </c>
      <c r="X262" s="28" t="str">
        <f>TEXT(B262,"MMM-YYYY")</f>
        <v>May-2023</v>
      </c>
      <c r="Y262" s="7" t="str">
        <f t="shared" si="47"/>
        <v>Q2-2023</v>
      </c>
      <c r="Z262" s="7" t="str">
        <f t="shared" si="48"/>
        <v>Medium Price</v>
      </c>
      <c r="AA262" s="7" t="str">
        <f t="shared" si="49"/>
        <v>Q2</v>
      </c>
      <c r="AB262" s="28" t="str">
        <f t="shared" si="50"/>
        <v>May</v>
      </c>
      <c r="AC262" s="28" t="str">
        <f t="shared" si="51"/>
        <v>2023</v>
      </c>
    </row>
    <row r="263" spans="1:29" x14ac:dyDescent="0.25">
      <c r="A263" s="4" t="s">
        <v>275</v>
      </c>
      <c r="B263" s="14">
        <v>45073</v>
      </c>
      <c r="C263" s="14">
        <v>45096</v>
      </c>
      <c r="D263" s="16">
        <f t="shared" si="43"/>
        <v>23</v>
      </c>
      <c r="E263" s="4" t="s">
        <v>649</v>
      </c>
      <c r="F263" s="4" t="s">
        <v>656</v>
      </c>
      <c r="G263" s="4" t="s">
        <v>671</v>
      </c>
      <c r="H263" s="4" t="s">
        <v>702</v>
      </c>
      <c r="I263" s="4" t="s">
        <v>707</v>
      </c>
      <c r="J263" s="4" t="s">
        <v>719</v>
      </c>
      <c r="K263" s="4" t="s">
        <v>733</v>
      </c>
      <c r="L263" s="4" t="s">
        <v>995</v>
      </c>
      <c r="M263" s="9">
        <v>7</v>
      </c>
      <c r="N263" s="16">
        <f>ROUND(IF('Dashboard Visualization'!$U$3="",'Working Data'!$M263,'Working Data'!$M263*(100% +'Dashboard Visualization'!$U$3)),0)</f>
        <v>7</v>
      </c>
      <c r="O263" s="19">
        <v>1471.58</v>
      </c>
      <c r="P263" s="20">
        <f>IF('Dashboard Visualization'!$U$2="",'Working Data'!$O263*'Working Data'!$N263,'Working Data'!$O263*'Working Data'!$N263*(100%+'Dashboard Visualization'!$U$2))</f>
        <v>10301.06</v>
      </c>
      <c r="Q263" s="19">
        <v>2576.65</v>
      </c>
      <c r="R263" s="20">
        <f t="shared" si="44"/>
        <v>2566.3434000000002</v>
      </c>
      <c r="S263" s="11">
        <v>4.0000000000000001E-3</v>
      </c>
      <c r="T263" s="22">
        <f>IF('Dashboard Visualization'!$U$1="",$S263,IF(S263&gt;'Dashboard Visualization'!$U$1,'Dashboard Visualization'!$U$1,S263))</f>
        <v>4.0000000000000001E-3</v>
      </c>
      <c r="U263" s="20">
        <f t="shared" si="45"/>
        <v>17892.546184800001</v>
      </c>
      <c r="V263" s="20">
        <f t="shared" si="46"/>
        <v>7591.4861848000019</v>
      </c>
      <c r="W263" s="22">
        <f t="shared" si="42"/>
        <v>0.42428205054734403</v>
      </c>
      <c r="X263" s="28" t="str">
        <f>TEXT(B263,"MMM-YYYY")</f>
        <v>May-2023</v>
      </c>
      <c r="Y263" s="7" t="str">
        <f t="shared" si="47"/>
        <v>Q2-2023</v>
      </c>
      <c r="Z263" s="7" t="str">
        <f t="shared" si="48"/>
        <v>Medium Price</v>
      </c>
      <c r="AA263" s="7" t="str">
        <f t="shared" si="49"/>
        <v>Q2</v>
      </c>
      <c r="AB263" s="28" t="str">
        <f t="shared" si="50"/>
        <v>May</v>
      </c>
      <c r="AC263" s="28" t="str">
        <f t="shared" si="51"/>
        <v>2023</v>
      </c>
    </row>
    <row r="264" spans="1:29" x14ac:dyDescent="0.25">
      <c r="A264" s="4" t="s">
        <v>276</v>
      </c>
      <c r="B264" s="14">
        <v>45142</v>
      </c>
      <c r="C264" s="14">
        <v>45162</v>
      </c>
      <c r="D264" s="16">
        <f t="shared" si="43"/>
        <v>20</v>
      </c>
      <c r="E264" s="4" t="s">
        <v>648</v>
      </c>
      <c r="F264" s="4" t="s">
        <v>655</v>
      </c>
      <c r="G264" s="4" t="s">
        <v>672</v>
      </c>
      <c r="H264" s="4" t="s">
        <v>703</v>
      </c>
      <c r="I264" s="4" t="s">
        <v>711</v>
      </c>
      <c r="J264" s="12" t="s">
        <v>1430</v>
      </c>
      <c r="K264" s="4" t="s">
        <v>729</v>
      </c>
      <c r="L264" s="4" t="s">
        <v>996</v>
      </c>
      <c r="M264" s="9">
        <v>10</v>
      </c>
      <c r="N264" s="16">
        <f>ROUND(IF('Dashboard Visualization'!$U$3="",'Working Data'!$M264,'Working Data'!$M264*(100% +'Dashboard Visualization'!$U$3)),0)</f>
        <v>10</v>
      </c>
      <c r="O264" s="19">
        <v>582.88</v>
      </c>
      <c r="P264" s="20">
        <f>IF('Dashboard Visualization'!$U$2="",'Working Data'!$O264*'Working Data'!$N264,'Working Data'!$O264*'Working Data'!$N264*(100%+'Dashboard Visualization'!$U$2))</f>
        <v>5828.8</v>
      </c>
      <c r="Q264" s="19">
        <v>1044.1400000000001</v>
      </c>
      <c r="R264" s="20">
        <f t="shared" si="44"/>
        <v>818.60576000000015</v>
      </c>
      <c r="S264" s="11">
        <v>0.216</v>
      </c>
      <c r="T264" s="22">
        <f>IF('Dashboard Visualization'!$U$1="",$S264,IF(S264&gt;'Dashboard Visualization'!$U$1,'Dashboard Visualization'!$U$1,S264))</f>
        <v>0.216</v>
      </c>
      <c r="U264" s="20">
        <f t="shared" si="45"/>
        <v>6417.8691584000007</v>
      </c>
      <c r="V264" s="20">
        <f t="shared" si="46"/>
        <v>589.06915840000056</v>
      </c>
      <c r="W264" s="22">
        <f t="shared" si="42"/>
        <v>9.1785784948420129E-2</v>
      </c>
      <c r="X264" s="28" t="str">
        <f>TEXT(B264,"MMM-YYYY")</f>
        <v>Aug-2023</v>
      </c>
      <c r="Y264" s="7" t="str">
        <f t="shared" si="47"/>
        <v>Q3-2023</v>
      </c>
      <c r="Z264" s="7" t="str">
        <f t="shared" si="48"/>
        <v>High Price</v>
      </c>
      <c r="AA264" s="7" t="str">
        <f t="shared" si="49"/>
        <v>Q3</v>
      </c>
      <c r="AB264" s="28" t="str">
        <f t="shared" si="50"/>
        <v>Aug</v>
      </c>
      <c r="AC264" s="28" t="str">
        <f t="shared" si="51"/>
        <v>2023</v>
      </c>
    </row>
    <row r="265" spans="1:29" x14ac:dyDescent="0.25">
      <c r="A265" s="4" t="s">
        <v>277</v>
      </c>
      <c r="B265" s="14">
        <v>45829</v>
      </c>
      <c r="C265" s="14">
        <v>45835</v>
      </c>
      <c r="D265" s="16">
        <f t="shared" si="43"/>
        <v>6</v>
      </c>
      <c r="E265" s="4" t="s">
        <v>646</v>
      </c>
      <c r="F265" s="4" t="s">
        <v>661</v>
      </c>
      <c r="G265" s="4" t="s">
        <v>687</v>
      </c>
      <c r="H265" s="4" t="s">
        <v>706</v>
      </c>
      <c r="I265" s="4" t="s">
        <v>710</v>
      </c>
      <c r="J265" s="4" t="s">
        <v>725</v>
      </c>
      <c r="K265" s="4" t="s">
        <v>730</v>
      </c>
      <c r="L265" s="4" t="s">
        <v>997</v>
      </c>
      <c r="M265" s="9">
        <v>6</v>
      </c>
      <c r="N265" s="16">
        <f>ROUND(IF('Dashboard Visualization'!$U$3="",'Working Data'!$M265,'Working Data'!$M265*(100% +'Dashboard Visualization'!$U$3)),0)</f>
        <v>6</v>
      </c>
      <c r="O265" s="19">
        <v>93.91</v>
      </c>
      <c r="P265" s="20">
        <f>IF('Dashboard Visualization'!$U$2="",'Working Data'!$O265*'Working Data'!$N265,'Working Data'!$O265*'Working Data'!$N265*(100%+'Dashboard Visualization'!$U$2))</f>
        <v>563.46</v>
      </c>
      <c r="Q265" s="19">
        <v>99.04</v>
      </c>
      <c r="R265" s="20">
        <f t="shared" si="44"/>
        <v>93.394720000000007</v>
      </c>
      <c r="S265" s="11">
        <v>5.7000000000000002E-2</v>
      </c>
      <c r="T265" s="22">
        <f>IF('Dashboard Visualization'!$U$1="",$S265,IF(S265&gt;'Dashboard Visualization'!$U$1,'Dashboard Visualization'!$U$1,S265))</f>
        <v>5.7000000000000002E-2</v>
      </c>
      <c r="U265" s="20">
        <f t="shared" si="45"/>
        <v>528.42732576000003</v>
      </c>
      <c r="V265" s="20">
        <f t="shared" si="46"/>
        <v>-35.032674240000006</v>
      </c>
      <c r="W265" s="22">
        <f t="shared" si="42"/>
        <v>0</v>
      </c>
      <c r="X265" s="28" t="str">
        <f>TEXT(B265,"MMM-YYYY")</f>
        <v>Jun-2025</v>
      </c>
      <c r="Y265" s="7" t="str">
        <f t="shared" si="47"/>
        <v>Q2-2025</v>
      </c>
      <c r="Z265" s="7" t="str">
        <f t="shared" si="48"/>
        <v>Low Price</v>
      </c>
      <c r="AA265" s="7" t="str">
        <f t="shared" si="49"/>
        <v>Q2</v>
      </c>
      <c r="AB265" s="28" t="str">
        <f t="shared" si="50"/>
        <v>Jun</v>
      </c>
      <c r="AC265" s="28" t="str">
        <f t="shared" si="51"/>
        <v>2025</v>
      </c>
    </row>
    <row r="266" spans="1:29" x14ac:dyDescent="0.25">
      <c r="A266" s="4" t="s">
        <v>278</v>
      </c>
      <c r="B266" s="14">
        <v>45763</v>
      </c>
      <c r="C266" s="14">
        <v>45773</v>
      </c>
      <c r="D266" s="16">
        <f t="shared" si="43"/>
        <v>10</v>
      </c>
      <c r="E266" s="4" t="s">
        <v>646</v>
      </c>
      <c r="F266" s="4" t="s">
        <v>651</v>
      </c>
      <c r="G266" s="4" t="s">
        <v>663</v>
      </c>
      <c r="H266" s="4" t="s">
        <v>706</v>
      </c>
      <c r="I266" s="4" t="s">
        <v>709</v>
      </c>
      <c r="J266" s="4" t="s">
        <v>721</v>
      </c>
      <c r="K266" s="4" t="s">
        <v>731</v>
      </c>
      <c r="L266" s="4" t="s">
        <v>998</v>
      </c>
      <c r="M266" s="9">
        <v>23</v>
      </c>
      <c r="N266" s="16">
        <f>ROUND(IF('Dashboard Visualization'!$U$3="",'Working Data'!$M266,'Working Data'!$M266*(100% +'Dashboard Visualization'!$U$3)),0)</f>
        <v>23</v>
      </c>
      <c r="O266" s="19">
        <v>1457.44</v>
      </c>
      <c r="P266" s="20">
        <f>IF('Dashboard Visualization'!$U$2="",'Working Data'!$O266*'Working Data'!$N266,'Working Data'!$O266*'Working Data'!$N266*(100%+'Dashboard Visualization'!$U$2))</f>
        <v>33521.120000000003</v>
      </c>
      <c r="Q266" s="19">
        <v>1996.81</v>
      </c>
      <c r="R266" s="20">
        <f t="shared" si="44"/>
        <v>1745.2119399999999</v>
      </c>
      <c r="S266" s="11">
        <v>0.126</v>
      </c>
      <c r="T266" s="22">
        <f>IF('Dashboard Visualization'!$U$1="",$S266,IF(S266&gt;'Dashboard Visualization'!$U$1,'Dashboard Visualization'!$U$1,S266))</f>
        <v>0.126</v>
      </c>
      <c r="U266" s="20">
        <f t="shared" si="45"/>
        <v>35082.250417880001</v>
      </c>
      <c r="V266" s="20">
        <f t="shared" si="46"/>
        <v>1561.1304178799983</v>
      </c>
      <c r="W266" s="22">
        <f t="shared" si="42"/>
        <v>4.4499152685038512E-2</v>
      </c>
      <c r="X266" s="28" t="str">
        <f>TEXT(B266,"MMM-YYYY")</f>
        <v>Apr-2025</v>
      </c>
      <c r="Y266" s="7" t="str">
        <f t="shared" si="47"/>
        <v>Q2-2025</v>
      </c>
      <c r="Z266" s="7" t="str">
        <f t="shared" si="48"/>
        <v>Medium Price</v>
      </c>
      <c r="AA266" s="7" t="str">
        <f t="shared" si="49"/>
        <v>Q2</v>
      </c>
      <c r="AB266" s="28" t="str">
        <f t="shared" si="50"/>
        <v>Apr</v>
      </c>
      <c r="AC266" s="28" t="str">
        <f t="shared" si="51"/>
        <v>2025</v>
      </c>
    </row>
    <row r="267" spans="1:29" x14ac:dyDescent="0.25">
      <c r="A267" s="4" t="s">
        <v>279</v>
      </c>
      <c r="B267" s="14">
        <v>45902</v>
      </c>
      <c r="C267" s="14">
        <v>45911</v>
      </c>
      <c r="D267" s="16">
        <f t="shared" si="43"/>
        <v>9</v>
      </c>
      <c r="E267" s="4" t="s">
        <v>648</v>
      </c>
      <c r="F267" s="4" t="s">
        <v>653</v>
      </c>
      <c r="G267" s="4" t="s">
        <v>667</v>
      </c>
      <c r="H267" s="4" t="s">
        <v>701</v>
      </c>
      <c r="I267" s="4" t="s">
        <v>710</v>
      </c>
      <c r="J267" s="4" t="s">
        <v>724</v>
      </c>
      <c r="K267" s="4" t="s">
        <v>728</v>
      </c>
      <c r="L267" s="4" t="s">
        <v>999</v>
      </c>
      <c r="M267" s="9">
        <v>17</v>
      </c>
      <c r="N267" s="16">
        <f>ROUND(IF('Dashboard Visualization'!$U$3="",'Working Data'!$M267,'Working Data'!$M267*(100% +'Dashboard Visualization'!$U$3)),0)</f>
        <v>17</v>
      </c>
      <c r="O267" s="19">
        <v>1207.6300000000001</v>
      </c>
      <c r="P267" s="20">
        <f>IF('Dashboard Visualization'!$U$2="",'Working Data'!$O267*'Working Data'!$N267,'Working Data'!$O267*'Working Data'!$N267*(100%+'Dashboard Visualization'!$U$2))</f>
        <v>20529.710000000003</v>
      </c>
      <c r="Q267" s="19">
        <v>921.68</v>
      </c>
      <c r="R267" s="20">
        <f t="shared" si="44"/>
        <v>741.03071999999997</v>
      </c>
      <c r="S267" s="11">
        <v>0.19600000000000001</v>
      </c>
      <c r="T267" s="22">
        <f>IF('Dashboard Visualization'!$U$1="",$S267,IF(S267&gt;'Dashboard Visualization'!$U$1,'Dashboard Visualization'!$U$1,S267))</f>
        <v>0.19600000000000001</v>
      </c>
      <c r="U267" s="20">
        <f t="shared" si="45"/>
        <v>10128.40788096</v>
      </c>
      <c r="V267" s="20">
        <f t="shared" si="46"/>
        <v>-10401.302119040003</v>
      </c>
      <c r="W267" s="22">
        <f t="shared" si="42"/>
        <v>0</v>
      </c>
      <c r="X267" s="28" t="str">
        <f>TEXT(B267,"MMM-YYYY")</f>
        <v>Sep-2025</v>
      </c>
      <c r="Y267" s="7" t="str">
        <f t="shared" si="47"/>
        <v>Q3-2025</v>
      </c>
      <c r="Z267" s="7" t="str">
        <f t="shared" si="48"/>
        <v>High Price</v>
      </c>
      <c r="AA267" s="7" t="str">
        <f t="shared" si="49"/>
        <v>Q3</v>
      </c>
      <c r="AB267" s="28" t="str">
        <f t="shared" si="50"/>
        <v>Sep</v>
      </c>
      <c r="AC267" s="28" t="str">
        <f t="shared" si="51"/>
        <v>2025</v>
      </c>
    </row>
    <row r="268" spans="1:29" x14ac:dyDescent="0.25">
      <c r="A268" s="4" t="s">
        <v>280</v>
      </c>
      <c r="B268" s="14">
        <v>45573</v>
      </c>
      <c r="C268" s="14">
        <v>45573</v>
      </c>
      <c r="D268" s="16">
        <f t="shared" si="43"/>
        <v>0</v>
      </c>
      <c r="E268" s="4" t="s">
        <v>649</v>
      </c>
      <c r="F268" s="4" t="s">
        <v>658</v>
      </c>
      <c r="G268" s="4" t="s">
        <v>683</v>
      </c>
      <c r="H268" s="4" t="s">
        <v>701</v>
      </c>
      <c r="I268" s="4" t="s">
        <v>708</v>
      </c>
      <c r="J268" s="4" t="s">
        <v>718</v>
      </c>
      <c r="K268" s="4" t="s">
        <v>732</v>
      </c>
      <c r="L268" s="4" t="s">
        <v>1000</v>
      </c>
      <c r="M268" s="9">
        <v>19</v>
      </c>
      <c r="N268" s="16">
        <f>ROUND(IF('Dashboard Visualization'!$U$3="",'Working Data'!$M268,'Working Data'!$M268*(100% +'Dashboard Visualization'!$U$3)),0)</f>
        <v>19</v>
      </c>
      <c r="O268" s="19">
        <v>1108.1099999999999</v>
      </c>
      <c r="P268" s="20">
        <f>IF('Dashboard Visualization'!$U$2="",'Working Data'!$O268*'Working Data'!$N268,'Working Data'!$O268*'Working Data'!$N268*(100%+'Dashboard Visualization'!$U$2))</f>
        <v>21054.089999999997</v>
      </c>
      <c r="Q268" s="19">
        <v>2503.79</v>
      </c>
      <c r="R268" s="20">
        <f t="shared" si="44"/>
        <v>2043.0926400000001</v>
      </c>
      <c r="S268" s="11">
        <v>0.184</v>
      </c>
      <c r="T268" s="22">
        <f>IF('Dashboard Visualization'!$U$1="",$S268,IF(S268&gt;'Dashboard Visualization'!$U$1,'Dashboard Visualization'!$U$1,S268))</f>
        <v>0.184</v>
      </c>
      <c r="U268" s="20">
        <f t="shared" si="45"/>
        <v>31676.108290560005</v>
      </c>
      <c r="V268" s="20">
        <f t="shared" si="46"/>
        <v>10622.018290560009</v>
      </c>
      <c r="W268" s="22">
        <f t="shared" si="42"/>
        <v>0.33533217506159185</v>
      </c>
      <c r="X268" s="28" t="str">
        <f>TEXT(B268,"MMM-YYYY")</f>
        <v>Oct-2024</v>
      </c>
      <c r="Y268" s="7" t="str">
        <f t="shared" si="47"/>
        <v>Q4-2024</v>
      </c>
      <c r="Z268" s="7" t="str">
        <f t="shared" si="48"/>
        <v>Medium Price</v>
      </c>
      <c r="AA268" s="7" t="str">
        <f t="shared" si="49"/>
        <v>Q4</v>
      </c>
      <c r="AB268" s="28" t="str">
        <f t="shared" si="50"/>
        <v>Oct</v>
      </c>
      <c r="AC268" s="28" t="str">
        <f t="shared" si="51"/>
        <v>2024</v>
      </c>
    </row>
    <row r="269" spans="1:29" x14ac:dyDescent="0.25">
      <c r="A269" s="4" t="s">
        <v>281</v>
      </c>
      <c r="B269" s="14">
        <v>45053</v>
      </c>
      <c r="C269" s="14">
        <v>45051</v>
      </c>
      <c r="D269" s="16" t="str">
        <f t="shared" si="43"/>
        <v/>
      </c>
      <c r="E269" s="4" t="s">
        <v>646</v>
      </c>
      <c r="F269" s="4" t="s">
        <v>651</v>
      </c>
      <c r="G269" s="4" t="s">
        <v>663</v>
      </c>
      <c r="H269" s="4" t="s">
        <v>703</v>
      </c>
      <c r="I269" s="4" t="s">
        <v>709</v>
      </c>
      <c r="J269" s="4" t="s">
        <v>720</v>
      </c>
      <c r="K269" s="4" t="s">
        <v>727</v>
      </c>
      <c r="L269" s="4" t="s">
        <v>1001</v>
      </c>
      <c r="M269" s="9">
        <v>8</v>
      </c>
      <c r="N269" s="16">
        <f>ROUND(IF('Dashboard Visualization'!$U$3="",'Working Data'!$M269,'Working Data'!$M269*(100% +'Dashboard Visualization'!$U$3)),0)</f>
        <v>8</v>
      </c>
      <c r="O269" s="19">
        <v>1269.6500000000001</v>
      </c>
      <c r="P269" s="20">
        <f>IF('Dashboard Visualization'!$U$2="",'Working Data'!$O269*'Working Data'!$N269,'Working Data'!$O269*'Working Data'!$N269*(100%+'Dashboard Visualization'!$U$2))</f>
        <v>10157.200000000001</v>
      </c>
      <c r="Q269" s="19">
        <v>2462.77</v>
      </c>
      <c r="R269" s="20">
        <f t="shared" si="44"/>
        <v>2199.2536100000002</v>
      </c>
      <c r="S269" s="11">
        <v>0.107</v>
      </c>
      <c r="T269" s="22">
        <f>IF('Dashboard Visualization'!$U$1="",$S269,IF(S269&gt;'Dashboard Visualization'!$U$1,'Dashboard Visualization'!$U$1,S269))</f>
        <v>0.107</v>
      </c>
      <c r="U269" s="20">
        <f t="shared" si="45"/>
        <v>15711.467789840002</v>
      </c>
      <c r="V269" s="20">
        <f t="shared" si="46"/>
        <v>5554.2677898400016</v>
      </c>
      <c r="W269" s="22">
        <f t="shared" si="42"/>
        <v>0.35351679831159577</v>
      </c>
      <c r="X269" s="28" t="str">
        <f>TEXT(B269,"MMM-YYYY")</f>
        <v>May-2023</v>
      </c>
      <c r="Y269" s="7" t="str">
        <f t="shared" si="47"/>
        <v>Q2-2023</v>
      </c>
      <c r="Z269" s="7" t="str">
        <f t="shared" si="48"/>
        <v>Medium Price</v>
      </c>
      <c r="AA269" s="7" t="str">
        <f t="shared" si="49"/>
        <v>Q2</v>
      </c>
      <c r="AB269" s="28" t="str">
        <f t="shared" si="50"/>
        <v>May</v>
      </c>
      <c r="AC269" s="28" t="str">
        <f t="shared" si="51"/>
        <v>2023</v>
      </c>
    </row>
    <row r="270" spans="1:29" x14ac:dyDescent="0.25">
      <c r="A270" s="4" t="s">
        <v>282</v>
      </c>
      <c r="B270" s="14">
        <v>45284</v>
      </c>
      <c r="C270" s="14">
        <v>45292</v>
      </c>
      <c r="D270" s="16">
        <f t="shared" si="43"/>
        <v>8</v>
      </c>
      <c r="E270" s="4" t="s">
        <v>648</v>
      </c>
      <c r="F270" s="4" t="s">
        <v>655</v>
      </c>
      <c r="G270" s="4" t="s">
        <v>670</v>
      </c>
      <c r="H270" s="4" t="s">
        <v>702</v>
      </c>
      <c r="I270" s="4" t="s">
        <v>711</v>
      </c>
      <c r="J270" s="4" t="s">
        <v>712</v>
      </c>
      <c r="K270" s="4" t="s">
        <v>730</v>
      </c>
      <c r="L270" s="4" t="s">
        <v>1002</v>
      </c>
      <c r="M270" s="9">
        <v>14</v>
      </c>
      <c r="N270" s="16">
        <f>ROUND(IF('Dashboard Visualization'!$U$3="",'Working Data'!$M270,'Working Data'!$M270*(100% +'Dashboard Visualization'!$U$3)),0)</f>
        <v>14</v>
      </c>
      <c r="O270" s="19">
        <v>526.49</v>
      </c>
      <c r="P270" s="20">
        <f>IF('Dashboard Visualization'!$U$2="",'Working Data'!$O270*'Working Data'!$N270,'Working Data'!$O270*'Working Data'!$N270*(100%+'Dashboard Visualization'!$U$2))</f>
        <v>7370.8600000000006</v>
      </c>
      <c r="Q270" s="19">
        <v>496.2</v>
      </c>
      <c r="R270" s="20">
        <f t="shared" si="44"/>
        <v>496.2</v>
      </c>
      <c r="S270" s="11">
        <v>0</v>
      </c>
      <c r="T270" s="22">
        <f>IF('Dashboard Visualization'!$U$1="",$S270,IF(S270&gt;'Dashboard Visualization'!$U$1,'Dashboard Visualization'!$U$1,S270))</f>
        <v>0</v>
      </c>
      <c r="U270" s="20">
        <f t="shared" si="45"/>
        <v>6946.8</v>
      </c>
      <c r="V270" s="20">
        <f t="shared" si="46"/>
        <v>-424.0600000000004</v>
      </c>
      <c r="W270" s="22">
        <f t="shared" si="42"/>
        <v>0</v>
      </c>
      <c r="X270" s="28" t="str">
        <f>TEXT(B270,"MMM-YYYY")</f>
        <v>Dec-2023</v>
      </c>
      <c r="Y270" s="7" t="str">
        <f t="shared" si="47"/>
        <v>Q4-2023</v>
      </c>
      <c r="Z270" s="7" t="str">
        <f t="shared" si="48"/>
        <v>Low Price</v>
      </c>
      <c r="AA270" s="7" t="str">
        <f t="shared" si="49"/>
        <v>Q4</v>
      </c>
      <c r="AB270" s="28" t="str">
        <f t="shared" si="50"/>
        <v>Dec</v>
      </c>
      <c r="AC270" s="28" t="str">
        <f t="shared" si="51"/>
        <v>2023</v>
      </c>
    </row>
    <row r="271" spans="1:29" x14ac:dyDescent="0.25">
      <c r="A271" s="4" t="s">
        <v>283</v>
      </c>
      <c r="B271" s="14">
        <v>45301</v>
      </c>
      <c r="C271" s="14">
        <v>45314</v>
      </c>
      <c r="D271" s="16">
        <f t="shared" si="43"/>
        <v>13</v>
      </c>
      <c r="E271" s="4" t="s">
        <v>649</v>
      </c>
      <c r="F271" s="4" t="s">
        <v>657</v>
      </c>
      <c r="G271" s="4" t="s">
        <v>673</v>
      </c>
      <c r="H271" s="4" t="s">
        <v>701</v>
      </c>
      <c r="I271" s="4" t="s">
        <v>711</v>
      </c>
      <c r="J271" s="4" t="s">
        <v>720</v>
      </c>
      <c r="K271" s="4" t="s">
        <v>728</v>
      </c>
      <c r="L271" s="4" t="s">
        <v>1003</v>
      </c>
      <c r="M271" s="9">
        <v>10</v>
      </c>
      <c r="N271" s="16">
        <f>ROUND(IF('Dashboard Visualization'!$U$3="",'Working Data'!$M271,'Working Data'!$M271*(100% +'Dashboard Visualization'!$U$3)),0)</f>
        <v>10</v>
      </c>
      <c r="O271" s="19">
        <v>720</v>
      </c>
      <c r="P271" s="20">
        <f>IF('Dashboard Visualization'!$U$2="",'Working Data'!$O271*'Working Data'!$N271,'Working Data'!$O271*'Working Data'!$N271*(100%+'Dashboard Visualization'!$U$2))</f>
        <v>7200</v>
      </c>
      <c r="Q271" s="19">
        <v>907.59</v>
      </c>
      <c r="R271" s="20">
        <f t="shared" si="44"/>
        <v>767.82114000000001</v>
      </c>
      <c r="S271" s="11">
        <v>0.154</v>
      </c>
      <c r="T271" s="22">
        <f>IF('Dashboard Visualization'!$U$1="",$S271,IF(S271&gt;'Dashboard Visualization'!$U$1,'Dashboard Visualization'!$U$1,S271))</f>
        <v>0.154</v>
      </c>
      <c r="U271" s="20">
        <f t="shared" si="45"/>
        <v>6495.7668444000001</v>
      </c>
      <c r="V271" s="20">
        <f t="shared" si="46"/>
        <v>-704.23315559999992</v>
      </c>
      <c r="W271" s="22">
        <f t="shared" si="42"/>
        <v>0</v>
      </c>
      <c r="X271" s="28" t="str">
        <f>TEXT(B271,"MMM-YYYY")</f>
        <v>Jan-2024</v>
      </c>
      <c r="Y271" s="7" t="str">
        <f t="shared" si="47"/>
        <v>Q1-2024</v>
      </c>
      <c r="Z271" s="7" t="str">
        <f t="shared" si="48"/>
        <v>High Price</v>
      </c>
      <c r="AA271" s="7" t="str">
        <f t="shared" si="49"/>
        <v>Q1</v>
      </c>
      <c r="AB271" s="28" t="str">
        <f t="shared" si="50"/>
        <v>Jan</v>
      </c>
      <c r="AC271" s="28" t="str">
        <f t="shared" si="51"/>
        <v>2024</v>
      </c>
    </row>
    <row r="272" spans="1:29" x14ac:dyDescent="0.25">
      <c r="A272" s="4" t="s">
        <v>284</v>
      </c>
      <c r="B272" s="14">
        <v>45141</v>
      </c>
      <c r="C272" s="14">
        <v>45152</v>
      </c>
      <c r="D272" s="16">
        <f t="shared" si="43"/>
        <v>11</v>
      </c>
      <c r="E272" s="4" t="s">
        <v>648</v>
      </c>
      <c r="F272" s="4" t="s">
        <v>655</v>
      </c>
      <c r="G272" s="4" t="s">
        <v>672</v>
      </c>
      <c r="H272" s="4" t="s">
        <v>701</v>
      </c>
      <c r="I272" s="4" t="s">
        <v>711</v>
      </c>
      <c r="J272" s="4" t="s">
        <v>713</v>
      </c>
      <c r="K272" s="4" t="s">
        <v>733</v>
      </c>
      <c r="L272" s="4" t="s">
        <v>1004</v>
      </c>
      <c r="M272" s="9">
        <v>25</v>
      </c>
      <c r="N272" s="16">
        <f>ROUND(IF('Dashboard Visualization'!$U$3="",'Working Data'!$M272,'Working Data'!$M272*(100% +'Dashboard Visualization'!$U$3)),0)</f>
        <v>25</v>
      </c>
      <c r="O272" s="19">
        <v>232.73</v>
      </c>
      <c r="P272" s="20">
        <f>IF('Dashboard Visualization'!$U$2="",'Working Data'!$O272*'Working Data'!$N272,'Working Data'!$O272*'Working Data'!$N272*(100%+'Dashboard Visualization'!$U$2))</f>
        <v>5818.25</v>
      </c>
      <c r="Q272" s="19">
        <v>334.19</v>
      </c>
      <c r="R272" s="20">
        <f t="shared" si="44"/>
        <v>289.40854000000002</v>
      </c>
      <c r="S272" s="11">
        <v>0.13400000000000001</v>
      </c>
      <c r="T272" s="22">
        <f>IF('Dashboard Visualization'!$U$1="",$S272,IF(S272&gt;'Dashboard Visualization'!$U$1,'Dashboard Visualization'!$U$1,S272))</f>
        <v>0.13400000000000001</v>
      </c>
      <c r="U272" s="20">
        <f t="shared" si="45"/>
        <v>6265.6948910000001</v>
      </c>
      <c r="V272" s="20">
        <f t="shared" si="46"/>
        <v>447.4448910000001</v>
      </c>
      <c r="W272" s="22">
        <f t="shared" si="42"/>
        <v>7.1411854356762047E-2</v>
      </c>
      <c r="X272" s="28" t="str">
        <f>TEXT(B272,"MMM-YYYY")</f>
        <v>Aug-2023</v>
      </c>
      <c r="Y272" s="7" t="str">
        <f t="shared" si="47"/>
        <v>Q3-2023</v>
      </c>
      <c r="Z272" s="7" t="str">
        <f t="shared" si="48"/>
        <v>Low Price</v>
      </c>
      <c r="AA272" s="7" t="str">
        <f t="shared" si="49"/>
        <v>Q3</v>
      </c>
      <c r="AB272" s="28" t="str">
        <f t="shared" si="50"/>
        <v>Aug</v>
      </c>
      <c r="AC272" s="28" t="str">
        <f t="shared" si="51"/>
        <v>2023</v>
      </c>
    </row>
    <row r="273" spans="1:29" x14ac:dyDescent="0.25">
      <c r="A273" s="4" t="s">
        <v>285</v>
      </c>
      <c r="B273" s="14">
        <v>45707</v>
      </c>
      <c r="C273" s="14">
        <v>45725</v>
      </c>
      <c r="D273" s="16">
        <f t="shared" si="43"/>
        <v>18</v>
      </c>
      <c r="E273" s="4" t="s">
        <v>647</v>
      </c>
      <c r="F273" s="4" t="s">
        <v>654</v>
      </c>
      <c r="G273" s="4" t="s">
        <v>680</v>
      </c>
      <c r="H273" s="4" t="s">
        <v>705</v>
      </c>
      <c r="I273" s="4" t="s">
        <v>711</v>
      </c>
      <c r="J273" s="4" t="s">
        <v>719</v>
      </c>
      <c r="K273" s="4" t="s">
        <v>732</v>
      </c>
      <c r="L273" s="4" t="s">
        <v>1005</v>
      </c>
      <c r="M273" s="9">
        <v>16</v>
      </c>
      <c r="N273" s="16">
        <f>ROUND(IF('Dashboard Visualization'!$U$3="",'Working Data'!$M273,'Working Data'!$M273*(100% +'Dashboard Visualization'!$U$3)),0)</f>
        <v>16</v>
      </c>
      <c r="O273" s="19">
        <v>325.87</v>
      </c>
      <c r="P273" s="20">
        <f>IF('Dashboard Visualization'!$U$2="",'Working Data'!$O273*'Working Data'!$N273,'Working Data'!$O273*'Working Data'!$N273*(100%+'Dashboard Visualization'!$U$2))</f>
        <v>5213.92</v>
      </c>
      <c r="Q273" s="19">
        <v>538.79</v>
      </c>
      <c r="R273" s="20">
        <f t="shared" si="44"/>
        <v>445.04054000000002</v>
      </c>
      <c r="S273" s="11">
        <v>0.17399999999999999</v>
      </c>
      <c r="T273" s="22">
        <f>IF('Dashboard Visualization'!$U$1="",$S273,IF(S273&gt;'Dashboard Visualization'!$U$1,'Dashboard Visualization'!$U$1,S273))</f>
        <v>0.17399999999999999</v>
      </c>
      <c r="U273" s="20">
        <f t="shared" si="45"/>
        <v>5881.655776640001</v>
      </c>
      <c r="V273" s="20">
        <f t="shared" si="46"/>
        <v>667.73577664000095</v>
      </c>
      <c r="W273" s="22">
        <f t="shared" si="42"/>
        <v>0.11352853720070247</v>
      </c>
      <c r="X273" s="28" t="str">
        <f>TEXT(B273,"MMM-YYYY")</f>
        <v>Feb-2025</v>
      </c>
      <c r="Y273" s="7" t="str">
        <f t="shared" si="47"/>
        <v>Q1-2025</v>
      </c>
      <c r="Z273" s="7" t="str">
        <f t="shared" si="48"/>
        <v>Low Price</v>
      </c>
      <c r="AA273" s="7" t="str">
        <f t="shared" si="49"/>
        <v>Q1</v>
      </c>
      <c r="AB273" s="28" t="str">
        <f t="shared" si="50"/>
        <v>Feb</v>
      </c>
      <c r="AC273" s="28" t="str">
        <f t="shared" si="51"/>
        <v>2025</v>
      </c>
    </row>
    <row r="274" spans="1:29" x14ac:dyDescent="0.25">
      <c r="A274" s="4" t="s">
        <v>286</v>
      </c>
      <c r="B274" s="14">
        <v>45382</v>
      </c>
      <c r="C274" s="14">
        <v>45399</v>
      </c>
      <c r="D274" s="16">
        <f t="shared" si="43"/>
        <v>17</v>
      </c>
      <c r="E274" s="4" t="s">
        <v>649</v>
      </c>
      <c r="F274" s="4" t="s">
        <v>656</v>
      </c>
      <c r="G274" s="4" t="s">
        <v>698</v>
      </c>
      <c r="H274" s="4" t="s">
        <v>702</v>
      </c>
      <c r="I274" s="4" t="s">
        <v>711</v>
      </c>
      <c r="J274" s="4" t="s">
        <v>722</v>
      </c>
      <c r="K274" s="4" t="s">
        <v>732</v>
      </c>
      <c r="L274" s="4" t="s">
        <v>1006</v>
      </c>
      <c r="M274" s="9">
        <v>28</v>
      </c>
      <c r="N274" s="16">
        <f>ROUND(IF('Dashboard Visualization'!$U$3="",'Working Data'!$M274,'Working Data'!$M274*(100% +'Dashboard Visualization'!$U$3)),0)</f>
        <v>28</v>
      </c>
      <c r="O274" s="19">
        <v>1025.51</v>
      </c>
      <c r="P274" s="20">
        <f>IF('Dashboard Visualization'!$U$2="",'Working Data'!$O274*'Working Data'!$N274,'Working Data'!$O274*'Working Data'!$N274*(100%+'Dashboard Visualization'!$U$2))</f>
        <v>28714.28</v>
      </c>
      <c r="Q274" s="19">
        <v>1436.54</v>
      </c>
      <c r="R274" s="20">
        <f t="shared" si="44"/>
        <v>1236.86094</v>
      </c>
      <c r="S274" s="11">
        <v>0.13900000000000001</v>
      </c>
      <c r="T274" s="22">
        <f>IF('Dashboard Visualization'!$U$1="",$S274,IF(S274&gt;'Dashboard Visualization'!$U$1,'Dashboard Visualization'!$U$1,S274))</f>
        <v>0.13900000000000001</v>
      </c>
      <c r="U274" s="20">
        <f t="shared" si="45"/>
        <v>29818.243541520002</v>
      </c>
      <c r="V274" s="20">
        <f t="shared" si="46"/>
        <v>1103.9635415200028</v>
      </c>
      <c r="W274" s="22">
        <f t="shared" si="42"/>
        <v>3.7023090913547739E-2</v>
      </c>
      <c r="X274" s="28" t="str">
        <f>TEXT(B274,"MMM-YYYY")</f>
        <v>Mar-2024</v>
      </c>
      <c r="Y274" s="7" t="str">
        <f t="shared" si="47"/>
        <v>Q1-2024</v>
      </c>
      <c r="Z274" s="7" t="str">
        <f t="shared" si="48"/>
        <v>High Price</v>
      </c>
      <c r="AA274" s="7" t="str">
        <f t="shared" si="49"/>
        <v>Q1</v>
      </c>
      <c r="AB274" s="28" t="str">
        <f t="shared" si="50"/>
        <v>Mar</v>
      </c>
      <c r="AC274" s="28" t="str">
        <f t="shared" si="51"/>
        <v>2024</v>
      </c>
    </row>
    <row r="275" spans="1:29" x14ac:dyDescent="0.25">
      <c r="A275" s="4" t="s">
        <v>287</v>
      </c>
      <c r="B275" s="14">
        <v>45131</v>
      </c>
      <c r="C275" s="14">
        <v>45151</v>
      </c>
      <c r="D275" s="16">
        <f t="shared" si="43"/>
        <v>20</v>
      </c>
      <c r="E275" s="4" t="s">
        <v>648</v>
      </c>
      <c r="F275" s="4" t="s">
        <v>653</v>
      </c>
      <c r="G275" s="4" t="s">
        <v>681</v>
      </c>
      <c r="H275" s="4" t="s">
        <v>702</v>
      </c>
      <c r="I275" s="4" t="s">
        <v>711</v>
      </c>
      <c r="J275" s="4" t="s">
        <v>712</v>
      </c>
      <c r="K275" s="4" t="s">
        <v>732</v>
      </c>
      <c r="L275" s="4" t="s">
        <v>1007</v>
      </c>
      <c r="M275" s="9">
        <v>20</v>
      </c>
      <c r="N275" s="16">
        <f>ROUND(IF('Dashboard Visualization'!$U$3="",'Working Data'!$M275,'Working Data'!$M275*(100% +'Dashboard Visualization'!$U$3)),0)</f>
        <v>20</v>
      </c>
      <c r="O275" s="19">
        <v>1082.3800000000001</v>
      </c>
      <c r="P275" s="20">
        <f>IF('Dashboard Visualization'!$U$2="",'Working Data'!$O275*'Working Data'!$N275,'Working Data'!$O275*'Working Data'!$N275*(100%+'Dashboard Visualization'!$U$2))</f>
        <v>21647.600000000002</v>
      </c>
      <c r="Q275" s="19">
        <v>1766.55</v>
      </c>
      <c r="R275" s="20">
        <f t="shared" si="44"/>
        <v>1476.8357999999998</v>
      </c>
      <c r="S275" s="11">
        <v>0.16400000000000001</v>
      </c>
      <c r="T275" s="22">
        <f>IF('Dashboard Visualization'!$U$1="",$S275,IF(S275&gt;'Dashboard Visualization'!$U$1,'Dashboard Visualization'!$U$1,S275))</f>
        <v>0.16400000000000001</v>
      </c>
      <c r="U275" s="20">
        <f t="shared" si="45"/>
        <v>24692.694575999994</v>
      </c>
      <c r="V275" s="20">
        <f t="shared" si="46"/>
        <v>3045.0945759999922</v>
      </c>
      <c r="W275" s="22">
        <f t="shared" si="42"/>
        <v>0.12331965499462601</v>
      </c>
      <c r="X275" s="28" t="str">
        <f>TEXT(B275,"MMM-YYYY")</f>
        <v>Jul-2023</v>
      </c>
      <c r="Y275" s="7" t="str">
        <f t="shared" si="47"/>
        <v>Q3-2023</v>
      </c>
      <c r="Z275" s="7" t="str">
        <f t="shared" si="48"/>
        <v>High Price</v>
      </c>
      <c r="AA275" s="7" t="str">
        <f t="shared" si="49"/>
        <v>Q3</v>
      </c>
      <c r="AB275" s="28" t="str">
        <f t="shared" si="50"/>
        <v>Jul</v>
      </c>
      <c r="AC275" s="28" t="str">
        <f t="shared" si="51"/>
        <v>2023</v>
      </c>
    </row>
    <row r="276" spans="1:29" x14ac:dyDescent="0.25">
      <c r="A276" s="4" t="s">
        <v>288</v>
      </c>
      <c r="B276" s="14">
        <v>45367</v>
      </c>
      <c r="C276" s="14">
        <v>45395</v>
      </c>
      <c r="D276" s="16">
        <f t="shared" si="43"/>
        <v>28</v>
      </c>
      <c r="E276" s="4" t="s">
        <v>649</v>
      </c>
      <c r="F276" s="4" t="s">
        <v>657</v>
      </c>
      <c r="G276" s="4" t="s">
        <v>690</v>
      </c>
      <c r="H276" s="4" t="s">
        <v>705</v>
      </c>
      <c r="I276" s="4" t="s">
        <v>708</v>
      </c>
      <c r="J276" s="4" t="s">
        <v>723</v>
      </c>
      <c r="K276" s="4" t="s">
        <v>728</v>
      </c>
      <c r="L276" s="4" t="s">
        <v>1008</v>
      </c>
      <c r="M276" s="9">
        <v>21</v>
      </c>
      <c r="N276" s="16">
        <f>ROUND(IF('Dashboard Visualization'!$U$3="",'Working Data'!$M276,'Working Data'!$M276*(100% +'Dashboard Visualization'!$U$3)),0)</f>
        <v>21</v>
      </c>
      <c r="O276" s="19">
        <v>287.61</v>
      </c>
      <c r="P276" s="20">
        <f>IF('Dashboard Visualization'!$U$2="",'Working Data'!$O276*'Working Data'!$N276,'Working Data'!$O276*'Working Data'!$N276*(100%+'Dashboard Visualization'!$U$2))</f>
        <v>6039.81</v>
      </c>
      <c r="Q276" s="19">
        <v>628.54</v>
      </c>
      <c r="R276" s="20">
        <f t="shared" si="44"/>
        <v>543.68709999999999</v>
      </c>
      <c r="S276" s="11">
        <v>0.13500000000000001</v>
      </c>
      <c r="T276" s="22">
        <f>IF('Dashboard Visualization'!$U$1="",$S276,IF(S276&gt;'Dashboard Visualization'!$U$1,'Dashboard Visualization'!$U$1,S276))</f>
        <v>0.13500000000000001</v>
      </c>
      <c r="U276" s="20">
        <f t="shared" si="45"/>
        <v>9876.076171499999</v>
      </c>
      <c r="V276" s="20">
        <f t="shared" si="46"/>
        <v>3836.2661714999986</v>
      </c>
      <c r="W276" s="22">
        <f t="shared" si="42"/>
        <v>0.3884403182886082</v>
      </c>
      <c r="X276" s="28" t="str">
        <f>TEXT(B276,"MMM-YYYY")</f>
        <v>Mar-2024</v>
      </c>
      <c r="Y276" s="7" t="str">
        <f t="shared" si="47"/>
        <v>Q1-2024</v>
      </c>
      <c r="Z276" s="7" t="str">
        <f t="shared" si="48"/>
        <v>High Price</v>
      </c>
      <c r="AA276" s="7" t="str">
        <f t="shared" si="49"/>
        <v>Q1</v>
      </c>
      <c r="AB276" s="28" t="str">
        <f t="shared" si="50"/>
        <v>Mar</v>
      </c>
      <c r="AC276" s="28" t="str">
        <f t="shared" si="51"/>
        <v>2024</v>
      </c>
    </row>
    <row r="277" spans="1:29" x14ac:dyDescent="0.25">
      <c r="A277" s="4" t="s">
        <v>289</v>
      </c>
      <c r="B277" s="14">
        <v>45316</v>
      </c>
      <c r="C277" s="14">
        <v>45318</v>
      </c>
      <c r="D277" s="16">
        <f t="shared" si="43"/>
        <v>2</v>
      </c>
      <c r="E277" s="4" t="s">
        <v>648</v>
      </c>
      <c r="F277" s="4" t="s">
        <v>655</v>
      </c>
      <c r="G277" s="4" t="s">
        <v>670</v>
      </c>
      <c r="H277" s="4" t="s">
        <v>703</v>
      </c>
      <c r="I277" s="4" t="s">
        <v>709</v>
      </c>
      <c r="J277" s="4" t="s">
        <v>725</v>
      </c>
      <c r="K277" s="4" t="s">
        <v>731</v>
      </c>
      <c r="L277" s="4" t="s">
        <v>1009</v>
      </c>
      <c r="M277" s="9">
        <v>6</v>
      </c>
      <c r="N277" s="16">
        <f>ROUND(IF('Dashboard Visualization'!$U$3="",'Working Data'!$M277,'Working Data'!$M277*(100% +'Dashboard Visualization'!$U$3)),0)</f>
        <v>6</v>
      </c>
      <c r="O277" s="19">
        <v>1410.97</v>
      </c>
      <c r="P277" s="20">
        <f>IF('Dashboard Visualization'!$U$2="",'Working Data'!$O277*'Working Data'!$N277,'Working Data'!$O277*'Working Data'!$N277*(100%+'Dashboard Visualization'!$U$2))</f>
        <v>8465.82</v>
      </c>
      <c r="Q277" s="19">
        <v>1650.75</v>
      </c>
      <c r="R277" s="20">
        <f t="shared" si="44"/>
        <v>1427.8987500000001</v>
      </c>
      <c r="S277" s="11">
        <v>0.13500000000000001</v>
      </c>
      <c r="T277" s="22">
        <f>IF('Dashboard Visualization'!$U$1="",$S277,IF(S277&gt;'Dashboard Visualization'!$U$1,'Dashboard Visualization'!$U$1,S277))</f>
        <v>0.13500000000000001</v>
      </c>
      <c r="U277" s="20">
        <f t="shared" si="45"/>
        <v>7410.7945124999997</v>
      </c>
      <c r="V277" s="20">
        <f t="shared" si="46"/>
        <v>-1055.0254875000001</v>
      </c>
      <c r="W277" s="22">
        <f t="shared" si="42"/>
        <v>0</v>
      </c>
      <c r="X277" s="28" t="str">
        <f>TEXT(B277,"MMM-YYYY")</f>
        <v>Jan-2024</v>
      </c>
      <c r="Y277" s="7" t="str">
        <f t="shared" si="47"/>
        <v>Q1-2024</v>
      </c>
      <c r="Z277" s="7" t="str">
        <f t="shared" si="48"/>
        <v>High Price</v>
      </c>
      <c r="AA277" s="7" t="str">
        <f t="shared" si="49"/>
        <v>Q1</v>
      </c>
      <c r="AB277" s="28" t="str">
        <f t="shared" si="50"/>
        <v>Jan</v>
      </c>
      <c r="AC277" s="28" t="str">
        <f t="shared" si="51"/>
        <v>2024</v>
      </c>
    </row>
    <row r="278" spans="1:29" x14ac:dyDescent="0.25">
      <c r="A278" s="4" t="s">
        <v>290</v>
      </c>
      <c r="B278" s="14">
        <v>45378</v>
      </c>
      <c r="C278" s="14">
        <v>45393</v>
      </c>
      <c r="D278" s="16">
        <f t="shared" si="43"/>
        <v>15</v>
      </c>
      <c r="E278" s="4" t="s">
        <v>648</v>
      </c>
      <c r="F278" s="4" t="s">
        <v>660</v>
      </c>
      <c r="G278" s="4" t="s">
        <v>686</v>
      </c>
      <c r="H278" s="4" t="s">
        <v>705</v>
      </c>
      <c r="I278" s="4" t="s">
        <v>711</v>
      </c>
      <c r="J278" s="4" t="s">
        <v>719</v>
      </c>
      <c r="K278" s="4" t="s">
        <v>729</v>
      </c>
      <c r="L278" s="4" t="s">
        <v>1010</v>
      </c>
      <c r="M278" s="9">
        <v>40</v>
      </c>
      <c r="N278" s="16">
        <f>ROUND(IF('Dashboard Visualization'!$U$3="",'Working Data'!$M278,'Working Data'!$M278*(100% +'Dashboard Visualization'!$U$3)),0)</f>
        <v>40</v>
      </c>
      <c r="O278" s="19">
        <v>1338.35</v>
      </c>
      <c r="P278" s="20">
        <f>IF('Dashboard Visualization'!$U$2="",'Working Data'!$O278*'Working Data'!$N278,'Working Data'!$O278*'Working Data'!$N278*(100%+'Dashboard Visualization'!$U$2))</f>
        <v>53534</v>
      </c>
      <c r="Q278" s="19">
        <v>2247.14</v>
      </c>
      <c r="R278" s="20">
        <f t="shared" si="44"/>
        <v>1988.7188999999998</v>
      </c>
      <c r="S278" s="11">
        <v>0.115</v>
      </c>
      <c r="T278" s="22">
        <f>IF('Dashboard Visualization'!$U$1="",$S278,IF(S278&gt;'Dashboard Visualization'!$U$1,'Dashboard Visualization'!$U$1,S278))</f>
        <v>0.115</v>
      </c>
      <c r="U278" s="20">
        <f t="shared" si="45"/>
        <v>70400.649059999996</v>
      </c>
      <c r="V278" s="20">
        <f t="shared" si="46"/>
        <v>16866.649059999996</v>
      </c>
      <c r="W278" s="22">
        <f t="shared" si="42"/>
        <v>0.23958087439826223</v>
      </c>
      <c r="X278" s="28" t="str">
        <f>TEXT(B278,"MMM-YYYY")</f>
        <v>Mar-2024</v>
      </c>
      <c r="Y278" s="7" t="str">
        <f t="shared" si="47"/>
        <v>Q1-2024</v>
      </c>
      <c r="Z278" s="7" t="str">
        <f t="shared" si="48"/>
        <v>Medium Price</v>
      </c>
      <c r="AA278" s="7" t="str">
        <f t="shared" si="49"/>
        <v>Q1</v>
      </c>
      <c r="AB278" s="28" t="str">
        <f t="shared" si="50"/>
        <v>Mar</v>
      </c>
      <c r="AC278" s="28" t="str">
        <f t="shared" si="51"/>
        <v>2024</v>
      </c>
    </row>
    <row r="279" spans="1:29" x14ac:dyDescent="0.25">
      <c r="A279" s="4" t="s">
        <v>291</v>
      </c>
      <c r="B279" s="14">
        <v>45832</v>
      </c>
      <c r="C279" s="14">
        <v>45852</v>
      </c>
      <c r="D279" s="16">
        <f t="shared" si="43"/>
        <v>20</v>
      </c>
      <c r="E279" s="4" t="s">
        <v>649</v>
      </c>
      <c r="F279" s="4" t="s">
        <v>656</v>
      </c>
      <c r="G279" s="4" t="s">
        <v>671</v>
      </c>
      <c r="H279" s="4" t="s">
        <v>701</v>
      </c>
      <c r="I279" s="4" t="s">
        <v>711</v>
      </c>
      <c r="J279" s="4" t="s">
        <v>719</v>
      </c>
      <c r="K279" s="4" t="s">
        <v>733</v>
      </c>
      <c r="L279" s="4" t="s">
        <v>1011</v>
      </c>
      <c r="M279" s="9">
        <v>8</v>
      </c>
      <c r="N279" s="16">
        <f>ROUND(IF('Dashboard Visualization'!$U$3="",'Working Data'!$M279,'Working Data'!$M279*(100% +'Dashboard Visualization'!$U$3)),0)</f>
        <v>8</v>
      </c>
      <c r="O279" s="19">
        <v>385.08</v>
      </c>
      <c r="P279" s="20">
        <f>IF('Dashboard Visualization'!$U$2="",'Working Data'!$O279*'Working Data'!$N279,'Working Data'!$O279*'Working Data'!$N279*(100%+'Dashboard Visualization'!$U$2))</f>
        <v>3080.64</v>
      </c>
      <c r="Q279" s="19">
        <v>893.19</v>
      </c>
      <c r="R279" s="20">
        <f t="shared" si="44"/>
        <v>758.31831</v>
      </c>
      <c r="S279" s="11">
        <v>0.151</v>
      </c>
      <c r="T279" s="22">
        <f>IF('Dashboard Visualization'!$U$1="",$S279,IF(S279&gt;'Dashboard Visualization'!$U$1,'Dashboard Visualization'!$U$1,S279))</f>
        <v>0.151</v>
      </c>
      <c r="U279" s="20">
        <f t="shared" si="45"/>
        <v>5150.49796152</v>
      </c>
      <c r="V279" s="20">
        <f t="shared" si="46"/>
        <v>2069.8579615200001</v>
      </c>
      <c r="W279" s="22">
        <f t="shared" si="42"/>
        <v>0.40187530933594423</v>
      </c>
      <c r="X279" s="28" t="str">
        <f>TEXT(B279,"MMM-YYYY")</f>
        <v>Jun-2025</v>
      </c>
      <c r="Y279" s="7" t="str">
        <f t="shared" si="47"/>
        <v>Q2-2025</v>
      </c>
      <c r="Z279" s="7" t="str">
        <f t="shared" si="48"/>
        <v>High Price</v>
      </c>
      <c r="AA279" s="7" t="str">
        <f t="shared" si="49"/>
        <v>Q2</v>
      </c>
      <c r="AB279" s="28" t="str">
        <f t="shared" si="50"/>
        <v>Jun</v>
      </c>
      <c r="AC279" s="28" t="str">
        <f t="shared" si="51"/>
        <v>2025</v>
      </c>
    </row>
    <row r="280" spans="1:29" x14ac:dyDescent="0.25">
      <c r="A280" s="4" t="s">
        <v>292</v>
      </c>
      <c r="B280" s="14">
        <v>45459</v>
      </c>
      <c r="C280" s="14">
        <v>45476</v>
      </c>
      <c r="D280" s="16">
        <f t="shared" si="43"/>
        <v>17</v>
      </c>
      <c r="E280" s="4" t="s">
        <v>646</v>
      </c>
      <c r="F280" s="4" t="s">
        <v>661</v>
      </c>
      <c r="G280" s="4" t="s">
        <v>682</v>
      </c>
      <c r="H280" s="4" t="s">
        <v>706</v>
      </c>
      <c r="I280" s="4" t="s">
        <v>709</v>
      </c>
      <c r="J280" s="4" t="s">
        <v>721</v>
      </c>
      <c r="K280" s="4" t="s">
        <v>730</v>
      </c>
      <c r="L280" s="4" t="s">
        <v>1012</v>
      </c>
      <c r="M280" s="9">
        <v>17</v>
      </c>
      <c r="N280" s="16">
        <f>ROUND(IF('Dashboard Visualization'!$U$3="",'Working Data'!$M280,'Working Data'!$M280*(100% +'Dashboard Visualization'!$U$3)),0)</f>
        <v>17</v>
      </c>
      <c r="O280" s="19">
        <v>1173.83</v>
      </c>
      <c r="P280" s="20">
        <f>IF('Dashboard Visualization'!$U$2="",'Working Data'!$O280*'Working Data'!$N280,'Working Data'!$O280*'Working Data'!$N280*(100%+'Dashboard Visualization'!$U$2))</f>
        <v>19955.11</v>
      </c>
      <c r="Q280" s="19">
        <v>2328.9</v>
      </c>
      <c r="R280" s="20">
        <f t="shared" si="44"/>
        <v>2049.4320000000002</v>
      </c>
      <c r="S280" s="11">
        <v>0.12</v>
      </c>
      <c r="T280" s="22">
        <f>IF('Dashboard Visualization'!$U$1="",$S280,IF(S280&gt;'Dashboard Visualization'!$U$1,'Dashboard Visualization'!$U$1,S280))</f>
        <v>0.12</v>
      </c>
      <c r="U280" s="20">
        <f t="shared" si="45"/>
        <v>30659.502720000004</v>
      </c>
      <c r="V280" s="20">
        <f t="shared" si="46"/>
        <v>10704.392720000003</v>
      </c>
      <c r="W280" s="22">
        <f t="shared" si="42"/>
        <v>0.34913784537729131</v>
      </c>
      <c r="X280" s="28" t="str">
        <f>TEXT(B280,"MMM-YYYY")</f>
        <v>Jun-2024</v>
      </c>
      <c r="Y280" s="7" t="str">
        <f t="shared" si="47"/>
        <v>Q2-2024</v>
      </c>
      <c r="Z280" s="7" t="str">
        <f t="shared" si="48"/>
        <v>Medium Price</v>
      </c>
      <c r="AA280" s="7" t="str">
        <f t="shared" si="49"/>
        <v>Q2</v>
      </c>
      <c r="AB280" s="28" t="str">
        <f t="shared" si="50"/>
        <v>Jun</v>
      </c>
      <c r="AC280" s="28" t="str">
        <f t="shared" si="51"/>
        <v>2024</v>
      </c>
    </row>
    <row r="281" spans="1:29" x14ac:dyDescent="0.25">
      <c r="A281" s="4" t="s">
        <v>293</v>
      </c>
      <c r="B281" s="14">
        <v>45229</v>
      </c>
      <c r="C281" s="14">
        <v>45244</v>
      </c>
      <c r="D281" s="16">
        <f t="shared" si="43"/>
        <v>15</v>
      </c>
      <c r="E281" s="4" t="s">
        <v>647</v>
      </c>
      <c r="F281" s="4" t="s">
        <v>654</v>
      </c>
      <c r="G281" s="4" t="s">
        <v>668</v>
      </c>
      <c r="H281" s="4" t="s">
        <v>701</v>
      </c>
      <c r="I281" s="4" t="s">
        <v>708</v>
      </c>
      <c r="J281" s="4" t="s">
        <v>721</v>
      </c>
      <c r="K281" s="4" t="s">
        <v>731</v>
      </c>
      <c r="L281" s="4" t="s">
        <v>1013</v>
      </c>
      <c r="M281" s="9">
        <v>5</v>
      </c>
      <c r="N281" s="16">
        <f>ROUND(IF('Dashboard Visualization'!$U$3="",'Working Data'!$M281,'Working Data'!$M281*(100% +'Dashboard Visualization'!$U$3)),0)</f>
        <v>5</v>
      </c>
      <c r="O281" s="19">
        <v>953.46</v>
      </c>
      <c r="P281" s="20">
        <f>IF('Dashboard Visualization'!$U$2="",'Working Data'!$O281*'Working Data'!$N281,'Working Data'!$O281*'Working Data'!$N281*(100%+'Dashboard Visualization'!$U$2))</f>
        <v>4767.3</v>
      </c>
      <c r="Q281" s="19">
        <v>2066.75</v>
      </c>
      <c r="R281" s="20">
        <f t="shared" si="44"/>
        <v>1781.5384999999999</v>
      </c>
      <c r="S281" s="11">
        <v>0.13800000000000001</v>
      </c>
      <c r="T281" s="22">
        <f>IF('Dashboard Visualization'!$U$1="",$S281,IF(S281&gt;'Dashboard Visualization'!$U$1,'Dashboard Visualization'!$U$1,S281))</f>
        <v>0.13800000000000001</v>
      </c>
      <c r="U281" s="20">
        <f t="shared" si="45"/>
        <v>7678.4309349999985</v>
      </c>
      <c r="V281" s="20">
        <f t="shared" si="46"/>
        <v>2911.1309349999983</v>
      </c>
      <c r="W281" s="22">
        <f t="shared" si="42"/>
        <v>0.37913096564174525</v>
      </c>
      <c r="X281" s="28" t="str">
        <f>TEXT(B281,"MMM-YYYY")</f>
        <v>Oct-2023</v>
      </c>
      <c r="Y281" s="7" t="str">
        <f t="shared" si="47"/>
        <v>Q4-2023</v>
      </c>
      <c r="Z281" s="7" t="str">
        <f t="shared" si="48"/>
        <v>Medium Price</v>
      </c>
      <c r="AA281" s="7" t="str">
        <f t="shared" si="49"/>
        <v>Q4</v>
      </c>
      <c r="AB281" s="28" t="str">
        <f t="shared" si="50"/>
        <v>Oct</v>
      </c>
      <c r="AC281" s="28" t="str">
        <f t="shared" si="51"/>
        <v>2023</v>
      </c>
    </row>
    <row r="282" spans="1:29" x14ac:dyDescent="0.25">
      <c r="A282" s="4" t="s">
        <v>294</v>
      </c>
      <c r="B282" s="14">
        <v>45092</v>
      </c>
      <c r="C282" s="14">
        <v>45100</v>
      </c>
      <c r="D282" s="16">
        <f t="shared" si="43"/>
        <v>8</v>
      </c>
      <c r="E282" s="4" t="s">
        <v>648</v>
      </c>
      <c r="F282" s="4" t="s">
        <v>660</v>
      </c>
      <c r="G282" s="4" t="s">
        <v>686</v>
      </c>
      <c r="H282" s="4" t="s">
        <v>704</v>
      </c>
      <c r="I282" s="4" t="s">
        <v>710</v>
      </c>
      <c r="J282" s="4" t="s">
        <v>719</v>
      </c>
      <c r="K282" s="4" t="s">
        <v>732</v>
      </c>
      <c r="L282" s="4" t="s">
        <v>1014</v>
      </c>
      <c r="M282" s="9">
        <v>9</v>
      </c>
      <c r="N282" s="16">
        <f>ROUND(IF('Dashboard Visualization'!$U$3="",'Working Data'!$M282,'Working Data'!$M282*(100% +'Dashboard Visualization'!$U$3)),0)</f>
        <v>9</v>
      </c>
      <c r="O282" s="19">
        <v>1097.0899999999999</v>
      </c>
      <c r="P282" s="20">
        <f>IF('Dashboard Visualization'!$U$2="",'Working Data'!$O282*'Working Data'!$N282,'Working Data'!$O282*'Working Data'!$N282*(100%+'Dashboard Visualization'!$U$2))</f>
        <v>9873.81</v>
      </c>
      <c r="Q282" s="19">
        <v>2182.31</v>
      </c>
      <c r="R282" s="20">
        <f t="shared" si="44"/>
        <v>1937.8912800000001</v>
      </c>
      <c r="S282" s="11">
        <v>0.112</v>
      </c>
      <c r="T282" s="22">
        <f>IF('Dashboard Visualization'!$U$1="",$S282,IF(S282&gt;'Dashboard Visualization'!$U$1,'Dashboard Visualization'!$U$1,S282))</f>
        <v>0.112</v>
      </c>
      <c r="U282" s="20">
        <f t="shared" si="45"/>
        <v>15487.62710976</v>
      </c>
      <c r="V282" s="20">
        <f t="shared" si="46"/>
        <v>5613.8171097600007</v>
      </c>
      <c r="W282" s="22">
        <f t="shared" si="42"/>
        <v>0.36247109192229215</v>
      </c>
      <c r="X282" s="28" t="str">
        <f>TEXT(B282,"MMM-YYYY")</f>
        <v>Jun-2023</v>
      </c>
      <c r="Y282" s="7" t="str">
        <f t="shared" si="47"/>
        <v>Q2-2023</v>
      </c>
      <c r="Z282" s="7" t="str">
        <f t="shared" si="48"/>
        <v>Medium Price</v>
      </c>
      <c r="AA282" s="7" t="str">
        <f t="shared" si="49"/>
        <v>Q2</v>
      </c>
      <c r="AB282" s="28" t="str">
        <f t="shared" si="50"/>
        <v>Jun</v>
      </c>
      <c r="AC282" s="28" t="str">
        <f t="shared" si="51"/>
        <v>2023</v>
      </c>
    </row>
    <row r="283" spans="1:29" x14ac:dyDescent="0.25">
      <c r="A283" s="4" t="s">
        <v>295</v>
      </c>
      <c r="B283" s="14">
        <v>45730</v>
      </c>
      <c r="C283" s="14">
        <v>45745</v>
      </c>
      <c r="D283" s="16">
        <f t="shared" si="43"/>
        <v>15</v>
      </c>
      <c r="E283" s="4" t="s">
        <v>647</v>
      </c>
      <c r="F283" s="4" t="s">
        <v>652</v>
      </c>
      <c r="G283" s="4" t="s">
        <v>689</v>
      </c>
      <c r="H283" s="4" t="s">
        <v>703</v>
      </c>
      <c r="I283" s="4" t="s">
        <v>711</v>
      </c>
      <c r="J283" s="4" t="s">
        <v>722</v>
      </c>
      <c r="K283" s="4" t="s">
        <v>729</v>
      </c>
      <c r="L283" s="4" t="s">
        <v>1015</v>
      </c>
      <c r="M283" s="9">
        <v>7</v>
      </c>
      <c r="N283" s="16">
        <f>ROUND(IF('Dashboard Visualization'!$U$3="",'Working Data'!$M283,'Working Data'!$M283*(100% +'Dashboard Visualization'!$U$3)),0)</f>
        <v>7</v>
      </c>
      <c r="O283" s="19">
        <v>1106.96</v>
      </c>
      <c r="P283" s="20">
        <f>IF('Dashboard Visualization'!$U$2="",'Working Data'!$O283*'Working Data'!$N283,'Working Data'!$O283*'Working Data'!$N283*(100%+'Dashboard Visualization'!$U$2))</f>
        <v>7748.72</v>
      </c>
      <c r="Q283" s="19">
        <v>2726.62</v>
      </c>
      <c r="R283" s="20">
        <f t="shared" si="44"/>
        <v>1862.2814600000002</v>
      </c>
      <c r="S283" s="11">
        <v>0.317</v>
      </c>
      <c r="T283" s="22">
        <f>IF('Dashboard Visualization'!$U$1="",$S283,IF(S283&gt;'Dashboard Visualization'!$U$1,'Dashboard Visualization'!$U$1,S283))</f>
        <v>0.317</v>
      </c>
      <c r="U283" s="20">
        <f t="shared" si="45"/>
        <v>8903.5676602600015</v>
      </c>
      <c r="V283" s="20">
        <f t="shared" si="46"/>
        <v>1154.8476602600012</v>
      </c>
      <c r="W283" s="22">
        <f t="shared" si="42"/>
        <v>0.12970616996763268</v>
      </c>
      <c r="X283" s="28" t="str">
        <f>TEXT(B283,"MMM-YYYY")</f>
        <v>Mar-2025</v>
      </c>
      <c r="Y283" s="7" t="str">
        <f t="shared" si="47"/>
        <v>Q1-2025</v>
      </c>
      <c r="Z283" s="7" t="str">
        <f t="shared" si="48"/>
        <v>Medium Price</v>
      </c>
      <c r="AA283" s="7" t="str">
        <f t="shared" si="49"/>
        <v>Q1</v>
      </c>
      <c r="AB283" s="28" t="str">
        <f t="shared" si="50"/>
        <v>Mar</v>
      </c>
      <c r="AC283" s="28" t="str">
        <f t="shared" si="51"/>
        <v>2025</v>
      </c>
    </row>
    <row r="284" spans="1:29" x14ac:dyDescent="0.25">
      <c r="A284" s="4" t="s">
        <v>296</v>
      </c>
      <c r="B284" s="14">
        <v>45153</v>
      </c>
      <c r="C284" s="14">
        <v>45163</v>
      </c>
      <c r="D284" s="16">
        <f t="shared" si="43"/>
        <v>10</v>
      </c>
      <c r="E284" s="4" t="s">
        <v>646</v>
      </c>
      <c r="F284" s="4" t="s">
        <v>650</v>
      </c>
      <c r="G284" s="4" t="s">
        <v>664</v>
      </c>
      <c r="H284" s="4" t="s">
        <v>705</v>
      </c>
      <c r="I284" s="4" t="s">
        <v>707</v>
      </c>
      <c r="J284" s="4" t="s">
        <v>725</v>
      </c>
      <c r="K284" s="4" t="s">
        <v>730</v>
      </c>
      <c r="L284" s="4" t="s">
        <v>1016</v>
      </c>
      <c r="M284" s="9">
        <v>6</v>
      </c>
      <c r="N284" s="16">
        <f>ROUND(IF('Dashboard Visualization'!$U$3="",'Working Data'!$M284,'Working Data'!$M284*(100% +'Dashboard Visualization'!$U$3)),0)</f>
        <v>6</v>
      </c>
      <c r="O284" s="19">
        <v>91.85</v>
      </c>
      <c r="P284" s="20">
        <f>IF('Dashboard Visualization'!$U$2="",'Working Data'!$O284*'Working Data'!$N284,'Working Data'!$O284*'Working Data'!$N284*(100%+'Dashboard Visualization'!$U$2))</f>
        <v>551.09999999999991</v>
      </c>
      <c r="Q284" s="19">
        <v>111.29</v>
      </c>
      <c r="R284" s="20">
        <f t="shared" si="44"/>
        <v>111.29</v>
      </c>
      <c r="S284" s="11">
        <v>0</v>
      </c>
      <c r="T284" s="22">
        <f>IF('Dashboard Visualization'!$U$1="",$S284,IF(S284&gt;'Dashboard Visualization'!$U$1,'Dashboard Visualization'!$U$1,S284))</f>
        <v>0</v>
      </c>
      <c r="U284" s="20">
        <f t="shared" si="45"/>
        <v>667.74</v>
      </c>
      <c r="V284" s="20">
        <f t="shared" si="46"/>
        <v>116.6400000000001</v>
      </c>
      <c r="W284" s="22">
        <f t="shared" si="42"/>
        <v>0.17467876718483258</v>
      </c>
      <c r="X284" s="28" t="str">
        <f>TEXT(B284,"MMM-YYYY")</f>
        <v>Aug-2023</v>
      </c>
      <c r="Y284" s="7" t="str">
        <f t="shared" si="47"/>
        <v>Q3-2023</v>
      </c>
      <c r="Z284" s="7" t="str">
        <f t="shared" si="48"/>
        <v>Low Price</v>
      </c>
      <c r="AA284" s="7" t="str">
        <f t="shared" si="49"/>
        <v>Q3</v>
      </c>
      <c r="AB284" s="28" t="str">
        <f t="shared" si="50"/>
        <v>Aug</v>
      </c>
      <c r="AC284" s="28" t="str">
        <f t="shared" si="51"/>
        <v>2023</v>
      </c>
    </row>
    <row r="285" spans="1:29" x14ac:dyDescent="0.25">
      <c r="A285" s="4" t="s">
        <v>297</v>
      </c>
      <c r="B285" s="14">
        <v>45794</v>
      </c>
      <c r="C285" s="14">
        <v>45805</v>
      </c>
      <c r="D285" s="16">
        <f t="shared" si="43"/>
        <v>11</v>
      </c>
      <c r="E285" s="4" t="s">
        <v>647</v>
      </c>
      <c r="F285" s="4" t="s">
        <v>654</v>
      </c>
      <c r="G285" s="4" t="s">
        <v>668</v>
      </c>
      <c r="H285" s="4" t="s">
        <v>701</v>
      </c>
      <c r="I285" s="4" t="s">
        <v>710</v>
      </c>
      <c r="J285" s="4" t="s">
        <v>717</v>
      </c>
      <c r="K285" s="4" t="s">
        <v>731</v>
      </c>
      <c r="L285" s="4" t="s">
        <v>1017</v>
      </c>
      <c r="M285" s="9">
        <v>12</v>
      </c>
      <c r="N285" s="16">
        <f>ROUND(IF('Dashboard Visualization'!$U$3="",'Working Data'!$M285,'Working Data'!$M285*(100% +'Dashboard Visualization'!$U$3)),0)</f>
        <v>12</v>
      </c>
      <c r="O285" s="19">
        <v>623.4</v>
      </c>
      <c r="P285" s="20">
        <f>IF('Dashboard Visualization'!$U$2="",'Working Data'!$O285*'Working Data'!$N285,'Working Data'!$O285*'Working Data'!$N285*(100%+'Dashboard Visualization'!$U$2))</f>
        <v>7480.7999999999993</v>
      </c>
      <c r="Q285" s="19">
        <v>1100.0899999999999</v>
      </c>
      <c r="R285" s="20">
        <f t="shared" si="44"/>
        <v>974.67973999999992</v>
      </c>
      <c r="S285" s="11">
        <v>0.114</v>
      </c>
      <c r="T285" s="22">
        <f>IF('Dashboard Visualization'!$U$1="",$S285,IF(S285&gt;'Dashboard Visualization'!$U$1,'Dashboard Visualization'!$U$1,S285))</f>
        <v>0.114</v>
      </c>
      <c r="U285" s="20">
        <f t="shared" si="45"/>
        <v>10362.794995679998</v>
      </c>
      <c r="V285" s="20">
        <f t="shared" si="46"/>
        <v>2881.9949956799992</v>
      </c>
      <c r="W285" s="22">
        <f t="shared" si="42"/>
        <v>0.27810981466693435</v>
      </c>
      <c r="X285" s="28" t="str">
        <f>TEXT(B285,"MMM-YYYY")</f>
        <v>May-2025</v>
      </c>
      <c r="Y285" s="7" t="str">
        <f t="shared" si="47"/>
        <v>Q2-2025</v>
      </c>
      <c r="Z285" s="7" t="str">
        <f t="shared" si="48"/>
        <v>High Price</v>
      </c>
      <c r="AA285" s="7" t="str">
        <f t="shared" si="49"/>
        <v>Q2</v>
      </c>
      <c r="AB285" s="28" t="str">
        <f t="shared" si="50"/>
        <v>May</v>
      </c>
      <c r="AC285" s="28" t="str">
        <f t="shared" si="51"/>
        <v>2025</v>
      </c>
    </row>
    <row r="286" spans="1:29" x14ac:dyDescent="0.25">
      <c r="A286" s="4" t="s">
        <v>298</v>
      </c>
      <c r="B286" s="14">
        <v>45304</v>
      </c>
      <c r="C286" s="14">
        <v>45327</v>
      </c>
      <c r="D286" s="16">
        <f t="shared" si="43"/>
        <v>23</v>
      </c>
      <c r="E286" s="4" t="s">
        <v>649</v>
      </c>
      <c r="F286" s="4" t="s">
        <v>656</v>
      </c>
      <c r="G286" s="4" t="s">
        <v>698</v>
      </c>
      <c r="H286" s="4" t="s">
        <v>702</v>
      </c>
      <c r="I286" s="4" t="s">
        <v>711</v>
      </c>
      <c r="J286" s="4" t="s">
        <v>717</v>
      </c>
      <c r="K286" s="4" t="s">
        <v>731</v>
      </c>
      <c r="L286" s="4" t="s">
        <v>1018</v>
      </c>
      <c r="M286" s="9">
        <v>12</v>
      </c>
      <c r="N286" s="16">
        <f>ROUND(IF('Dashboard Visualization'!$U$3="",'Working Data'!$M286,'Working Data'!$M286*(100% +'Dashboard Visualization'!$U$3)),0)</f>
        <v>12</v>
      </c>
      <c r="O286" s="19">
        <v>1017.93</v>
      </c>
      <c r="P286" s="20">
        <f>IF('Dashboard Visualization'!$U$2="",'Working Data'!$O286*'Working Data'!$N286,'Working Data'!$O286*'Working Data'!$N286*(100%+'Dashboard Visualization'!$U$2))</f>
        <v>12215.16</v>
      </c>
      <c r="Q286" s="19">
        <v>1529.14</v>
      </c>
      <c r="R286" s="20">
        <f t="shared" si="44"/>
        <v>1292.1233</v>
      </c>
      <c r="S286" s="11">
        <v>0.155</v>
      </c>
      <c r="T286" s="22">
        <f>IF('Dashboard Visualization'!$U$1="",$S286,IF(S286&gt;'Dashboard Visualization'!$U$1,'Dashboard Visualization'!$U$1,S286))</f>
        <v>0.155</v>
      </c>
      <c r="U286" s="20">
        <f t="shared" si="45"/>
        <v>13102.130261999999</v>
      </c>
      <c r="V286" s="20">
        <f t="shared" si="46"/>
        <v>886.97026199999891</v>
      </c>
      <c r="W286" s="22">
        <f t="shared" si="42"/>
        <v>6.7696645069425965E-2</v>
      </c>
      <c r="X286" s="28" t="str">
        <f>TEXT(B286,"MMM-YYYY")</f>
        <v>Jan-2024</v>
      </c>
      <c r="Y286" s="7" t="str">
        <f t="shared" si="47"/>
        <v>Q1-2024</v>
      </c>
      <c r="Z286" s="7" t="str">
        <f t="shared" si="48"/>
        <v>High Price</v>
      </c>
      <c r="AA286" s="7" t="str">
        <f t="shared" si="49"/>
        <v>Q1</v>
      </c>
      <c r="AB286" s="28" t="str">
        <f t="shared" si="50"/>
        <v>Jan</v>
      </c>
      <c r="AC286" s="28" t="str">
        <f t="shared" si="51"/>
        <v>2024</v>
      </c>
    </row>
    <row r="287" spans="1:29" x14ac:dyDescent="0.25">
      <c r="A287" s="4" t="s">
        <v>299</v>
      </c>
      <c r="B287" s="14">
        <v>45101</v>
      </c>
      <c r="C287" s="14">
        <v>45128</v>
      </c>
      <c r="D287" s="16">
        <f t="shared" si="43"/>
        <v>27</v>
      </c>
      <c r="E287" s="4" t="s">
        <v>647</v>
      </c>
      <c r="F287" s="4" t="s">
        <v>652</v>
      </c>
      <c r="G287" s="4" t="s">
        <v>694</v>
      </c>
      <c r="H287" s="4" t="s">
        <v>704</v>
      </c>
      <c r="I287" s="4" t="s">
        <v>709</v>
      </c>
      <c r="J287" s="4" t="s">
        <v>713</v>
      </c>
      <c r="K287" s="4" t="s">
        <v>730</v>
      </c>
      <c r="L287" s="4" t="s">
        <v>1019</v>
      </c>
      <c r="M287" s="9">
        <v>7</v>
      </c>
      <c r="N287" s="16">
        <f>ROUND(IF('Dashboard Visualization'!$U$3="",'Working Data'!$M287,'Working Data'!$M287*(100% +'Dashboard Visualization'!$U$3)),0)</f>
        <v>7</v>
      </c>
      <c r="O287" s="19">
        <v>554.76</v>
      </c>
      <c r="P287" s="20">
        <f>IF('Dashboard Visualization'!$U$2="",'Working Data'!$O287*'Working Data'!$N287,'Working Data'!$O287*'Working Data'!$N287*(100%+'Dashboard Visualization'!$U$2))</f>
        <v>3883.3199999999997</v>
      </c>
      <c r="Q287" s="19">
        <v>728.69</v>
      </c>
      <c r="R287" s="20">
        <f t="shared" si="44"/>
        <v>568.37820000000011</v>
      </c>
      <c r="S287" s="11">
        <v>0.22</v>
      </c>
      <c r="T287" s="22">
        <f>IF('Dashboard Visualization'!$U$1="",$S287,IF(S287&gt;'Dashboard Visualization'!$U$1,'Dashboard Visualization'!$U$1,S287))</f>
        <v>0.22</v>
      </c>
      <c r="U287" s="20">
        <f t="shared" si="45"/>
        <v>3103.3449720000008</v>
      </c>
      <c r="V287" s="20">
        <f t="shared" si="46"/>
        <v>-779.97502799999893</v>
      </c>
      <c r="W287" s="22">
        <f t="shared" si="42"/>
        <v>0</v>
      </c>
      <c r="X287" s="28" t="str">
        <f>TEXT(B287,"MMM-YYYY")</f>
        <v>Jun-2023</v>
      </c>
      <c r="Y287" s="7" t="str">
        <f t="shared" si="47"/>
        <v>Q2-2023</v>
      </c>
      <c r="Z287" s="7" t="str">
        <f t="shared" si="48"/>
        <v>High Price</v>
      </c>
      <c r="AA287" s="7" t="str">
        <f t="shared" si="49"/>
        <v>Q2</v>
      </c>
      <c r="AB287" s="28" t="str">
        <f t="shared" si="50"/>
        <v>Jun</v>
      </c>
      <c r="AC287" s="28" t="str">
        <f t="shared" si="51"/>
        <v>2023</v>
      </c>
    </row>
    <row r="288" spans="1:29" x14ac:dyDescent="0.25">
      <c r="A288" s="4" t="s">
        <v>300</v>
      </c>
      <c r="B288" s="14">
        <v>45751</v>
      </c>
      <c r="C288" s="14">
        <v>45760</v>
      </c>
      <c r="D288" s="16">
        <f t="shared" si="43"/>
        <v>9</v>
      </c>
      <c r="E288" s="4" t="s">
        <v>649</v>
      </c>
      <c r="F288" s="4" t="s">
        <v>656</v>
      </c>
      <c r="G288" s="4" t="s">
        <v>684</v>
      </c>
      <c r="H288" s="4" t="s">
        <v>704</v>
      </c>
      <c r="I288" s="4" t="s">
        <v>709</v>
      </c>
      <c r="J288" s="4" t="s">
        <v>721</v>
      </c>
      <c r="K288" s="4" t="s">
        <v>730</v>
      </c>
      <c r="L288" s="4" t="s">
        <v>1020</v>
      </c>
      <c r="M288" s="9">
        <v>14</v>
      </c>
      <c r="N288" s="16">
        <f>ROUND(IF('Dashboard Visualization'!$U$3="",'Working Data'!$M288,'Working Data'!$M288*(100% +'Dashboard Visualization'!$U$3)),0)</f>
        <v>14</v>
      </c>
      <c r="O288" s="19">
        <v>7.02</v>
      </c>
      <c r="P288" s="20">
        <f>IF('Dashboard Visualization'!$U$2="",'Working Data'!$O288*'Working Data'!$N288,'Working Data'!$O288*'Working Data'!$N288*(100%+'Dashboard Visualization'!$U$2))</f>
        <v>98.28</v>
      </c>
      <c r="Q288" s="19">
        <v>6.28</v>
      </c>
      <c r="R288" s="20">
        <f t="shared" si="44"/>
        <v>5.4384800000000002</v>
      </c>
      <c r="S288" s="11">
        <v>0.13400000000000001</v>
      </c>
      <c r="T288" s="22">
        <f>IF('Dashboard Visualization'!$U$1="",$S288,IF(S288&gt;'Dashboard Visualization'!$U$1,'Dashboard Visualization'!$U$1,S288))</f>
        <v>0.13400000000000001</v>
      </c>
      <c r="U288" s="20">
        <f t="shared" si="45"/>
        <v>65.936131520000004</v>
      </c>
      <c r="V288" s="20">
        <f t="shared" si="46"/>
        <v>-32.343868479999998</v>
      </c>
      <c r="W288" s="22">
        <f t="shared" si="42"/>
        <v>0</v>
      </c>
      <c r="X288" s="28" t="str">
        <f>TEXT(B288,"MMM-YYYY")</f>
        <v>Apr-2025</v>
      </c>
      <c r="Y288" s="7" t="str">
        <f t="shared" si="47"/>
        <v>Q2-2025</v>
      </c>
      <c r="Z288" s="7" t="str">
        <f t="shared" si="48"/>
        <v>Low Price</v>
      </c>
      <c r="AA288" s="7" t="str">
        <f t="shared" si="49"/>
        <v>Q2</v>
      </c>
      <c r="AB288" s="28" t="str">
        <f t="shared" si="50"/>
        <v>Apr</v>
      </c>
      <c r="AC288" s="28" t="str">
        <f t="shared" si="51"/>
        <v>2025</v>
      </c>
    </row>
    <row r="289" spans="1:29" x14ac:dyDescent="0.25">
      <c r="A289" s="4" t="s">
        <v>301</v>
      </c>
      <c r="B289" s="14">
        <v>45542</v>
      </c>
      <c r="C289" s="14">
        <v>45542</v>
      </c>
      <c r="D289" s="16">
        <f t="shared" si="43"/>
        <v>0</v>
      </c>
      <c r="E289" s="4" t="s">
        <v>647</v>
      </c>
      <c r="F289" s="4" t="s">
        <v>654</v>
      </c>
      <c r="G289" s="4" t="s">
        <v>691</v>
      </c>
      <c r="H289" s="4" t="s">
        <v>702</v>
      </c>
      <c r="I289" s="4" t="s">
        <v>710</v>
      </c>
      <c r="J289" s="4" t="s">
        <v>717</v>
      </c>
      <c r="K289" s="4" t="s">
        <v>729</v>
      </c>
      <c r="L289" s="4" t="s">
        <v>1021</v>
      </c>
      <c r="M289" s="9">
        <v>9</v>
      </c>
      <c r="N289" s="16">
        <f>ROUND(IF('Dashboard Visualization'!$U$3="",'Working Data'!$M289,'Working Data'!$M289*(100% +'Dashboard Visualization'!$U$3)),0)</f>
        <v>9</v>
      </c>
      <c r="O289" s="19">
        <v>1066.6500000000001</v>
      </c>
      <c r="P289" s="20">
        <f>IF('Dashboard Visualization'!$U$2="",'Working Data'!$O289*'Working Data'!$N289,'Working Data'!$O289*'Working Data'!$N289*(100%+'Dashboard Visualization'!$U$2))</f>
        <v>9599.85</v>
      </c>
      <c r="Q289" s="19">
        <v>2569.77</v>
      </c>
      <c r="R289" s="20">
        <f t="shared" si="44"/>
        <v>2225.4208199999998</v>
      </c>
      <c r="S289" s="11">
        <v>0.13400000000000001</v>
      </c>
      <c r="T289" s="22">
        <f>IF('Dashboard Visualization'!$U$1="",$S289,IF(S289&gt;'Dashboard Visualization'!$U$1,'Dashboard Visualization'!$U$1,S289))</f>
        <v>0.13400000000000001</v>
      </c>
      <c r="U289" s="20">
        <f t="shared" si="45"/>
        <v>17344.929871079999</v>
      </c>
      <c r="V289" s="20">
        <f t="shared" si="46"/>
        <v>7745.0798710799991</v>
      </c>
      <c r="W289" s="22">
        <f t="shared" si="42"/>
        <v>0.44653278673635499</v>
      </c>
      <c r="X289" s="28" t="str">
        <f>TEXT(B289,"MMM-YYYY")</f>
        <v>Sep-2024</v>
      </c>
      <c r="Y289" s="7" t="str">
        <f t="shared" si="47"/>
        <v>Q3-2024</v>
      </c>
      <c r="Z289" s="7" t="str">
        <f t="shared" si="48"/>
        <v>Medium Price</v>
      </c>
      <c r="AA289" s="7" t="str">
        <f t="shared" si="49"/>
        <v>Q3</v>
      </c>
      <c r="AB289" s="28" t="str">
        <f t="shared" si="50"/>
        <v>Sep</v>
      </c>
      <c r="AC289" s="28" t="str">
        <f t="shared" si="51"/>
        <v>2024</v>
      </c>
    </row>
    <row r="290" spans="1:29" x14ac:dyDescent="0.25">
      <c r="A290" s="4" t="s">
        <v>302</v>
      </c>
      <c r="B290" s="14">
        <v>45319</v>
      </c>
      <c r="C290" s="14">
        <v>45321</v>
      </c>
      <c r="D290" s="16">
        <f t="shared" si="43"/>
        <v>2</v>
      </c>
      <c r="E290" s="4" t="s">
        <v>646</v>
      </c>
      <c r="F290" s="4" t="s">
        <v>661</v>
      </c>
      <c r="G290" s="4" t="s">
        <v>695</v>
      </c>
      <c r="H290" s="4" t="s">
        <v>704</v>
      </c>
      <c r="I290" s="4" t="s">
        <v>711</v>
      </c>
      <c r="J290" s="4" t="s">
        <v>721</v>
      </c>
      <c r="K290" s="4" t="s">
        <v>733</v>
      </c>
      <c r="L290" s="4" t="s">
        <v>1022</v>
      </c>
      <c r="M290" s="9">
        <v>18</v>
      </c>
      <c r="N290" s="16">
        <f>ROUND(IF('Dashboard Visualization'!$U$3="",'Working Data'!$M290,'Working Data'!$M290*(100% +'Dashboard Visualization'!$U$3)),0)</f>
        <v>18</v>
      </c>
      <c r="O290" s="19">
        <v>798.45</v>
      </c>
      <c r="P290" s="20">
        <f>IF('Dashboard Visualization'!$U$2="",'Working Data'!$O290*'Working Data'!$N290,'Working Data'!$O290*'Working Data'!$N290*(100%+'Dashboard Visualization'!$U$2))</f>
        <v>14372.1</v>
      </c>
      <c r="Q290" s="19">
        <v>1592.02</v>
      </c>
      <c r="R290" s="20">
        <f t="shared" si="44"/>
        <v>1486.9466799999998</v>
      </c>
      <c r="S290" s="11">
        <v>6.6000000000000003E-2</v>
      </c>
      <c r="T290" s="22">
        <f>IF('Dashboard Visualization'!$U$1="",$S290,IF(S290&gt;'Dashboard Visualization'!$U$1,'Dashboard Visualization'!$U$1,S290))</f>
        <v>6.6000000000000003E-2</v>
      </c>
      <c r="U290" s="20">
        <f t="shared" si="45"/>
        <v>24998.547584159995</v>
      </c>
      <c r="V290" s="20">
        <f t="shared" si="46"/>
        <v>10626.447584159994</v>
      </c>
      <c r="W290" s="22">
        <f t="shared" si="42"/>
        <v>0.42508259923441732</v>
      </c>
      <c r="X290" s="28" t="str">
        <f>TEXT(B290,"MMM-YYYY")</f>
        <v>Jan-2024</v>
      </c>
      <c r="Y290" s="7" t="str">
        <f t="shared" si="47"/>
        <v>Q1-2024</v>
      </c>
      <c r="Z290" s="7" t="str">
        <f t="shared" si="48"/>
        <v>High Price</v>
      </c>
      <c r="AA290" s="7" t="str">
        <f t="shared" si="49"/>
        <v>Q1</v>
      </c>
      <c r="AB290" s="28" t="str">
        <f t="shared" si="50"/>
        <v>Jan</v>
      </c>
      <c r="AC290" s="28" t="str">
        <f t="shared" si="51"/>
        <v>2024</v>
      </c>
    </row>
    <row r="291" spans="1:29" x14ac:dyDescent="0.25">
      <c r="A291" s="4" t="s">
        <v>303</v>
      </c>
      <c r="B291" s="14">
        <v>45125</v>
      </c>
      <c r="C291" s="14">
        <v>45148</v>
      </c>
      <c r="D291" s="16">
        <f t="shared" si="43"/>
        <v>23</v>
      </c>
      <c r="E291" s="4" t="s">
        <v>646</v>
      </c>
      <c r="F291" s="4" t="s">
        <v>661</v>
      </c>
      <c r="G291" s="4" t="s">
        <v>682</v>
      </c>
      <c r="H291" s="4" t="s">
        <v>705</v>
      </c>
      <c r="I291" s="4" t="s">
        <v>707</v>
      </c>
      <c r="J291" s="4" t="s">
        <v>716</v>
      </c>
      <c r="K291" s="4" t="s">
        <v>727</v>
      </c>
      <c r="L291" s="4" t="s">
        <v>1023</v>
      </c>
      <c r="M291" s="9">
        <v>13</v>
      </c>
      <c r="N291" s="16">
        <f>ROUND(IF('Dashboard Visualization'!$U$3="",'Working Data'!$M291,'Working Data'!$M291*(100% +'Dashboard Visualization'!$U$3)),0)</f>
        <v>13</v>
      </c>
      <c r="O291" s="19">
        <v>1271.56</v>
      </c>
      <c r="P291" s="20">
        <f>IF('Dashboard Visualization'!$U$2="",'Working Data'!$O291*'Working Data'!$N291,'Working Data'!$O291*'Working Data'!$N291*(100%+'Dashboard Visualization'!$U$2))</f>
        <v>16530.28</v>
      </c>
      <c r="Q291" s="19">
        <v>995.47</v>
      </c>
      <c r="R291" s="20">
        <f t="shared" si="44"/>
        <v>804.33976000000007</v>
      </c>
      <c r="S291" s="11">
        <v>0.192</v>
      </c>
      <c r="T291" s="22">
        <f>IF('Dashboard Visualization'!$U$1="",$S291,IF(S291&gt;'Dashboard Visualization'!$U$1,'Dashboard Visualization'!$U$1,S291))</f>
        <v>0.192</v>
      </c>
      <c r="U291" s="20">
        <f t="shared" si="45"/>
        <v>8448.7848390400013</v>
      </c>
      <c r="V291" s="20">
        <f t="shared" si="46"/>
        <v>-8081.4951609599975</v>
      </c>
      <c r="W291" s="22">
        <f t="shared" si="42"/>
        <v>0</v>
      </c>
      <c r="X291" s="28" t="str">
        <f>TEXT(B291,"MMM-YYYY")</f>
        <v>Jul-2023</v>
      </c>
      <c r="Y291" s="7" t="str">
        <f t="shared" si="47"/>
        <v>Q3-2023</v>
      </c>
      <c r="Z291" s="7" t="str">
        <f t="shared" si="48"/>
        <v>High Price</v>
      </c>
      <c r="AA291" s="7" t="str">
        <f t="shared" si="49"/>
        <v>Q3</v>
      </c>
      <c r="AB291" s="28" t="str">
        <f t="shared" si="50"/>
        <v>Jul</v>
      </c>
      <c r="AC291" s="28" t="str">
        <f t="shared" si="51"/>
        <v>2023</v>
      </c>
    </row>
    <row r="292" spans="1:29" x14ac:dyDescent="0.25">
      <c r="A292" s="4" t="s">
        <v>304</v>
      </c>
      <c r="B292" s="14">
        <v>45897</v>
      </c>
      <c r="C292" s="14">
        <v>45895</v>
      </c>
      <c r="D292" s="16" t="str">
        <f t="shared" si="43"/>
        <v/>
      </c>
      <c r="E292" s="4" t="s">
        <v>646</v>
      </c>
      <c r="F292" s="4" t="s">
        <v>651</v>
      </c>
      <c r="G292" s="4" t="s">
        <v>663</v>
      </c>
      <c r="H292" s="4" t="s">
        <v>705</v>
      </c>
      <c r="I292" s="4" t="s">
        <v>707</v>
      </c>
      <c r="J292" s="4" t="s">
        <v>720</v>
      </c>
      <c r="K292" s="4" t="s">
        <v>733</v>
      </c>
      <c r="L292" s="4" t="s">
        <v>1024</v>
      </c>
      <c r="M292" s="9">
        <v>18</v>
      </c>
      <c r="N292" s="16">
        <f>ROUND(IF('Dashboard Visualization'!$U$3="",'Working Data'!$M292,'Working Data'!$M292*(100% +'Dashboard Visualization'!$U$3)),0)</f>
        <v>18</v>
      </c>
      <c r="O292" s="19">
        <v>521.05999999999995</v>
      </c>
      <c r="P292" s="20">
        <f>IF('Dashboard Visualization'!$U$2="",'Working Data'!$O292*'Working Data'!$N292,'Working Data'!$O292*'Working Data'!$N292*(100%+'Dashboard Visualization'!$U$2))</f>
        <v>9379.0799999999981</v>
      </c>
      <c r="Q292" s="19">
        <v>1240.31</v>
      </c>
      <c r="R292" s="20">
        <f t="shared" si="44"/>
        <v>1059.2247399999999</v>
      </c>
      <c r="S292" s="11">
        <v>0.14599999999999999</v>
      </c>
      <c r="T292" s="22">
        <f>IF('Dashboard Visualization'!$U$1="",$S292,IF(S292&gt;'Dashboard Visualization'!$U$1,'Dashboard Visualization'!$U$1,S292))</f>
        <v>0.14599999999999999</v>
      </c>
      <c r="U292" s="20">
        <f t="shared" si="45"/>
        <v>16282.402703279999</v>
      </c>
      <c r="V292" s="20">
        <f t="shared" si="46"/>
        <v>6903.3227032800005</v>
      </c>
      <c r="W292" s="22">
        <f t="shared" si="42"/>
        <v>0.42397444830973041</v>
      </c>
      <c r="X292" s="28" t="str">
        <f>TEXT(B292,"MMM-YYYY")</f>
        <v>Aug-2025</v>
      </c>
      <c r="Y292" s="7" t="str">
        <f t="shared" si="47"/>
        <v>Q3-2025</v>
      </c>
      <c r="Z292" s="7" t="str">
        <f t="shared" si="48"/>
        <v>High Price</v>
      </c>
      <c r="AA292" s="7" t="str">
        <f t="shared" si="49"/>
        <v>Q3</v>
      </c>
      <c r="AB292" s="28" t="str">
        <f t="shared" si="50"/>
        <v>Aug</v>
      </c>
      <c r="AC292" s="28" t="str">
        <f t="shared" si="51"/>
        <v>2025</v>
      </c>
    </row>
    <row r="293" spans="1:29" x14ac:dyDescent="0.25">
      <c r="A293" s="4" t="s">
        <v>305</v>
      </c>
      <c r="B293" s="14">
        <v>45746</v>
      </c>
      <c r="C293" s="14">
        <v>45754</v>
      </c>
      <c r="D293" s="16">
        <f t="shared" si="43"/>
        <v>8</v>
      </c>
      <c r="E293" s="4" t="s">
        <v>648</v>
      </c>
      <c r="F293" s="4" t="s">
        <v>655</v>
      </c>
      <c r="G293" s="4" t="s">
        <v>670</v>
      </c>
      <c r="H293" s="4" t="s">
        <v>703</v>
      </c>
      <c r="I293" s="4" t="s">
        <v>711</v>
      </c>
      <c r="J293" s="4" t="s">
        <v>716</v>
      </c>
      <c r="K293" s="4" t="s">
        <v>728</v>
      </c>
      <c r="L293" s="4" t="s">
        <v>1025</v>
      </c>
      <c r="M293" s="9">
        <v>11</v>
      </c>
      <c r="N293" s="16">
        <f>ROUND(IF('Dashboard Visualization'!$U$3="",'Working Data'!$M293,'Working Data'!$M293*(100% +'Dashboard Visualization'!$U$3)),0)</f>
        <v>11</v>
      </c>
      <c r="O293" s="19">
        <v>71.62</v>
      </c>
      <c r="P293" s="20">
        <f>IF('Dashboard Visualization'!$U$2="",'Working Data'!$O293*'Working Data'!$N293,'Working Data'!$O293*'Working Data'!$N293*(100%+'Dashboard Visualization'!$U$2))</f>
        <v>787.82</v>
      </c>
      <c r="Q293" s="19">
        <v>118.37</v>
      </c>
      <c r="R293" s="20">
        <f t="shared" si="44"/>
        <v>99.90428</v>
      </c>
      <c r="S293" s="11">
        <v>0.156</v>
      </c>
      <c r="T293" s="22">
        <f>IF('Dashboard Visualization'!$U$1="",$S293,IF(S293&gt;'Dashboard Visualization'!$U$1,'Dashboard Visualization'!$U$1,S293))</f>
        <v>0.156</v>
      </c>
      <c r="U293" s="20">
        <f t="shared" si="45"/>
        <v>927.51133551999988</v>
      </c>
      <c r="V293" s="20">
        <f t="shared" si="46"/>
        <v>139.69133551999983</v>
      </c>
      <c r="W293" s="22">
        <f t="shared" si="42"/>
        <v>0.15060876365643908</v>
      </c>
      <c r="X293" s="28" t="str">
        <f>TEXT(B293,"MMM-YYYY")</f>
        <v>Mar-2025</v>
      </c>
      <c r="Y293" s="7" t="str">
        <f t="shared" si="47"/>
        <v>Q1-2025</v>
      </c>
      <c r="Z293" s="7" t="str">
        <f t="shared" si="48"/>
        <v>Low Price</v>
      </c>
      <c r="AA293" s="7" t="str">
        <f t="shared" si="49"/>
        <v>Q1</v>
      </c>
      <c r="AB293" s="28" t="str">
        <f t="shared" si="50"/>
        <v>Mar</v>
      </c>
      <c r="AC293" s="28" t="str">
        <f t="shared" si="51"/>
        <v>2025</v>
      </c>
    </row>
    <row r="294" spans="1:29" x14ac:dyDescent="0.25">
      <c r="A294" s="4" t="s">
        <v>306</v>
      </c>
      <c r="B294" s="14">
        <v>45220</v>
      </c>
      <c r="C294" s="14">
        <v>45239</v>
      </c>
      <c r="D294" s="16">
        <f t="shared" si="43"/>
        <v>19</v>
      </c>
      <c r="E294" s="4" t="s">
        <v>649</v>
      </c>
      <c r="F294" s="4" t="s">
        <v>658</v>
      </c>
      <c r="G294" s="4" t="s">
        <v>683</v>
      </c>
      <c r="H294" s="4" t="s">
        <v>703</v>
      </c>
      <c r="I294" s="4" t="s">
        <v>711</v>
      </c>
      <c r="J294" s="4" t="s">
        <v>720</v>
      </c>
      <c r="K294" s="4" t="s">
        <v>733</v>
      </c>
      <c r="L294" s="4" t="s">
        <v>1026</v>
      </c>
      <c r="M294" s="9">
        <v>14</v>
      </c>
      <c r="N294" s="16">
        <f>ROUND(IF('Dashboard Visualization'!$U$3="",'Working Data'!$M294,'Working Data'!$M294*(100% +'Dashboard Visualization'!$U$3)),0)</f>
        <v>14</v>
      </c>
      <c r="O294" s="19">
        <v>1142.48</v>
      </c>
      <c r="P294" s="20">
        <f>IF('Dashboard Visualization'!$U$2="",'Working Data'!$O294*'Working Data'!$N294,'Working Data'!$O294*'Working Data'!$N294*(100%+'Dashboard Visualization'!$U$2))</f>
        <v>15994.720000000001</v>
      </c>
      <c r="Q294" s="19">
        <v>2105.5300000000002</v>
      </c>
      <c r="R294" s="20">
        <f t="shared" si="44"/>
        <v>1669.6852900000004</v>
      </c>
      <c r="S294" s="11">
        <v>0.20699999999999999</v>
      </c>
      <c r="T294" s="22">
        <f>IF('Dashboard Visualization'!$U$1="",$S294,IF(S294&gt;'Dashboard Visualization'!$U$1,'Dashboard Visualization'!$U$1,S294))</f>
        <v>0.20699999999999999</v>
      </c>
      <c r="U294" s="20">
        <f t="shared" si="45"/>
        <v>18536.846089580005</v>
      </c>
      <c r="V294" s="20">
        <f t="shared" si="46"/>
        <v>2542.1260895800042</v>
      </c>
      <c r="W294" s="22">
        <f t="shared" si="42"/>
        <v>0.13713908381690632</v>
      </c>
      <c r="X294" s="28" t="str">
        <f>TEXT(B294,"MMM-YYYY")</f>
        <v>Oct-2023</v>
      </c>
      <c r="Y294" s="7" t="str">
        <f t="shared" si="47"/>
        <v>Q4-2023</v>
      </c>
      <c r="Z294" s="7" t="str">
        <f t="shared" si="48"/>
        <v>High Price</v>
      </c>
      <c r="AA294" s="7" t="str">
        <f t="shared" si="49"/>
        <v>Q4</v>
      </c>
      <c r="AB294" s="28" t="str">
        <f t="shared" si="50"/>
        <v>Oct</v>
      </c>
      <c r="AC294" s="28" t="str">
        <f t="shared" si="51"/>
        <v>2023</v>
      </c>
    </row>
    <row r="295" spans="1:29" x14ac:dyDescent="0.25">
      <c r="A295" s="4" t="s">
        <v>307</v>
      </c>
      <c r="B295" s="14">
        <v>45161</v>
      </c>
      <c r="C295" s="14">
        <v>45191</v>
      </c>
      <c r="D295" s="16">
        <f t="shared" si="43"/>
        <v>30</v>
      </c>
      <c r="E295" s="4" t="s">
        <v>649</v>
      </c>
      <c r="F295" s="4" t="s">
        <v>658</v>
      </c>
      <c r="G295" s="4" t="s">
        <v>683</v>
      </c>
      <c r="H295" s="4" t="s">
        <v>704</v>
      </c>
      <c r="I295" s="4" t="s">
        <v>710</v>
      </c>
      <c r="J295" s="4" t="s">
        <v>719</v>
      </c>
      <c r="K295" s="4" t="s">
        <v>733</v>
      </c>
      <c r="L295" s="4" t="s">
        <v>1027</v>
      </c>
      <c r="M295" s="9">
        <v>15</v>
      </c>
      <c r="N295" s="16">
        <f>ROUND(IF('Dashboard Visualization'!$U$3="",'Working Data'!$M295,'Working Data'!$M295*(100% +'Dashboard Visualization'!$U$3)),0)</f>
        <v>15</v>
      </c>
      <c r="O295" s="19">
        <v>209.81</v>
      </c>
      <c r="P295" s="20">
        <f>IF('Dashboard Visualization'!$U$2="",'Working Data'!$O295*'Working Data'!$N295,'Working Data'!$O295*'Working Data'!$N295*(100%+'Dashboard Visualization'!$U$2))</f>
        <v>3147.15</v>
      </c>
      <c r="Q295" s="19">
        <v>523</v>
      </c>
      <c r="R295" s="20">
        <f t="shared" si="44"/>
        <v>492.14300000000003</v>
      </c>
      <c r="S295" s="11">
        <v>5.8999999999999997E-2</v>
      </c>
      <c r="T295" s="22">
        <f>IF('Dashboard Visualization'!$U$1="",$S295,IF(S295&gt;'Dashboard Visualization'!$U$1,'Dashboard Visualization'!$U$1,S295))</f>
        <v>5.8999999999999997E-2</v>
      </c>
      <c r="U295" s="20">
        <f t="shared" si="45"/>
        <v>6946.5984450000005</v>
      </c>
      <c r="V295" s="20">
        <f t="shared" si="46"/>
        <v>3799.4484450000004</v>
      </c>
      <c r="W295" s="22">
        <f t="shared" si="42"/>
        <v>0.5469509249861354</v>
      </c>
      <c r="X295" s="28" t="str">
        <f>TEXT(B295,"MMM-YYYY")</f>
        <v>Aug-2023</v>
      </c>
      <c r="Y295" s="7" t="str">
        <f t="shared" si="47"/>
        <v>Q3-2023</v>
      </c>
      <c r="Z295" s="7" t="str">
        <f t="shared" si="48"/>
        <v>Low Price</v>
      </c>
      <c r="AA295" s="7" t="str">
        <f t="shared" si="49"/>
        <v>Q3</v>
      </c>
      <c r="AB295" s="28" t="str">
        <f t="shared" si="50"/>
        <v>Aug</v>
      </c>
      <c r="AC295" s="28" t="str">
        <f t="shared" si="51"/>
        <v>2023</v>
      </c>
    </row>
    <row r="296" spans="1:29" x14ac:dyDescent="0.25">
      <c r="A296" s="4" t="s">
        <v>308</v>
      </c>
      <c r="B296" s="14">
        <v>45758</v>
      </c>
      <c r="C296" s="14">
        <v>45781</v>
      </c>
      <c r="D296" s="16">
        <f t="shared" si="43"/>
        <v>23</v>
      </c>
      <c r="E296" s="4" t="s">
        <v>647</v>
      </c>
      <c r="F296" s="4" t="s">
        <v>652</v>
      </c>
      <c r="G296" s="4" t="s">
        <v>666</v>
      </c>
      <c r="H296" s="4" t="s">
        <v>705</v>
      </c>
      <c r="I296" s="4" t="s">
        <v>708</v>
      </c>
      <c r="J296" s="4" t="s">
        <v>724</v>
      </c>
      <c r="K296" s="4" t="s">
        <v>727</v>
      </c>
      <c r="L296" s="4" t="s">
        <v>1028</v>
      </c>
      <c r="M296" s="9">
        <v>9</v>
      </c>
      <c r="N296" s="16">
        <f>ROUND(IF('Dashboard Visualization'!$U$3="",'Working Data'!$M296,'Working Data'!$M296*(100% +'Dashboard Visualization'!$U$3)),0)</f>
        <v>9</v>
      </c>
      <c r="O296" s="19">
        <v>786.2</v>
      </c>
      <c r="P296" s="20">
        <f>IF('Dashboard Visualization'!$U$2="",'Working Data'!$O296*'Working Data'!$N296,'Working Data'!$O296*'Working Data'!$N296*(100%+'Dashboard Visualization'!$U$2))</f>
        <v>7075.8</v>
      </c>
      <c r="Q296" s="19">
        <v>1075.3</v>
      </c>
      <c r="R296" s="20">
        <f t="shared" si="44"/>
        <v>989.27599999999995</v>
      </c>
      <c r="S296" s="11">
        <v>0.08</v>
      </c>
      <c r="T296" s="22">
        <f>IF('Dashboard Visualization'!$U$1="",$S296,IF(S296&gt;'Dashboard Visualization'!$U$1,'Dashboard Visualization'!$U$1,S296))</f>
        <v>0.08</v>
      </c>
      <c r="U296" s="20">
        <f t="shared" si="45"/>
        <v>8191.2052800000001</v>
      </c>
      <c r="V296" s="20">
        <f t="shared" si="46"/>
        <v>1115.4052799999999</v>
      </c>
      <c r="W296" s="22">
        <f t="shared" si="42"/>
        <v>0.13617108128438943</v>
      </c>
      <c r="X296" s="28" t="str">
        <f>TEXT(B296,"MMM-YYYY")</f>
        <v>Apr-2025</v>
      </c>
      <c r="Y296" s="7" t="str">
        <f t="shared" si="47"/>
        <v>Q2-2025</v>
      </c>
      <c r="Z296" s="7" t="str">
        <f t="shared" si="48"/>
        <v>High Price</v>
      </c>
      <c r="AA296" s="7" t="str">
        <f t="shared" si="49"/>
        <v>Q2</v>
      </c>
      <c r="AB296" s="28" t="str">
        <f t="shared" si="50"/>
        <v>Apr</v>
      </c>
      <c r="AC296" s="28" t="str">
        <f t="shared" si="51"/>
        <v>2025</v>
      </c>
    </row>
    <row r="297" spans="1:29" x14ac:dyDescent="0.25">
      <c r="A297" s="4" t="s">
        <v>309</v>
      </c>
      <c r="B297" s="14">
        <v>45809</v>
      </c>
      <c r="C297" s="14">
        <v>45835</v>
      </c>
      <c r="D297" s="16">
        <f t="shared" si="43"/>
        <v>26</v>
      </c>
      <c r="E297" s="4" t="s">
        <v>649</v>
      </c>
      <c r="F297" s="4" t="s">
        <v>656</v>
      </c>
      <c r="G297" s="4" t="s">
        <v>684</v>
      </c>
      <c r="H297" s="4" t="s">
        <v>704</v>
      </c>
      <c r="I297" s="4" t="s">
        <v>710</v>
      </c>
      <c r="J297" s="4" t="s">
        <v>718</v>
      </c>
      <c r="K297" s="4" t="s">
        <v>731</v>
      </c>
      <c r="L297" s="4" t="s">
        <v>1029</v>
      </c>
      <c r="M297" s="9">
        <v>7</v>
      </c>
      <c r="N297" s="16">
        <f>ROUND(IF('Dashboard Visualization'!$U$3="",'Working Data'!$M297,'Working Data'!$M297*(100% +'Dashboard Visualization'!$U$3)),0)</f>
        <v>7</v>
      </c>
      <c r="O297" s="19">
        <v>1362.31</v>
      </c>
      <c r="P297" s="20">
        <f>IF('Dashboard Visualization'!$U$2="",'Working Data'!$O297*'Working Data'!$N297,'Working Data'!$O297*'Working Data'!$N297*(100%+'Dashboard Visualization'!$U$2))</f>
        <v>9536.17</v>
      </c>
      <c r="Q297" s="19">
        <v>3294.57</v>
      </c>
      <c r="R297" s="20">
        <f t="shared" si="44"/>
        <v>2922.28359</v>
      </c>
      <c r="S297" s="11">
        <v>0.113</v>
      </c>
      <c r="T297" s="22">
        <f>IF('Dashboard Visualization'!$U$1="",$S297,IF(S297&gt;'Dashboard Visualization'!$U$1,'Dashboard Visualization'!$U$1,S297))</f>
        <v>0.113</v>
      </c>
      <c r="U297" s="20">
        <f t="shared" si="45"/>
        <v>18144.458810310003</v>
      </c>
      <c r="V297" s="20">
        <f t="shared" si="46"/>
        <v>8608.2888103100031</v>
      </c>
      <c r="W297" s="22">
        <f t="shared" si="42"/>
        <v>0.47443072842815354</v>
      </c>
      <c r="X297" s="28" t="str">
        <f>TEXT(B297,"MMM-YYYY")</f>
        <v>Jun-2025</v>
      </c>
      <c r="Y297" s="7" t="str">
        <f t="shared" si="47"/>
        <v>Q2-2025</v>
      </c>
      <c r="Z297" s="7" t="str">
        <f t="shared" si="48"/>
        <v>Medium Price</v>
      </c>
      <c r="AA297" s="7" t="str">
        <f t="shared" si="49"/>
        <v>Q2</v>
      </c>
      <c r="AB297" s="28" t="str">
        <f t="shared" si="50"/>
        <v>Jun</v>
      </c>
      <c r="AC297" s="28" t="str">
        <f t="shared" si="51"/>
        <v>2025</v>
      </c>
    </row>
    <row r="298" spans="1:29" x14ac:dyDescent="0.25">
      <c r="A298" s="4" t="s">
        <v>310</v>
      </c>
      <c r="B298" s="14">
        <v>45353</v>
      </c>
      <c r="C298" s="14">
        <v>45367</v>
      </c>
      <c r="D298" s="16">
        <f t="shared" si="43"/>
        <v>14</v>
      </c>
      <c r="E298" s="4" t="s">
        <v>648</v>
      </c>
      <c r="F298" s="4" t="s">
        <v>653</v>
      </c>
      <c r="G298" s="4" t="s">
        <v>688</v>
      </c>
      <c r="H298" s="4" t="s">
        <v>703</v>
      </c>
      <c r="I298" s="4" t="s">
        <v>711</v>
      </c>
      <c r="J298" s="4" t="s">
        <v>719</v>
      </c>
      <c r="K298" s="4" t="s">
        <v>728</v>
      </c>
      <c r="L298" s="4" t="s">
        <v>1030</v>
      </c>
      <c r="M298" s="9">
        <v>11</v>
      </c>
      <c r="N298" s="16">
        <f>ROUND(IF('Dashboard Visualization'!$U$3="",'Working Data'!$M298,'Working Data'!$M298*(100% +'Dashboard Visualization'!$U$3)),0)</f>
        <v>11</v>
      </c>
      <c r="O298" s="19">
        <v>248.24</v>
      </c>
      <c r="P298" s="20">
        <f>IF('Dashboard Visualization'!$U$2="",'Working Data'!$O298*'Working Data'!$N298,'Working Data'!$O298*'Working Data'!$N298*(100%+'Dashboard Visualization'!$U$2))</f>
        <v>2730.6400000000003</v>
      </c>
      <c r="Q298" s="19">
        <v>464.05</v>
      </c>
      <c r="R298" s="20">
        <f t="shared" si="44"/>
        <v>385.62554999999998</v>
      </c>
      <c r="S298" s="11">
        <v>0.16900000000000001</v>
      </c>
      <c r="T298" s="22">
        <f>IF('Dashboard Visualization'!$U$1="",$S298,IF(S298&gt;'Dashboard Visualization'!$U$1,'Dashboard Visualization'!$U$1,S298))</f>
        <v>0.16900000000000001</v>
      </c>
      <c r="U298" s="20">
        <f t="shared" si="45"/>
        <v>3525.0031525499994</v>
      </c>
      <c r="V298" s="20">
        <f t="shared" si="46"/>
        <v>794.36315254999909</v>
      </c>
      <c r="W298" s="22">
        <f t="shared" si="42"/>
        <v>0.22535104740980275</v>
      </c>
      <c r="X298" s="28" t="str">
        <f>TEXT(B298,"MMM-YYYY")</f>
        <v>Mar-2024</v>
      </c>
      <c r="Y298" s="7" t="str">
        <f t="shared" si="47"/>
        <v>Q1-2024</v>
      </c>
      <c r="Z298" s="7" t="str">
        <f t="shared" si="48"/>
        <v>Low Price</v>
      </c>
      <c r="AA298" s="7" t="str">
        <f t="shared" si="49"/>
        <v>Q1</v>
      </c>
      <c r="AB298" s="28" t="str">
        <f t="shared" si="50"/>
        <v>Mar</v>
      </c>
      <c r="AC298" s="28" t="str">
        <f t="shared" si="51"/>
        <v>2024</v>
      </c>
    </row>
    <row r="299" spans="1:29" x14ac:dyDescent="0.25">
      <c r="A299" s="4" t="s">
        <v>311</v>
      </c>
      <c r="B299" s="14">
        <v>45097</v>
      </c>
      <c r="C299" s="14">
        <v>45115</v>
      </c>
      <c r="D299" s="16">
        <f t="shared" si="43"/>
        <v>18</v>
      </c>
      <c r="E299" s="4" t="s">
        <v>648</v>
      </c>
      <c r="F299" s="4" t="s">
        <v>660</v>
      </c>
      <c r="G299" s="4" t="s">
        <v>697</v>
      </c>
      <c r="H299" s="4" t="s">
        <v>703</v>
      </c>
      <c r="I299" s="4" t="s">
        <v>711</v>
      </c>
      <c r="J299" s="4" t="s">
        <v>721</v>
      </c>
      <c r="K299" s="4" t="s">
        <v>732</v>
      </c>
      <c r="L299" s="4" t="s">
        <v>1031</v>
      </c>
      <c r="M299" s="9">
        <v>7</v>
      </c>
      <c r="N299" s="16">
        <f>ROUND(IF('Dashboard Visualization'!$U$3="",'Working Data'!$M299,'Working Data'!$M299*(100% +'Dashboard Visualization'!$U$3)),0)</f>
        <v>7</v>
      </c>
      <c r="O299" s="19">
        <v>337</v>
      </c>
      <c r="P299" s="20">
        <f>IF('Dashboard Visualization'!$U$2="",'Working Data'!$O299*'Working Data'!$N299,'Working Data'!$O299*'Working Data'!$N299*(100%+'Dashboard Visualization'!$U$2))</f>
        <v>2359</v>
      </c>
      <c r="Q299" s="19">
        <v>511.03</v>
      </c>
      <c r="R299" s="20">
        <f t="shared" si="44"/>
        <v>455.83875999999998</v>
      </c>
      <c r="S299" s="11">
        <v>0.108</v>
      </c>
      <c r="T299" s="22">
        <f>IF('Dashboard Visualization'!$U$1="",$S299,IF(S299&gt;'Dashboard Visualization'!$U$1,'Dashboard Visualization'!$U$1,S299))</f>
        <v>0.108</v>
      </c>
      <c r="U299" s="20">
        <f t="shared" si="45"/>
        <v>2846.2572174400002</v>
      </c>
      <c r="V299" s="20">
        <f t="shared" si="46"/>
        <v>487.2572174400002</v>
      </c>
      <c r="W299" s="22">
        <f t="shared" si="42"/>
        <v>0.17119226416165309</v>
      </c>
      <c r="X299" s="28" t="str">
        <f>TEXT(B299,"MMM-YYYY")</f>
        <v>Jun-2023</v>
      </c>
      <c r="Y299" s="7" t="str">
        <f t="shared" si="47"/>
        <v>Q2-2023</v>
      </c>
      <c r="Z299" s="7" t="str">
        <f t="shared" si="48"/>
        <v>Low Price</v>
      </c>
      <c r="AA299" s="7" t="str">
        <f t="shared" si="49"/>
        <v>Q2</v>
      </c>
      <c r="AB299" s="28" t="str">
        <f t="shared" si="50"/>
        <v>Jun</v>
      </c>
      <c r="AC299" s="28" t="str">
        <f t="shared" si="51"/>
        <v>2023</v>
      </c>
    </row>
    <row r="300" spans="1:29" x14ac:dyDescent="0.25">
      <c r="A300" s="4" t="s">
        <v>312</v>
      </c>
      <c r="B300" s="14">
        <v>45377</v>
      </c>
      <c r="C300" s="14">
        <v>45387</v>
      </c>
      <c r="D300" s="16">
        <f t="shared" si="43"/>
        <v>10</v>
      </c>
      <c r="E300" s="4" t="s">
        <v>648</v>
      </c>
      <c r="F300" s="4" t="s">
        <v>660</v>
      </c>
      <c r="G300" s="4" t="s">
        <v>697</v>
      </c>
      <c r="H300" s="4" t="s">
        <v>704</v>
      </c>
      <c r="I300" s="4" t="s">
        <v>711</v>
      </c>
      <c r="J300" s="4" t="s">
        <v>713</v>
      </c>
      <c r="K300" s="4" t="s">
        <v>732</v>
      </c>
      <c r="L300" s="4" t="s">
        <v>1032</v>
      </c>
      <c r="M300" s="9">
        <v>18</v>
      </c>
      <c r="N300" s="16">
        <f>ROUND(IF('Dashboard Visualization'!$U$3="",'Working Data'!$M300,'Working Data'!$M300*(100% +'Dashboard Visualization'!$U$3)),0)</f>
        <v>18</v>
      </c>
      <c r="O300" s="19">
        <v>5.66</v>
      </c>
      <c r="P300" s="20">
        <f>IF('Dashboard Visualization'!$U$2="",'Working Data'!$O300*'Working Data'!$N300,'Working Data'!$O300*'Working Data'!$N300*(100%+'Dashboard Visualization'!$U$2))</f>
        <v>101.88</v>
      </c>
      <c r="Q300" s="19">
        <v>4.22</v>
      </c>
      <c r="R300" s="20">
        <f t="shared" si="44"/>
        <v>3.7178199999999997</v>
      </c>
      <c r="S300" s="11">
        <v>0.11899999999999999</v>
      </c>
      <c r="T300" s="22">
        <f>IF('Dashboard Visualization'!$U$1="",$S300,IF(S300&gt;'Dashboard Visualization'!$U$1,'Dashboard Visualization'!$U$1,S300))</f>
        <v>0.11899999999999999</v>
      </c>
      <c r="U300" s="20">
        <f t="shared" si="45"/>
        <v>58.957189559999996</v>
      </c>
      <c r="V300" s="20">
        <f t="shared" si="46"/>
        <v>-42.922810439999999</v>
      </c>
      <c r="W300" s="22">
        <f t="shared" si="42"/>
        <v>0</v>
      </c>
      <c r="X300" s="28" t="str">
        <f>TEXT(B300,"MMM-YYYY")</f>
        <v>Mar-2024</v>
      </c>
      <c r="Y300" s="7" t="str">
        <f t="shared" si="47"/>
        <v>Q1-2024</v>
      </c>
      <c r="Z300" s="7" t="str">
        <f t="shared" si="48"/>
        <v>Low Price</v>
      </c>
      <c r="AA300" s="7" t="str">
        <f t="shared" si="49"/>
        <v>Q1</v>
      </c>
      <c r="AB300" s="28" t="str">
        <f t="shared" si="50"/>
        <v>Mar</v>
      </c>
      <c r="AC300" s="28" t="str">
        <f t="shared" si="51"/>
        <v>2024</v>
      </c>
    </row>
    <row r="301" spans="1:29" x14ac:dyDescent="0.25">
      <c r="A301" s="4" t="s">
        <v>313</v>
      </c>
      <c r="B301" s="14">
        <v>45679</v>
      </c>
      <c r="C301" s="14">
        <v>45679</v>
      </c>
      <c r="D301" s="16">
        <f t="shared" si="43"/>
        <v>0</v>
      </c>
      <c r="E301" s="4" t="s">
        <v>649</v>
      </c>
      <c r="F301" s="4" t="s">
        <v>657</v>
      </c>
      <c r="G301" s="4" t="s">
        <v>679</v>
      </c>
      <c r="H301" s="4" t="s">
        <v>705</v>
      </c>
      <c r="I301" s="4" t="s">
        <v>708</v>
      </c>
      <c r="J301" s="4" t="s">
        <v>717</v>
      </c>
      <c r="K301" s="4" t="s">
        <v>733</v>
      </c>
      <c r="L301" s="4" t="s">
        <v>1033</v>
      </c>
      <c r="M301" s="9">
        <v>22</v>
      </c>
      <c r="N301" s="16">
        <f>ROUND(IF('Dashboard Visualization'!$U$3="",'Working Data'!$M301,'Working Data'!$M301*(100% +'Dashboard Visualization'!$U$3)),0)</f>
        <v>22</v>
      </c>
      <c r="O301" s="19">
        <v>591.72</v>
      </c>
      <c r="P301" s="20">
        <f>IF('Dashboard Visualization'!$U$2="",'Working Data'!$O301*'Working Data'!$N301,'Working Data'!$O301*'Working Data'!$N301*(100%+'Dashboard Visualization'!$U$2))</f>
        <v>13017.84</v>
      </c>
      <c r="Q301" s="19">
        <v>577.24</v>
      </c>
      <c r="R301" s="20">
        <f t="shared" si="44"/>
        <v>577.24</v>
      </c>
      <c r="S301" s="11">
        <v>0</v>
      </c>
      <c r="T301" s="22">
        <f>IF('Dashboard Visualization'!$U$1="",$S301,IF(S301&gt;'Dashboard Visualization'!$U$1,'Dashboard Visualization'!$U$1,S301))</f>
        <v>0</v>
      </c>
      <c r="U301" s="20">
        <f t="shared" si="45"/>
        <v>12699.28</v>
      </c>
      <c r="V301" s="20">
        <f t="shared" si="46"/>
        <v>-318.55999999999949</v>
      </c>
      <c r="W301" s="22">
        <f t="shared" si="42"/>
        <v>0</v>
      </c>
      <c r="X301" s="28" t="str">
        <f>TEXT(B301,"MMM-YYYY")</f>
        <v>Jan-2025</v>
      </c>
      <c r="Y301" s="7" t="str">
        <f t="shared" si="47"/>
        <v>Q1-2025</v>
      </c>
      <c r="Z301" s="7" t="str">
        <f t="shared" si="48"/>
        <v>High Price</v>
      </c>
      <c r="AA301" s="7" t="str">
        <f t="shared" si="49"/>
        <v>Q1</v>
      </c>
      <c r="AB301" s="28" t="str">
        <f t="shared" si="50"/>
        <v>Jan</v>
      </c>
      <c r="AC301" s="28" t="str">
        <f t="shared" si="51"/>
        <v>2025</v>
      </c>
    </row>
    <row r="302" spans="1:29" x14ac:dyDescent="0.25">
      <c r="A302" s="4" t="s">
        <v>314</v>
      </c>
      <c r="B302" s="14">
        <v>45787</v>
      </c>
      <c r="C302" s="14">
        <v>45804</v>
      </c>
      <c r="D302" s="16">
        <f t="shared" si="43"/>
        <v>17</v>
      </c>
      <c r="E302" s="4" t="s">
        <v>648</v>
      </c>
      <c r="F302" s="4" t="s">
        <v>653</v>
      </c>
      <c r="G302" s="4" t="s">
        <v>688</v>
      </c>
      <c r="H302" s="4" t="s">
        <v>702</v>
      </c>
      <c r="I302" s="4" t="s">
        <v>711</v>
      </c>
      <c r="J302" s="4" t="s">
        <v>712</v>
      </c>
      <c r="K302" s="4" t="s">
        <v>727</v>
      </c>
      <c r="L302" s="4" t="s">
        <v>1034</v>
      </c>
      <c r="M302" s="9">
        <v>19</v>
      </c>
      <c r="N302" s="16">
        <f>ROUND(IF('Dashboard Visualization'!$U$3="",'Working Data'!$M302,'Working Data'!$M302*(100% +'Dashboard Visualization'!$U$3)),0)</f>
        <v>19</v>
      </c>
      <c r="O302" s="19">
        <v>862.89</v>
      </c>
      <c r="P302" s="20">
        <f>IF('Dashboard Visualization'!$U$2="",'Working Data'!$O302*'Working Data'!$N302,'Working Data'!$O302*'Working Data'!$N302*(100%+'Dashboard Visualization'!$U$2))</f>
        <v>16394.91</v>
      </c>
      <c r="Q302" s="19">
        <v>1426.03</v>
      </c>
      <c r="R302" s="20">
        <f t="shared" si="44"/>
        <v>1346.1723199999999</v>
      </c>
      <c r="S302" s="11">
        <v>5.6000000000000001E-2</v>
      </c>
      <c r="T302" s="22">
        <f>IF('Dashboard Visualization'!$U$1="",$S302,IF(S302&gt;'Dashboard Visualization'!$U$1,'Dashboard Visualization'!$U$1,S302))</f>
        <v>5.6000000000000001E-2</v>
      </c>
      <c r="U302" s="20">
        <f t="shared" si="45"/>
        <v>24144.946731519995</v>
      </c>
      <c r="V302" s="20">
        <f t="shared" si="46"/>
        <v>7750.0367315199946</v>
      </c>
      <c r="W302" s="22">
        <f t="shared" si="42"/>
        <v>0.32097965747021995</v>
      </c>
      <c r="X302" s="28" t="str">
        <f>TEXT(B302,"MMM-YYYY")</f>
        <v>May-2025</v>
      </c>
      <c r="Y302" s="7" t="str">
        <f t="shared" si="47"/>
        <v>Q2-2025</v>
      </c>
      <c r="Z302" s="7" t="str">
        <f t="shared" si="48"/>
        <v>High Price</v>
      </c>
      <c r="AA302" s="7" t="str">
        <f t="shared" si="49"/>
        <v>Q2</v>
      </c>
      <c r="AB302" s="28" t="str">
        <f t="shared" si="50"/>
        <v>May</v>
      </c>
      <c r="AC302" s="28" t="str">
        <f t="shared" si="51"/>
        <v>2025</v>
      </c>
    </row>
    <row r="303" spans="1:29" x14ac:dyDescent="0.25">
      <c r="A303" s="4" t="s">
        <v>315</v>
      </c>
      <c r="B303" s="14">
        <v>45204</v>
      </c>
      <c r="C303" s="14">
        <v>45230</v>
      </c>
      <c r="D303" s="16">
        <f t="shared" si="43"/>
        <v>26</v>
      </c>
      <c r="E303" s="4" t="s">
        <v>647</v>
      </c>
      <c r="F303" s="4" t="s">
        <v>659</v>
      </c>
      <c r="G303" s="4" t="s">
        <v>685</v>
      </c>
      <c r="H303" s="4" t="s">
        <v>704</v>
      </c>
      <c r="I303" s="12" t="s">
        <v>1430</v>
      </c>
      <c r="J303" s="4" t="s">
        <v>713</v>
      </c>
      <c r="K303" s="4" t="s">
        <v>728</v>
      </c>
      <c r="L303" s="4" t="s">
        <v>1035</v>
      </c>
      <c r="M303" s="9">
        <v>9</v>
      </c>
      <c r="N303" s="16">
        <f>ROUND(IF('Dashboard Visualization'!$U$3="",'Working Data'!$M303,'Working Data'!$M303*(100% +'Dashboard Visualization'!$U$3)),0)</f>
        <v>9</v>
      </c>
      <c r="O303" s="19">
        <v>649.91</v>
      </c>
      <c r="P303" s="20">
        <f>IF('Dashboard Visualization'!$U$2="",'Working Data'!$O303*'Working Data'!$N303,'Working Data'!$O303*'Working Data'!$N303*(100%+'Dashboard Visualization'!$U$2))</f>
        <v>5849.19</v>
      </c>
      <c r="Q303" s="19">
        <v>1360.12</v>
      </c>
      <c r="R303" s="20">
        <f t="shared" si="44"/>
        <v>1096.2567200000001</v>
      </c>
      <c r="S303" s="11">
        <v>0.19400000000000001</v>
      </c>
      <c r="T303" s="22">
        <f>IF('Dashboard Visualization'!$U$1="",$S303,IF(S303&gt;'Dashboard Visualization'!$U$1,'Dashboard Visualization'!$U$1,S303))</f>
        <v>0.19400000000000001</v>
      </c>
      <c r="U303" s="20">
        <f t="shared" si="45"/>
        <v>7952.2462468800004</v>
      </c>
      <c r="V303" s="20">
        <f t="shared" si="46"/>
        <v>2103.0562468800008</v>
      </c>
      <c r="W303" s="22">
        <f t="shared" si="42"/>
        <v>0.26446065446038192</v>
      </c>
      <c r="X303" s="28" t="str">
        <f>TEXT(B303,"MMM-YYYY")</f>
        <v>Oct-2023</v>
      </c>
      <c r="Y303" s="7" t="str">
        <f t="shared" si="47"/>
        <v>Q4-2023</v>
      </c>
      <c r="Z303" s="7" t="str">
        <f t="shared" si="48"/>
        <v>High Price</v>
      </c>
      <c r="AA303" s="7" t="str">
        <f t="shared" si="49"/>
        <v>Q4</v>
      </c>
      <c r="AB303" s="28" t="str">
        <f t="shared" si="50"/>
        <v>Oct</v>
      </c>
      <c r="AC303" s="28" t="str">
        <f t="shared" si="51"/>
        <v>2023</v>
      </c>
    </row>
    <row r="304" spans="1:29" x14ac:dyDescent="0.25">
      <c r="A304" s="4" t="s">
        <v>316</v>
      </c>
      <c r="B304" s="14">
        <v>45125</v>
      </c>
      <c r="C304" s="14">
        <v>45129</v>
      </c>
      <c r="D304" s="16">
        <f t="shared" si="43"/>
        <v>4</v>
      </c>
      <c r="E304" s="4" t="s">
        <v>648</v>
      </c>
      <c r="F304" s="4" t="s">
        <v>655</v>
      </c>
      <c r="G304" s="4" t="s">
        <v>670</v>
      </c>
      <c r="H304" s="4" t="s">
        <v>704</v>
      </c>
      <c r="I304" s="4" t="s">
        <v>711</v>
      </c>
      <c r="J304" s="4" t="s">
        <v>721</v>
      </c>
      <c r="K304" s="4" t="s">
        <v>729</v>
      </c>
      <c r="L304" s="4" t="s">
        <v>1036</v>
      </c>
      <c r="M304" s="9">
        <v>22</v>
      </c>
      <c r="N304" s="16">
        <f>ROUND(IF('Dashboard Visualization'!$U$3="",'Working Data'!$M304,'Working Data'!$M304*(100% +'Dashboard Visualization'!$U$3)),0)</f>
        <v>22</v>
      </c>
      <c r="O304" s="19">
        <v>1269.55</v>
      </c>
      <c r="P304" s="20">
        <f>IF('Dashboard Visualization'!$U$2="",'Working Data'!$O304*'Working Data'!$N304,'Working Data'!$O304*'Working Data'!$N304*(100%+'Dashboard Visualization'!$U$2))</f>
        <v>27930.1</v>
      </c>
      <c r="Q304" s="19">
        <v>2071.1</v>
      </c>
      <c r="R304" s="20">
        <f t="shared" si="44"/>
        <v>1803.9280999999999</v>
      </c>
      <c r="S304" s="11">
        <v>0.129</v>
      </c>
      <c r="T304" s="22">
        <f>IF('Dashboard Visualization'!$U$1="",$S304,IF(S304&gt;'Dashboard Visualization'!$U$1,'Dashboard Visualization'!$U$1,S304))</f>
        <v>0.129</v>
      </c>
      <c r="U304" s="20">
        <f t="shared" si="45"/>
        <v>34566.870252199995</v>
      </c>
      <c r="V304" s="20">
        <f t="shared" si="46"/>
        <v>6636.7702521999963</v>
      </c>
      <c r="W304" s="22">
        <f t="shared" si="42"/>
        <v>0.19199800860703037</v>
      </c>
      <c r="X304" s="28" t="str">
        <f>TEXT(B304,"MMM-YYYY")</f>
        <v>Jul-2023</v>
      </c>
      <c r="Y304" s="7" t="str">
        <f t="shared" si="47"/>
        <v>Q3-2023</v>
      </c>
      <c r="Z304" s="7" t="str">
        <f t="shared" si="48"/>
        <v>Medium Price</v>
      </c>
      <c r="AA304" s="7" t="str">
        <f t="shared" si="49"/>
        <v>Q3</v>
      </c>
      <c r="AB304" s="28" t="str">
        <f t="shared" si="50"/>
        <v>Jul</v>
      </c>
      <c r="AC304" s="28" t="str">
        <f t="shared" si="51"/>
        <v>2023</v>
      </c>
    </row>
    <row r="305" spans="1:29" x14ac:dyDescent="0.25">
      <c r="A305" s="4" t="s">
        <v>317</v>
      </c>
      <c r="B305" s="14">
        <v>45830</v>
      </c>
      <c r="C305" s="14">
        <v>45846</v>
      </c>
      <c r="D305" s="16">
        <f t="shared" si="43"/>
        <v>16</v>
      </c>
      <c r="E305" s="4" t="s">
        <v>649</v>
      </c>
      <c r="F305" s="4" t="s">
        <v>658</v>
      </c>
      <c r="G305" s="4" t="s">
        <v>683</v>
      </c>
      <c r="H305" s="4" t="s">
        <v>702</v>
      </c>
      <c r="I305" s="4" t="s">
        <v>711</v>
      </c>
      <c r="J305" s="4" t="s">
        <v>720</v>
      </c>
      <c r="K305" s="4" t="s">
        <v>730</v>
      </c>
      <c r="L305" s="4" t="s">
        <v>1037</v>
      </c>
      <c r="M305" s="9">
        <v>10</v>
      </c>
      <c r="N305" s="16">
        <f>ROUND(IF('Dashboard Visualization'!$U$3="",'Working Data'!$M305,'Working Data'!$M305*(100% +'Dashboard Visualization'!$U$3)),0)</f>
        <v>10</v>
      </c>
      <c r="O305" s="19">
        <v>892.73</v>
      </c>
      <c r="P305" s="20">
        <f>IF('Dashboard Visualization'!$U$2="",'Working Data'!$O305*'Working Data'!$N305,'Working Data'!$O305*'Working Data'!$N305*(100%+'Dashboard Visualization'!$U$2))</f>
        <v>8927.2999999999993</v>
      </c>
      <c r="Q305" s="19">
        <v>979.84</v>
      </c>
      <c r="R305" s="20">
        <f t="shared" si="44"/>
        <v>809.34784000000013</v>
      </c>
      <c r="S305" s="11">
        <v>0.17399999999999999</v>
      </c>
      <c r="T305" s="22">
        <f>IF('Dashboard Visualization'!$U$1="",$S305,IF(S305&gt;'Dashboard Visualization'!$U$1,'Dashboard Visualization'!$U$1,S305))</f>
        <v>0.17399999999999999</v>
      </c>
      <c r="U305" s="20">
        <f t="shared" si="45"/>
        <v>6685.2131584000017</v>
      </c>
      <c r="V305" s="20">
        <f t="shared" si="46"/>
        <v>-2242.0868415999976</v>
      </c>
      <c r="W305" s="22">
        <f t="shared" si="42"/>
        <v>0</v>
      </c>
      <c r="X305" s="28" t="str">
        <f>TEXT(B305,"MMM-YYYY")</f>
        <v>Jun-2025</v>
      </c>
      <c r="Y305" s="7" t="str">
        <f t="shared" si="47"/>
        <v>Q2-2025</v>
      </c>
      <c r="Z305" s="7" t="str">
        <f t="shared" si="48"/>
        <v>High Price</v>
      </c>
      <c r="AA305" s="7" t="str">
        <f t="shared" si="49"/>
        <v>Q2</v>
      </c>
      <c r="AB305" s="28" t="str">
        <f t="shared" si="50"/>
        <v>Jun</v>
      </c>
      <c r="AC305" s="28" t="str">
        <f t="shared" si="51"/>
        <v>2025</v>
      </c>
    </row>
    <row r="306" spans="1:29" x14ac:dyDescent="0.25">
      <c r="A306" s="4" t="s">
        <v>318</v>
      </c>
      <c r="B306" s="14">
        <v>45462</v>
      </c>
      <c r="C306" s="14">
        <v>45463</v>
      </c>
      <c r="D306" s="16">
        <f t="shared" si="43"/>
        <v>1</v>
      </c>
      <c r="E306" s="4" t="s">
        <v>646</v>
      </c>
      <c r="F306" s="4" t="s">
        <v>650</v>
      </c>
      <c r="G306" s="4" t="s">
        <v>662</v>
      </c>
      <c r="H306" s="4" t="s">
        <v>705</v>
      </c>
      <c r="I306" s="4" t="s">
        <v>711</v>
      </c>
      <c r="J306" s="4" t="s">
        <v>713</v>
      </c>
      <c r="K306" s="4" t="s">
        <v>731</v>
      </c>
      <c r="L306" s="4" t="s">
        <v>1038</v>
      </c>
      <c r="M306" s="9">
        <v>12</v>
      </c>
      <c r="N306" s="16">
        <f>ROUND(IF('Dashboard Visualization'!$U$3="",'Working Data'!$M306,'Working Data'!$M306*(100% +'Dashboard Visualization'!$U$3)),0)</f>
        <v>12</v>
      </c>
      <c r="O306" s="19">
        <v>231.63</v>
      </c>
      <c r="P306" s="20">
        <f>IF('Dashboard Visualization'!$U$2="",'Working Data'!$O306*'Working Data'!$N306,'Working Data'!$O306*'Working Data'!$N306*(100%+'Dashboard Visualization'!$U$2))</f>
        <v>2779.56</v>
      </c>
      <c r="Q306" s="19">
        <v>537.39</v>
      </c>
      <c r="R306" s="20">
        <f t="shared" si="44"/>
        <v>494.39879999999999</v>
      </c>
      <c r="S306" s="11">
        <v>0.08</v>
      </c>
      <c r="T306" s="22">
        <f>IF('Dashboard Visualization'!$U$1="",$S306,IF(S306&gt;'Dashboard Visualization'!$U$1,'Dashboard Visualization'!$U$1,S306))</f>
        <v>0.08</v>
      </c>
      <c r="U306" s="20">
        <f t="shared" si="45"/>
        <v>5458.1627520000002</v>
      </c>
      <c r="V306" s="20">
        <f t="shared" si="46"/>
        <v>2678.6027520000002</v>
      </c>
      <c r="W306" s="22">
        <f t="shared" si="42"/>
        <v>0.49075171879374552</v>
      </c>
      <c r="X306" s="28" t="str">
        <f>TEXT(B306,"MMM-YYYY")</f>
        <v>Jun-2024</v>
      </c>
      <c r="Y306" s="7" t="str">
        <f t="shared" si="47"/>
        <v>Q2-2024</v>
      </c>
      <c r="Z306" s="7" t="str">
        <f t="shared" si="48"/>
        <v>Low Price</v>
      </c>
      <c r="AA306" s="7" t="str">
        <f t="shared" si="49"/>
        <v>Q2</v>
      </c>
      <c r="AB306" s="28" t="str">
        <f t="shared" si="50"/>
        <v>Jun</v>
      </c>
      <c r="AC306" s="28" t="str">
        <f t="shared" si="51"/>
        <v>2024</v>
      </c>
    </row>
    <row r="307" spans="1:29" x14ac:dyDescent="0.25">
      <c r="A307" s="4" t="s">
        <v>319</v>
      </c>
      <c r="B307" s="14">
        <v>45756</v>
      </c>
      <c r="C307" s="14">
        <v>45759</v>
      </c>
      <c r="D307" s="16">
        <f t="shared" si="43"/>
        <v>3</v>
      </c>
      <c r="E307" s="4" t="s">
        <v>649</v>
      </c>
      <c r="F307" s="4" t="s">
        <v>657</v>
      </c>
      <c r="G307" s="4" t="s">
        <v>679</v>
      </c>
      <c r="H307" s="4" t="s">
        <v>705</v>
      </c>
      <c r="I307" s="4" t="s">
        <v>710</v>
      </c>
      <c r="J307" s="4" t="s">
        <v>722</v>
      </c>
      <c r="K307" s="4" t="s">
        <v>732</v>
      </c>
      <c r="L307" s="4" t="s">
        <v>1039</v>
      </c>
      <c r="M307" s="9">
        <v>8</v>
      </c>
      <c r="N307" s="16">
        <f>ROUND(IF('Dashboard Visualization'!$U$3="",'Working Data'!$M307,'Working Data'!$M307*(100% +'Dashboard Visualization'!$U$3)),0)</f>
        <v>8</v>
      </c>
      <c r="O307" s="19">
        <v>86.68</v>
      </c>
      <c r="P307" s="20">
        <f>IF('Dashboard Visualization'!$U$2="",'Working Data'!$O307*'Working Data'!$N307,'Working Data'!$O307*'Working Data'!$N307*(100%+'Dashboard Visualization'!$U$2))</f>
        <v>693.44</v>
      </c>
      <c r="Q307" s="19">
        <v>213.32</v>
      </c>
      <c r="R307" s="20">
        <f t="shared" si="44"/>
        <v>205.21383999999998</v>
      </c>
      <c r="S307" s="11">
        <v>3.7999999999999999E-2</v>
      </c>
      <c r="T307" s="22">
        <f>IF('Dashboard Visualization'!$U$1="",$S307,IF(S307&gt;'Dashboard Visualization'!$U$1,'Dashboard Visualization'!$U$1,S307))</f>
        <v>3.7999999999999999E-2</v>
      </c>
      <c r="U307" s="20">
        <f t="shared" si="45"/>
        <v>1579.3257126399997</v>
      </c>
      <c r="V307" s="20">
        <f t="shared" si="46"/>
        <v>885.88571263999961</v>
      </c>
      <c r="W307" s="22">
        <f t="shared" si="42"/>
        <v>0.56092654323923707</v>
      </c>
      <c r="X307" s="28" t="str">
        <f>TEXT(B307,"MMM-YYYY")</f>
        <v>Apr-2025</v>
      </c>
      <c r="Y307" s="7" t="str">
        <f t="shared" si="47"/>
        <v>Q2-2025</v>
      </c>
      <c r="Z307" s="7" t="str">
        <f t="shared" si="48"/>
        <v>Low Price</v>
      </c>
      <c r="AA307" s="7" t="str">
        <f t="shared" si="49"/>
        <v>Q2</v>
      </c>
      <c r="AB307" s="28" t="str">
        <f t="shared" si="50"/>
        <v>Apr</v>
      </c>
      <c r="AC307" s="28" t="str">
        <f t="shared" si="51"/>
        <v>2025</v>
      </c>
    </row>
    <row r="308" spans="1:29" x14ac:dyDescent="0.25">
      <c r="A308" s="4" t="s">
        <v>320</v>
      </c>
      <c r="B308" s="14">
        <v>45741</v>
      </c>
      <c r="C308" s="14">
        <v>45742</v>
      </c>
      <c r="D308" s="16">
        <f t="shared" si="43"/>
        <v>1</v>
      </c>
      <c r="E308" s="4" t="s">
        <v>646</v>
      </c>
      <c r="F308" s="4" t="s">
        <v>651</v>
      </c>
      <c r="G308" s="4" t="s">
        <v>665</v>
      </c>
      <c r="H308" s="4" t="s">
        <v>702</v>
      </c>
      <c r="I308" s="4" t="s">
        <v>710</v>
      </c>
      <c r="J308" s="4" t="s">
        <v>715</v>
      </c>
      <c r="K308" s="4" t="s">
        <v>733</v>
      </c>
      <c r="L308" s="4" t="s">
        <v>1040</v>
      </c>
      <c r="M308" s="9">
        <v>24</v>
      </c>
      <c r="N308" s="16">
        <f>ROUND(IF('Dashboard Visualization'!$U$3="",'Working Data'!$M308,'Working Data'!$M308*(100% +'Dashboard Visualization'!$U$3)),0)</f>
        <v>24</v>
      </c>
      <c r="O308" s="19">
        <v>1450.43</v>
      </c>
      <c r="P308" s="20">
        <f>IF('Dashboard Visualization'!$U$2="",'Working Data'!$O308*'Working Data'!$N308,'Working Data'!$O308*'Working Data'!$N308*(100%+'Dashboard Visualization'!$U$2))</f>
        <v>34810.32</v>
      </c>
      <c r="Q308" s="19">
        <v>1994.67</v>
      </c>
      <c r="R308" s="20">
        <f t="shared" si="44"/>
        <v>1795.2030000000002</v>
      </c>
      <c r="S308" s="11">
        <v>0.1</v>
      </c>
      <c r="T308" s="22">
        <f>IF('Dashboard Visualization'!$U$1="",$S308,IF(S308&gt;'Dashboard Visualization'!$U$1,'Dashboard Visualization'!$U$1,S308))</f>
        <v>0.1</v>
      </c>
      <c r="U308" s="20">
        <f t="shared" si="45"/>
        <v>38776.384800000007</v>
      </c>
      <c r="V308" s="20">
        <f t="shared" si="46"/>
        <v>3966.0648000000074</v>
      </c>
      <c r="W308" s="22">
        <f t="shared" si="42"/>
        <v>0.10228041681699029</v>
      </c>
      <c r="X308" s="28" t="str">
        <f>TEXT(B308,"MMM-YYYY")</f>
        <v>Mar-2025</v>
      </c>
      <c r="Y308" s="7" t="str">
        <f t="shared" si="47"/>
        <v>Q1-2025</v>
      </c>
      <c r="Z308" s="7" t="str">
        <f t="shared" si="48"/>
        <v>Medium Price</v>
      </c>
      <c r="AA308" s="7" t="str">
        <f t="shared" si="49"/>
        <v>Q1</v>
      </c>
      <c r="AB308" s="28" t="str">
        <f t="shared" si="50"/>
        <v>Mar</v>
      </c>
      <c r="AC308" s="28" t="str">
        <f t="shared" si="51"/>
        <v>2025</v>
      </c>
    </row>
    <row r="309" spans="1:29" x14ac:dyDescent="0.25">
      <c r="A309" s="4" t="s">
        <v>321</v>
      </c>
      <c r="B309" s="14">
        <v>45795</v>
      </c>
      <c r="C309" s="14">
        <v>45817</v>
      </c>
      <c r="D309" s="16">
        <f t="shared" si="43"/>
        <v>22</v>
      </c>
      <c r="E309" s="4" t="s">
        <v>648</v>
      </c>
      <c r="F309" s="4" t="s">
        <v>660</v>
      </c>
      <c r="G309" s="4" t="s">
        <v>700</v>
      </c>
      <c r="H309" s="4" t="s">
        <v>704</v>
      </c>
      <c r="I309" s="4" t="s">
        <v>707</v>
      </c>
      <c r="J309" s="4" t="s">
        <v>722</v>
      </c>
      <c r="K309" s="4" t="s">
        <v>729</v>
      </c>
      <c r="L309" s="4" t="s">
        <v>1041</v>
      </c>
      <c r="M309" s="9">
        <v>8</v>
      </c>
      <c r="N309" s="16">
        <f>ROUND(IF('Dashboard Visualization'!$U$3="",'Working Data'!$M309,'Working Data'!$M309*(100% +'Dashboard Visualization'!$U$3)),0)</f>
        <v>8</v>
      </c>
      <c r="O309" s="19">
        <v>382.96</v>
      </c>
      <c r="P309" s="20">
        <f>IF('Dashboard Visualization'!$U$2="",'Working Data'!$O309*'Working Data'!$N309,'Working Data'!$O309*'Working Data'!$N309*(100%+'Dashboard Visualization'!$U$2))</f>
        <v>3063.68</v>
      </c>
      <c r="Q309" s="19">
        <v>552.84</v>
      </c>
      <c r="R309" s="20">
        <f t="shared" si="44"/>
        <v>455.54016000000007</v>
      </c>
      <c r="S309" s="11">
        <v>0.17599999999999999</v>
      </c>
      <c r="T309" s="22">
        <f>IF('Dashboard Visualization'!$U$1="",$S309,IF(S309&gt;'Dashboard Visualization'!$U$1,'Dashboard Visualization'!$U$1,S309))</f>
        <v>0.17599999999999999</v>
      </c>
      <c r="U309" s="20">
        <f t="shared" si="45"/>
        <v>3002.9207347200008</v>
      </c>
      <c r="V309" s="20">
        <f t="shared" si="46"/>
        <v>-60.759265279998999</v>
      </c>
      <c r="W309" s="22">
        <f t="shared" si="42"/>
        <v>0</v>
      </c>
      <c r="X309" s="28" t="str">
        <f>TEXT(B309,"MMM-YYYY")</f>
        <v>May-2025</v>
      </c>
      <c r="Y309" s="7" t="str">
        <f t="shared" si="47"/>
        <v>Q2-2025</v>
      </c>
      <c r="Z309" s="7" t="str">
        <f t="shared" si="48"/>
        <v>Low Price</v>
      </c>
      <c r="AA309" s="7" t="str">
        <f t="shared" si="49"/>
        <v>Q2</v>
      </c>
      <c r="AB309" s="28" t="str">
        <f t="shared" si="50"/>
        <v>May</v>
      </c>
      <c r="AC309" s="28" t="str">
        <f t="shared" si="51"/>
        <v>2025</v>
      </c>
    </row>
    <row r="310" spans="1:29" x14ac:dyDescent="0.25">
      <c r="A310" s="4" t="s">
        <v>322</v>
      </c>
      <c r="B310" s="14">
        <v>45679</v>
      </c>
      <c r="C310" s="14">
        <v>45692</v>
      </c>
      <c r="D310" s="16">
        <f t="shared" si="43"/>
        <v>13</v>
      </c>
      <c r="E310" s="4" t="s">
        <v>647</v>
      </c>
      <c r="F310" s="4" t="s">
        <v>652</v>
      </c>
      <c r="G310" s="4" t="s">
        <v>689</v>
      </c>
      <c r="H310" s="4" t="s">
        <v>705</v>
      </c>
      <c r="I310" s="4" t="s">
        <v>710</v>
      </c>
      <c r="J310" s="4" t="s">
        <v>716</v>
      </c>
      <c r="K310" s="4" t="s">
        <v>728</v>
      </c>
      <c r="L310" s="4" t="s">
        <v>1042</v>
      </c>
      <c r="M310" s="9">
        <v>28</v>
      </c>
      <c r="N310" s="16">
        <f>ROUND(IF('Dashboard Visualization'!$U$3="",'Working Data'!$M310,'Working Data'!$M310*(100% +'Dashboard Visualization'!$U$3)),0)</f>
        <v>28</v>
      </c>
      <c r="O310" s="19">
        <v>122.29</v>
      </c>
      <c r="P310" s="20">
        <f>IF('Dashboard Visualization'!$U$2="",'Working Data'!$O310*'Working Data'!$N310,'Working Data'!$O310*'Working Data'!$N310*(100%+'Dashboard Visualization'!$U$2))</f>
        <v>3424.1200000000003</v>
      </c>
      <c r="Q310" s="19">
        <v>224.95</v>
      </c>
      <c r="R310" s="20">
        <f t="shared" si="44"/>
        <v>190.53264999999999</v>
      </c>
      <c r="S310" s="11">
        <v>0.153</v>
      </c>
      <c r="T310" s="22">
        <f>IF('Dashboard Visualization'!$U$1="",$S310,IF(S310&gt;'Dashboard Visualization'!$U$1,'Dashboard Visualization'!$U$1,S310))</f>
        <v>0.153</v>
      </c>
      <c r="U310" s="20">
        <f t="shared" si="45"/>
        <v>4518.6723273999996</v>
      </c>
      <c r="V310" s="20">
        <f t="shared" si="46"/>
        <v>1094.5523273999993</v>
      </c>
      <c r="W310" s="22">
        <f t="shared" si="42"/>
        <v>0.24222874510349682</v>
      </c>
      <c r="X310" s="28" t="str">
        <f>TEXT(B310,"MMM-YYYY")</f>
        <v>Jan-2025</v>
      </c>
      <c r="Y310" s="7" t="str">
        <f t="shared" si="47"/>
        <v>Q1-2025</v>
      </c>
      <c r="Z310" s="7" t="str">
        <f t="shared" si="48"/>
        <v>Low Price</v>
      </c>
      <c r="AA310" s="7" t="str">
        <f t="shared" si="49"/>
        <v>Q1</v>
      </c>
      <c r="AB310" s="28" t="str">
        <f t="shared" si="50"/>
        <v>Jan</v>
      </c>
      <c r="AC310" s="28" t="str">
        <f t="shared" si="51"/>
        <v>2025</v>
      </c>
    </row>
    <row r="311" spans="1:29" x14ac:dyDescent="0.25">
      <c r="A311" s="4" t="s">
        <v>323</v>
      </c>
      <c r="B311" s="14">
        <v>44936</v>
      </c>
      <c r="C311" s="14">
        <v>44955</v>
      </c>
      <c r="D311" s="16">
        <f t="shared" si="43"/>
        <v>19</v>
      </c>
      <c r="E311" s="4" t="s">
        <v>649</v>
      </c>
      <c r="F311" s="4" t="s">
        <v>657</v>
      </c>
      <c r="G311" s="4" t="s">
        <v>679</v>
      </c>
      <c r="H311" s="4" t="s">
        <v>703</v>
      </c>
      <c r="I311" s="4" t="s">
        <v>711</v>
      </c>
      <c r="J311" s="4" t="s">
        <v>726</v>
      </c>
      <c r="K311" s="4" t="s">
        <v>731</v>
      </c>
      <c r="L311" s="4" t="s">
        <v>1043</v>
      </c>
      <c r="M311" s="9">
        <v>14</v>
      </c>
      <c r="N311" s="16">
        <f>ROUND(IF('Dashboard Visualization'!$U$3="",'Working Data'!$M311,'Working Data'!$M311*(100% +'Dashboard Visualization'!$U$3)),0)</f>
        <v>14</v>
      </c>
      <c r="O311" s="19">
        <v>401.66</v>
      </c>
      <c r="P311" s="20">
        <f>IF('Dashboard Visualization'!$U$2="",'Working Data'!$O311*'Working Data'!$N311,'Working Data'!$O311*'Working Data'!$N311*(100%+'Dashboard Visualization'!$U$2))</f>
        <v>5623.2400000000007</v>
      </c>
      <c r="Q311" s="19">
        <v>772.09</v>
      </c>
      <c r="R311" s="20">
        <f t="shared" si="44"/>
        <v>703.37399000000005</v>
      </c>
      <c r="S311" s="11">
        <v>8.8999999999999996E-2</v>
      </c>
      <c r="T311" s="22">
        <f>IF('Dashboard Visualization'!$U$1="",$S311,IF(S311&gt;'Dashboard Visualization'!$U$1,'Dashboard Visualization'!$U$1,S311))</f>
        <v>8.8999999999999996E-2</v>
      </c>
      <c r="U311" s="20">
        <f t="shared" si="45"/>
        <v>8970.8318684600017</v>
      </c>
      <c r="V311" s="20">
        <f t="shared" si="46"/>
        <v>3347.591868460001</v>
      </c>
      <c r="W311" s="22">
        <f t="shared" si="42"/>
        <v>0.37316404069834308</v>
      </c>
      <c r="X311" s="28" t="str">
        <f>TEXT(B311,"MMM-YYYY")</f>
        <v>Jan-2023</v>
      </c>
      <c r="Y311" s="7" t="str">
        <f t="shared" si="47"/>
        <v>Q1-2023</v>
      </c>
      <c r="Z311" s="7" t="str">
        <f t="shared" si="48"/>
        <v>High Price</v>
      </c>
      <c r="AA311" s="7" t="str">
        <f t="shared" si="49"/>
        <v>Q1</v>
      </c>
      <c r="AB311" s="28" t="str">
        <f t="shared" si="50"/>
        <v>Jan</v>
      </c>
      <c r="AC311" s="28" t="str">
        <f t="shared" si="51"/>
        <v>2023</v>
      </c>
    </row>
    <row r="312" spans="1:29" x14ac:dyDescent="0.25">
      <c r="A312" s="4" t="s">
        <v>324</v>
      </c>
      <c r="B312" s="14">
        <v>45655</v>
      </c>
      <c r="C312" s="14">
        <v>45669</v>
      </c>
      <c r="D312" s="16">
        <f t="shared" si="43"/>
        <v>14</v>
      </c>
      <c r="E312" s="4" t="s">
        <v>649</v>
      </c>
      <c r="F312" s="4" t="s">
        <v>658</v>
      </c>
      <c r="G312" s="4" t="s">
        <v>693</v>
      </c>
      <c r="H312" s="4" t="s">
        <v>701</v>
      </c>
      <c r="I312" s="4" t="s">
        <v>711</v>
      </c>
      <c r="J312" s="4" t="s">
        <v>717</v>
      </c>
      <c r="K312" s="4" t="s">
        <v>732</v>
      </c>
      <c r="L312" s="4" t="s">
        <v>1044</v>
      </c>
      <c r="M312" s="9">
        <v>12</v>
      </c>
      <c r="N312" s="16">
        <f>ROUND(IF('Dashboard Visualization'!$U$3="",'Working Data'!$M312,'Working Data'!$M312*(100% +'Dashboard Visualization'!$U$3)),0)</f>
        <v>12</v>
      </c>
      <c r="O312" s="19">
        <v>1399.72</v>
      </c>
      <c r="P312" s="20">
        <f>IF('Dashboard Visualization'!$U$2="",'Working Data'!$O312*'Working Data'!$N312,'Working Data'!$O312*'Working Data'!$N312*(100%+'Dashboard Visualization'!$U$2))</f>
        <v>16796.64</v>
      </c>
      <c r="Q312" s="19">
        <v>3149.21</v>
      </c>
      <c r="R312" s="20">
        <f t="shared" si="44"/>
        <v>2566.6061500000001</v>
      </c>
      <c r="S312" s="11">
        <v>0.185</v>
      </c>
      <c r="T312" s="22">
        <f>IF('Dashboard Visualization'!$U$1="",$S312,IF(S312&gt;'Dashboard Visualization'!$U$1,'Dashboard Visualization'!$U$1,S312))</f>
        <v>0.185</v>
      </c>
      <c r="U312" s="20">
        <f t="shared" si="45"/>
        <v>25101.408146999995</v>
      </c>
      <c r="V312" s="20">
        <f t="shared" si="46"/>
        <v>8304.7681469999952</v>
      </c>
      <c r="W312" s="22">
        <f t="shared" si="42"/>
        <v>0.33084869575305254</v>
      </c>
      <c r="X312" s="28" t="str">
        <f>TEXT(B312,"MMM-YYYY")</f>
        <v>Dec-2024</v>
      </c>
      <c r="Y312" s="7" t="str">
        <f t="shared" si="47"/>
        <v>Q4-2024</v>
      </c>
      <c r="Z312" s="7" t="str">
        <f t="shared" si="48"/>
        <v>Medium Price</v>
      </c>
      <c r="AA312" s="7" t="str">
        <f t="shared" si="49"/>
        <v>Q4</v>
      </c>
      <c r="AB312" s="28" t="str">
        <f t="shared" si="50"/>
        <v>Dec</v>
      </c>
      <c r="AC312" s="28" t="str">
        <f t="shared" si="51"/>
        <v>2024</v>
      </c>
    </row>
    <row r="313" spans="1:29" x14ac:dyDescent="0.25">
      <c r="A313" s="4" t="s">
        <v>325</v>
      </c>
      <c r="B313" s="14">
        <v>45435</v>
      </c>
      <c r="C313" s="14">
        <v>45449</v>
      </c>
      <c r="D313" s="16">
        <f t="shared" si="43"/>
        <v>14</v>
      </c>
      <c r="E313" s="4" t="s">
        <v>648</v>
      </c>
      <c r="F313" s="4" t="s">
        <v>655</v>
      </c>
      <c r="G313" s="4" t="s">
        <v>692</v>
      </c>
      <c r="H313" s="4" t="s">
        <v>703</v>
      </c>
      <c r="I313" s="4" t="s">
        <v>708</v>
      </c>
      <c r="J313" s="4" t="s">
        <v>714</v>
      </c>
      <c r="K313" s="4" t="s">
        <v>729</v>
      </c>
      <c r="L313" s="4" t="s">
        <v>1045</v>
      </c>
      <c r="M313" s="9">
        <v>16</v>
      </c>
      <c r="N313" s="16">
        <f>ROUND(IF('Dashboard Visualization'!$U$3="",'Working Data'!$M313,'Working Data'!$M313*(100% +'Dashboard Visualization'!$U$3)),0)</f>
        <v>16</v>
      </c>
      <c r="O313" s="19">
        <v>51.13</v>
      </c>
      <c r="P313" s="20">
        <f>IF('Dashboard Visualization'!$U$2="",'Working Data'!$O313*'Working Data'!$N313,'Working Data'!$O313*'Working Data'!$N313*(100%+'Dashboard Visualization'!$U$2))</f>
        <v>818.08</v>
      </c>
      <c r="Q313" s="19">
        <v>57.53</v>
      </c>
      <c r="R313" s="20">
        <f t="shared" si="44"/>
        <v>54.94115</v>
      </c>
      <c r="S313" s="11">
        <v>4.4999999999999998E-2</v>
      </c>
      <c r="T313" s="22">
        <f>IF('Dashboard Visualization'!$U$1="",$S313,IF(S313&gt;'Dashboard Visualization'!$U$1,'Dashboard Visualization'!$U$1,S313))</f>
        <v>4.4999999999999998E-2</v>
      </c>
      <c r="U313" s="20">
        <f t="shared" si="45"/>
        <v>839.50077199999998</v>
      </c>
      <c r="V313" s="20">
        <f t="shared" si="46"/>
        <v>21.420771999999943</v>
      </c>
      <c r="W313" s="22">
        <f t="shared" si="42"/>
        <v>2.5516083742207617E-2</v>
      </c>
      <c r="X313" s="28" t="str">
        <f>TEXT(B313,"MMM-YYYY")</f>
        <v>May-2024</v>
      </c>
      <c r="Y313" s="7" t="str">
        <f t="shared" si="47"/>
        <v>Q2-2024</v>
      </c>
      <c r="Z313" s="7" t="str">
        <f t="shared" si="48"/>
        <v>Low Price</v>
      </c>
      <c r="AA313" s="7" t="str">
        <f t="shared" si="49"/>
        <v>Q2</v>
      </c>
      <c r="AB313" s="28" t="str">
        <f t="shared" si="50"/>
        <v>May</v>
      </c>
      <c r="AC313" s="28" t="str">
        <f t="shared" si="51"/>
        <v>2024</v>
      </c>
    </row>
    <row r="314" spans="1:29" x14ac:dyDescent="0.25">
      <c r="A314" s="4" t="s">
        <v>326</v>
      </c>
      <c r="B314" s="14">
        <v>45101</v>
      </c>
      <c r="C314" s="14">
        <v>45099</v>
      </c>
      <c r="D314" s="16" t="str">
        <f t="shared" si="43"/>
        <v/>
      </c>
      <c r="E314" s="4" t="s">
        <v>648</v>
      </c>
      <c r="F314" s="4" t="s">
        <v>653</v>
      </c>
      <c r="G314" s="4" t="s">
        <v>667</v>
      </c>
      <c r="H314" s="4" t="s">
        <v>703</v>
      </c>
      <c r="I314" s="4" t="s">
        <v>707</v>
      </c>
      <c r="J314" s="4" t="s">
        <v>724</v>
      </c>
      <c r="K314" s="4" t="s">
        <v>733</v>
      </c>
      <c r="L314" s="4" t="s">
        <v>1046</v>
      </c>
      <c r="M314" s="9">
        <v>15</v>
      </c>
      <c r="N314" s="16">
        <f>ROUND(IF('Dashboard Visualization'!$U$3="",'Working Data'!$M314,'Working Data'!$M314*(100% +'Dashboard Visualization'!$U$3)),0)</f>
        <v>15</v>
      </c>
      <c r="O314" s="19">
        <v>471.42</v>
      </c>
      <c r="P314" s="20">
        <f>IF('Dashboard Visualization'!$U$2="",'Working Data'!$O314*'Working Data'!$N314,'Working Data'!$O314*'Working Data'!$N314*(100%+'Dashboard Visualization'!$U$2))</f>
        <v>7071.3</v>
      </c>
      <c r="Q314" s="19">
        <v>824.81</v>
      </c>
      <c r="R314" s="20">
        <f t="shared" si="44"/>
        <v>752.22672</v>
      </c>
      <c r="S314" s="11">
        <v>8.7999999999999995E-2</v>
      </c>
      <c r="T314" s="22">
        <f>IF('Dashboard Visualization'!$U$1="",$S314,IF(S314&gt;'Dashboard Visualization'!$U$1,'Dashboard Visualization'!$U$1,S314))</f>
        <v>8.7999999999999995E-2</v>
      </c>
      <c r="U314" s="20">
        <f t="shared" si="45"/>
        <v>10290.461529600001</v>
      </c>
      <c r="V314" s="20">
        <f t="shared" si="46"/>
        <v>3219.1615296000009</v>
      </c>
      <c r="W314" s="22">
        <f t="shared" si="42"/>
        <v>0.31282965495184473</v>
      </c>
      <c r="X314" s="28" t="str">
        <f>TEXT(B314,"MMM-YYYY")</f>
        <v>Jun-2023</v>
      </c>
      <c r="Y314" s="7" t="str">
        <f t="shared" si="47"/>
        <v>Q2-2023</v>
      </c>
      <c r="Z314" s="7" t="str">
        <f t="shared" si="48"/>
        <v>High Price</v>
      </c>
      <c r="AA314" s="7" t="str">
        <f t="shared" si="49"/>
        <v>Q2</v>
      </c>
      <c r="AB314" s="28" t="str">
        <f t="shared" si="50"/>
        <v>Jun</v>
      </c>
      <c r="AC314" s="28" t="str">
        <f t="shared" si="51"/>
        <v>2023</v>
      </c>
    </row>
    <row r="315" spans="1:29" x14ac:dyDescent="0.25">
      <c r="A315" s="4" t="s">
        <v>327</v>
      </c>
      <c r="B315" s="14">
        <v>45600</v>
      </c>
      <c r="C315" s="14">
        <v>45601</v>
      </c>
      <c r="D315" s="16">
        <f t="shared" si="43"/>
        <v>1</v>
      </c>
      <c r="E315" s="4" t="s">
        <v>649</v>
      </c>
      <c r="F315" s="4" t="s">
        <v>658</v>
      </c>
      <c r="G315" s="4" t="s">
        <v>683</v>
      </c>
      <c r="H315" s="4" t="s">
        <v>701</v>
      </c>
      <c r="I315" s="4" t="s">
        <v>707</v>
      </c>
      <c r="J315" s="4" t="s">
        <v>724</v>
      </c>
      <c r="K315" s="4" t="s">
        <v>728</v>
      </c>
      <c r="L315" s="4" t="s">
        <v>1047</v>
      </c>
      <c r="M315" s="9">
        <v>27</v>
      </c>
      <c r="N315" s="16">
        <f>ROUND(IF('Dashboard Visualization'!$U$3="",'Working Data'!$M315,'Working Data'!$M315*(100% +'Dashboard Visualization'!$U$3)),0)</f>
        <v>27</v>
      </c>
      <c r="O315" s="19">
        <v>840.68</v>
      </c>
      <c r="P315" s="20">
        <f>IF('Dashboard Visualization'!$U$2="",'Working Data'!$O315*'Working Data'!$N315,'Working Data'!$O315*'Working Data'!$N315*(100%+'Dashboard Visualization'!$U$2))</f>
        <v>22698.359999999997</v>
      </c>
      <c r="Q315" s="19">
        <v>1493.53</v>
      </c>
      <c r="R315" s="20">
        <f t="shared" si="44"/>
        <v>1493.53</v>
      </c>
      <c r="S315" s="11">
        <v>0</v>
      </c>
      <c r="T315" s="22">
        <f>IF('Dashboard Visualization'!$U$1="",$S315,IF(S315&gt;'Dashboard Visualization'!$U$1,'Dashboard Visualization'!$U$1,S315))</f>
        <v>0</v>
      </c>
      <c r="U315" s="20">
        <f t="shared" si="45"/>
        <v>40325.31</v>
      </c>
      <c r="V315" s="20">
        <f t="shared" si="46"/>
        <v>17626.95</v>
      </c>
      <c r="W315" s="22">
        <f t="shared" si="42"/>
        <v>0.43711877230454027</v>
      </c>
      <c r="X315" s="28" t="str">
        <f>TEXT(B315,"MMM-YYYY")</f>
        <v>Nov-2024</v>
      </c>
      <c r="Y315" s="7" t="str">
        <f t="shared" si="47"/>
        <v>Q4-2024</v>
      </c>
      <c r="Z315" s="7" t="str">
        <f t="shared" si="48"/>
        <v>High Price</v>
      </c>
      <c r="AA315" s="7" t="str">
        <f t="shared" si="49"/>
        <v>Q4</v>
      </c>
      <c r="AB315" s="28" t="str">
        <f t="shared" si="50"/>
        <v>Nov</v>
      </c>
      <c r="AC315" s="28" t="str">
        <f t="shared" si="51"/>
        <v>2024</v>
      </c>
    </row>
    <row r="316" spans="1:29" x14ac:dyDescent="0.25">
      <c r="A316" s="4" t="s">
        <v>328</v>
      </c>
      <c r="B316" s="14">
        <v>45451</v>
      </c>
      <c r="C316" s="14">
        <v>45467</v>
      </c>
      <c r="D316" s="16">
        <f t="shared" si="43"/>
        <v>16</v>
      </c>
      <c r="E316" s="4" t="s">
        <v>646</v>
      </c>
      <c r="F316" s="4" t="s">
        <v>661</v>
      </c>
      <c r="G316" s="4" t="s">
        <v>687</v>
      </c>
      <c r="H316" s="4" t="s">
        <v>702</v>
      </c>
      <c r="I316" s="4" t="s">
        <v>710</v>
      </c>
      <c r="J316" s="4" t="s">
        <v>722</v>
      </c>
      <c r="K316" s="4" t="s">
        <v>732</v>
      </c>
      <c r="L316" s="4" t="s">
        <v>1048</v>
      </c>
      <c r="M316" s="9">
        <v>7</v>
      </c>
      <c r="N316" s="16">
        <f>ROUND(IF('Dashboard Visualization'!$U$3="",'Working Data'!$M316,'Working Data'!$M316*(100% +'Dashboard Visualization'!$U$3)),0)</f>
        <v>7</v>
      </c>
      <c r="O316" s="19">
        <v>597.85</v>
      </c>
      <c r="P316" s="20">
        <f>IF('Dashboard Visualization'!$U$2="",'Working Data'!$O316*'Working Data'!$N316,'Working Data'!$O316*'Working Data'!$N316*(100%+'Dashboard Visualization'!$U$2))</f>
        <v>4184.95</v>
      </c>
      <c r="Q316" s="19">
        <v>741.92</v>
      </c>
      <c r="R316" s="20">
        <f t="shared" si="44"/>
        <v>718.92047999999988</v>
      </c>
      <c r="S316" s="11">
        <v>3.1E-2</v>
      </c>
      <c r="T316" s="22">
        <f>IF('Dashboard Visualization'!$U$1="",$S316,IF(S316&gt;'Dashboard Visualization'!$U$1,'Dashboard Visualization'!$U$1,S316))</f>
        <v>3.1E-2</v>
      </c>
      <c r="U316" s="20">
        <f t="shared" si="45"/>
        <v>4876.4376158399991</v>
      </c>
      <c r="V316" s="20">
        <f t="shared" si="46"/>
        <v>691.48761583999931</v>
      </c>
      <c r="W316" s="22">
        <f t="shared" si="42"/>
        <v>0.14180179678580507</v>
      </c>
      <c r="X316" s="28" t="str">
        <f>TEXT(B316,"MMM-YYYY")</f>
        <v>Jun-2024</v>
      </c>
      <c r="Y316" s="7" t="str">
        <f t="shared" si="47"/>
        <v>Q2-2024</v>
      </c>
      <c r="Z316" s="7" t="str">
        <f t="shared" si="48"/>
        <v>High Price</v>
      </c>
      <c r="AA316" s="7" t="str">
        <f t="shared" si="49"/>
        <v>Q2</v>
      </c>
      <c r="AB316" s="28" t="str">
        <f t="shared" si="50"/>
        <v>Jun</v>
      </c>
      <c r="AC316" s="28" t="str">
        <f t="shared" si="51"/>
        <v>2024</v>
      </c>
    </row>
    <row r="317" spans="1:29" x14ac:dyDescent="0.25">
      <c r="A317" s="4" t="s">
        <v>329</v>
      </c>
      <c r="B317" s="14">
        <v>45809</v>
      </c>
      <c r="C317" s="14">
        <v>45814</v>
      </c>
      <c r="D317" s="16">
        <f t="shared" si="43"/>
        <v>5</v>
      </c>
      <c r="E317" s="4" t="s">
        <v>649</v>
      </c>
      <c r="F317" s="4" t="s">
        <v>657</v>
      </c>
      <c r="G317" s="4" t="s">
        <v>690</v>
      </c>
      <c r="H317" s="4" t="s">
        <v>704</v>
      </c>
      <c r="I317" s="4" t="s">
        <v>710</v>
      </c>
      <c r="J317" s="4" t="s">
        <v>715</v>
      </c>
      <c r="K317" s="4" t="s">
        <v>727</v>
      </c>
      <c r="L317" s="4" t="s">
        <v>1049</v>
      </c>
      <c r="M317" s="9">
        <v>13</v>
      </c>
      <c r="N317" s="16">
        <f>ROUND(IF('Dashboard Visualization'!$U$3="",'Working Data'!$M317,'Working Data'!$M317*(100% +'Dashboard Visualization'!$U$3)),0)</f>
        <v>13</v>
      </c>
      <c r="O317" s="19">
        <v>379.45</v>
      </c>
      <c r="P317" s="20">
        <f>IF('Dashboard Visualization'!$U$2="",'Working Data'!$O317*'Working Data'!$N317,'Working Data'!$O317*'Working Data'!$N317*(100%+'Dashboard Visualization'!$U$2))</f>
        <v>4932.8499999999995</v>
      </c>
      <c r="Q317" s="19">
        <v>742.23</v>
      </c>
      <c r="R317" s="20">
        <f t="shared" si="44"/>
        <v>675.42930000000001</v>
      </c>
      <c r="S317" s="11">
        <v>0.09</v>
      </c>
      <c r="T317" s="22">
        <f>IF('Dashboard Visualization'!$U$1="",$S317,IF(S317&gt;'Dashboard Visualization'!$U$1,'Dashboard Visualization'!$U$1,S317))</f>
        <v>0.09</v>
      </c>
      <c r="U317" s="20">
        <f t="shared" si="45"/>
        <v>7990.3286189999999</v>
      </c>
      <c r="V317" s="20">
        <f t="shared" si="46"/>
        <v>3057.4786190000004</v>
      </c>
      <c r="W317" s="22">
        <f t="shared" si="42"/>
        <v>0.38264741849661849</v>
      </c>
      <c r="X317" s="28" t="str">
        <f>TEXT(B317,"MMM-YYYY")</f>
        <v>Jun-2025</v>
      </c>
      <c r="Y317" s="7" t="str">
        <f t="shared" si="47"/>
        <v>Q2-2025</v>
      </c>
      <c r="Z317" s="7" t="str">
        <f t="shared" si="48"/>
        <v>High Price</v>
      </c>
      <c r="AA317" s="7" t="str">
        <f t="shared" si="49"/>
        <v>Q2</v>
      </c>
      <c r="AB317" s="28" t="str">
        <f t="shared" si="50"/>
        <v>Jun</v>
      </c>
      <c r="AC317" s="28" t="str">
        <f t="shared" si="51"/>
        <v>2025</v>
      </c>
    </row>
    <row r="318" spans="1:29" x14ac:dyDescent="0.25">
      <c r="A318" s="4" t="s">
        <v>330</v>
      </c>
      <c r="B318" s="14">
        <v>45052</v>
      </c>
      <c r="C318" s="14">
        <v>45060</v>
      </c>
      <c r="D318" s="16">
        <f t="shared" si="43"/>
        <v>8</v>
      </c>
      <c r="E318" s="4" t="s">
        <v>647</v>
      </c>
      <c r="F318" s="4" t="s">
        <v>652</v>
      </c>
      <c r="G318" s="4" t="s">
        <v>666</v>
      </c>
      <c r="H318" s="4" t="s">
        <v>706</v>
      </c>
      <c r="I318" s="4" t="s">
        <v>709</v>
      </c>
      <c r="J318" s="4" t="s">
        <v>717</v>
      </c>
      <c r="K318" s="4" t="s">
        <v>730</v>
      </c>
      <c r="L318" s="4" t="s">
        <v>1050</v>
      </c>
      <c r="M318" s="9">
        <v>22</v>
      </c>
      <c r="N318" s="16">
        <f>ROUND(IF('Dashboard Visualization'!$U$3="",'Working Data'!$M318,'Working Data'!$M318*(100% +'Dashboard Visualization'!$U$3)),0)</f>
        <v>22</v>
      </c>
      <c r="O318" s="19">
        <v>291.18</v>
      </c>
      <c r="P318" s="20">
        <f>IF('Dashboard Visualization'!$U$2="",'Working Data'!$O318*'Working Data'!$N318,'Working Data'!$O318*'Working Data'!$N318*(100%+'Dashboard Visualization'!$U$2))</f>
        <v>6405.96</v>
      </c>
      <c r="Q318" s="19">
        <v>479.54</v>
      </c>
      <c r="R318" s="20">
        <f t="shared" si="44"/>
        <v>411.92486000000002</v>
      </c>
      <c r="S318" s="11">
        <v>0.14099999999999999</v>
      </c>
      <c r="T318" s="22">
        <f>IF('Dashboard Visualization'!$U$1="",$S318,IF(S318&gt;'Dashboard Visualization'!$U$1,'Dashboard Visualization'!$U$1,S318))</f>
        <v>0.14099999999999999</v>
      </c>
      <c r="U318" s="20">
        <f t="shared" si="45"/>
        <v>7784.5560042800007</v>
      </c>
      <c r="V318" s="20">
        <f t="shared" si="46"/>
        <v>1378.5960042800007</v>
      </c>
      <c r="W318" s="22">
        <f t="shared" si="42"/>
        <v>0.17709372294605363</v>
      </c>
      <c r="X318" s="28" t="str">
        <f>TEXT(B318,"MMM-YYYY")</f>
        <v>May-2023</v>
      </c>
      <c r="Y318" s="7" t="str">
        <f t="shared" si="47"/>
        <v>Q2-2023</v>
      </c>
      <c r="Z318" s="7" t="str">
        <f t="shared" si="48"/>
        <v>Low Price</v>
      </c>
      <c r="AA318" s="7" t="str">
        <f t="shared" si="49"/>
        <v>Q2</v>
      </c>
      <c r="AB318" s="28" t="str">
        <f t="shared" si="50"/>
        <v>May</v>
      </c>
      <c r="AC318" s="28" t="str">
        <f t="shared" si="51"/>
        <v>2023</v>
      </c>
    </row>
    <row r="319" spans="1:29" x14ac:dyDescent="0.25">
      <c r="A319" s="4" t="s">
        <v>331</v>
      </c>
      <c r="B319" s="14">
        <v>45244</v>
      </c>
      <c r="C319" s="14">
        <v>45260</v>
      </c>
      <c r="D319" s="16">
        <f t="shared" si="43"/>
        <v>16</v>
      </c>
      <c r="E319" s="4" t="s">
        <v>648</v>
      </c>
      <c r="F319" s="4" t="s">
        <v>655</v>
      </c>
      <c r="G319" s="4" t="s">
        <v>670</v>
      </c>
      <c r="H319" s="4" t="s">
        <v>706</v>
      </c>
      <c r="I319" s="4" t="s">
        <v>711</v>
      </c>
      <c r="J319" s="4" t="s">
        <v>723</v>
      </c>
      <c r="K319" s="4" t="s">
        <v>729</v>
      </c>
      <c r="L319" s="4" t="s">
        <v>1051</v>
      </c>
      <c r="M319" s="9">
        <v>15</v>
      </c>
      <c r="N319" s="16">
        <f>ROUND(IF('Dashboard Visualization'!$U$3="",'Working Data'!$M319,'Working Data'!$M319*(100% +'Dashboard Visualization'!$U$3)),0)</f>
        <v>15</v>
      </c>
      <c r="O319" s="19">
        <v>1017.92</v>
      </c>
      <c r="P319" s="20">
        <f>IF('Dashboard Visualization'!$U$2="",'Working Data'!$O319*'Working Data'!$N319,'Working Data'!$O319*'Working Data'!$N319*(100%+'Dashboard Visualization'!$U$2))</f>
        <v>15268.8</v>
      </c>
      <c r="Q319" s="19">
        <v>1175.25</v>
      </c>
      <c r="R319" s="20">
        <f t="shared" si="44"/>
        <v>1087.10625</v>
      </c>
      <c r="S319" s="11">
        <v>7.4999999999999997E-2</v>
      </c>
      <c r="T319" s="22">
        <f>IF('Dashboard Visualization'!$U$1="",$S319,IF(S319&gt;'Dashboard Visualization'!$U$1,'Dashboard Visualization'!$U$1,S319))</f>
        <v>7.4999999999999997E-2</v>
      </c>
      <c r="U319" s="20">
        <f t="shared" si="45"/>
        <v>15083.599218750001</v>
      </c>
      <c r="V319" s="20">
        <f t="shared" si="46"/>
        <v>-185.20078124999782</v>
      </c>
      <c r="W319" s="22">
        <f t="shared" si="42"/>
        <v>0</v>
      </c>
      <c r="X319" s="28" t="str">
        <f>TEXT(B319,"MMM-YYYY")</f>
        <v>Nov-2023</v>
      </c>
      <c r="Y319" s="7" t="str">
        <f t="shared" si="47"/>
        <v>Q4-2023</v>
      </c>
      <c r="Z319" s="7" t="str">
        <f t="shared" si="48"/>
        <v>High Price</v>
      </c>
      <c r="AA319" s="7" t="str">
        <f t="shared" si="49"/>
        <v>Q4</v>
      </c>
      <c r="AB319" s="28" t="str">
        <f t="shared" si="50"/>
        <v>Nov</v>
      </c>
      <c r="AC319" s="28" t="str">
        <f t="shared" si="51"/>
        <v>2023</v>
      </c>
    </row>
    <row r="320" spans="1:29" x14ac:dyDescent="0.25">
      <c r="A320" s="4" t="s">
        <v>332</v>
      </c>
      <c r="B320" s="14">
        <v>45748</v>
      </c>
      <c r="C320" s="14">
        <v>45774</v>
      </c>
      <c r="D320" s="16">
        <f t="shared" si="43"/>
        <v>26</v>
      </c>
      <c r="E320" s="4" t="s">
        <v>648</v>
      </c>
      <c r="F320" s="4" t="s">
        <v>660</v>
      </c>
      <c r="G320" s="4" t="s">
        <v>686</v>
      </c>
      <c r="H320" s="4" t="s">
        <v>701</v>
      </c>
      <c r="I320" s="4" t="s">
        <v>711</v>
      </c>
      <c r="J320" s="4" t="s">
        <v>714</v>
      </c>
      <c r="K320" s="4" t="s">
        <v>732</v>
      </c>
      <c r="L320" s="4" t="s">
        <v>1052</v>
      </c>
      <c r="M320" s="9">
        <v>13</v>
      </c>
      <c r="N320" s="16">
        <f>ROUND(IF('Dashboard Visualization'!$U$3="",'Working Data'!$M320,'Working Data'!$M320*(100% +'Dashboard Visualization'!$U$3)),0)</f>
        <v>13</v>
      </c>
      <c r="O320" s="19">
        <v>156.55000000000001</v>
      </c>
      <c r="P320" s="20">
        <f>IF('Dashboard Visualization'!$U$2="",'Working Data'!$O320*'Working Data'!$N320,'Working Data'!$O320*'Working Data'!$N320*(100%+'Dashboard Visualization'!$U$2))</f>
        <v>2035.15</v>
      </c>
      <c r="Q320" s="19">
        <v>227.45</v>
      </c>
      <c r="R320" s="20">
        <f t="shared" si="44"/>
        <v>224.26569999999998</v>
      </c>
      <c r="S320" s="11">
        <v>1.4E-2</v>
      </c>
      <c r="T320" s="22">
        <f>IF('Dashboard Visualization'!$U$1="",$S320,IF(S320&gt;'Dashboard Visualization'!$U$1,'Dashboard Visualization'!$U$1,S320))</f>
        <v>1.4E-2</v>
      </c>
      <c r="U320" s="20">
        <f t="shared" si="45"/>
        <v>2874.6377425999999</v>
      </c>
      <c r="V320" s="20">
        <f t="shared" si="46"/>
        <v>839.48774259999982</v>
      </c>
      <c r="W320" s="22">
        <f t="shared" si="42"/>
        <v>0.29203253340739738</v>
      </c>
      <c r="X320" s="28" t="str">
        <f>TEXT(B320,"MMM-YYYY")</f>
        <v>Apr-2025</v>
      </c>
      <c r="Y320" s="7" t="str">
        <f t="shared" si="47"/>
        <v>Q2-2025</v>
      </c>
      <c r="Z320" s="7" t="str">
        <f t="shared" si="48"/>
        <v>Low Price</v>
      </c>
      <c r="AA320" s="7" t="str">
        <f t="shared" si="49"/>
        <v>Q2</v>
      </c>
      <c r="AB320" s="28" t="str">
        <f t="shared" si="50"/>
        <v>Apr</v>
      </c>
      <c r="AC320" s="28" t="str">
        <f t="shared" si="51"/>
        <v>2025</v>
      </c>
    </row>
    <row r="321" spans="1:29" x14ac:dyDescent="0.25">
      <c r="A321" s="4" t="s">
        <v>333</v>
      </c>
      <c r="B321" s="14">
        <v>45008</v>
      </c>
      <c r="C321" s="14">
        <v>45031</v>
      </c>
      <c r="D321" s="16">
        <f t="shared" si="43"/>
        <v>23</v>
      </c>
      <c r="E321" s="4" t="s">
        <v>646</v>
      </c>
      <c r="F321" s="4" t="s">
        <v>650</v>
      </c>
      <c r="G321" s="4" t="s">
        <v>675</v>
      </c>
      <c r="H321" s="4" t="s">
        <v>705</v>
      </c>
      <c r="I321" s="4" t="s">
        <v>707</v>
      </c>
      <c r="J321" s="4" t="s">
        <v>712</v>
      </c>
      <c r="K321" s="4" t="s">
        <v>733</v>
      </c>
      <c r="L321" s="4" t="s">
        <v>1053</v>
      </c>
      <c r="M321" s="9">
        <v>53</v>
      </c>
      <c r="N321" s="16">
        <f>ROUND(IF('Dashboard Visualization'!$U$3="",'Working Data'!$M321,'Working Data'!$M321*(100% +'Dashboard Visualization'!$U$3)),0)</f>
        <v>53</v>
      </c>
      <c r="O321" s="19">
        <v>875.36</v>
      </c>
      <c r="P321" s="20">
        <f>IF('Dashboard Visualization'!$U$2="",'Working Data'!$O321*'Working Data'!$N321,'Working Data'!$O321*'Working Data'!$N321*(100%+'Dashboard Visualization'!$U$2))</f>
        <v>46394.080000000002</v>
      </c>
      <c r="Q321" s="19">
        <v>1178.6199999999999</v>
      </c>
      <c r="R321" s="20">
        <f t="shared" si="44"/>
        <v>1000.6483799999999</v>
      </c>
      <c r="S321" s="11">
        <v>0.151</v>
      </c>
      <c r="T321" s="22">
        <f>IF('Dashboard Visualization'!$U$1="",$S321,IF(S321&gt;'Dashboard Visualization'!$U$1,'Dashboard Visualization'!$U$1,S321))</f>
        <v>0.151</v>
      </c>
      <c r="U321" s="20">
        <f t="shared" si="45"/>
        <v>45026.175154859993</v>
      </c>
      <c r="V321" s="20">
        <f t="shared" si="46"/>
        <v>-1367.9048451400085</v>
      </c>
      <c r="W321" s="22">
        <f t="shared" si="42"/>
        <v>0</v>
      </c>
      <c r="X321" s="28" t="str">
        <f>TEXT(B321,"MMM-YYYY")</f>
        <v>Mar-2023</v>
      </c>
      <c r="Y321" s="7" t="str">
        <f t="shared" si="47"/>
        <v>Q1-2023</v>
      </c>
      <c r="Z321" s="7" t="str">
        <f t="shared" si="48"/>
        <v>High Price</v>
      </c>
      <c r="AA321" s="7" t="str">
        <f t="shared" si="49"/>
        <v>Q1</v>
      </c>
      <c r="AB321" s="28" t="str">
        <f t="shared" si="50"/>
        <v>Mar</v>
      </c>
      <c r="AC321" s="28" t="str">
        <f t="shared" si="51"/>
        <v>2023</v>
      </c>
    </row>
    <row r="322" spans="1:29" x14ac:dyDescent="0.25">
      <c r="A322" s="4" t="s">
        <v>334</v>
      </c>
      <c r="B322" s="14">
        <v>45440</v>
      </c>
      <c r="C322" s="14">
        <v>45461</v>
      </c>
      <c r="D322" s="16">
        <f t="shared" si="43"/>
        <v>21</v>
      </c>
      <c r="E322" s="4" t="s">
        <v>649</v>
      </c>
      <c r="F322" s="4" t="s">
        <v>656</v>
      </c>
      <c r="G322" s="4" t="s">
        <v>698</v>
      </c>
      <c r="H322" s="4" t="s">
        <v>705</v>
      </c>
      <c r="I322" s="4" t="s">
        <v>708</v>
      </c>
      <c r="J322" s="4" t="s">
        <v>718</v>
      </c>
      <c r="K322" s="4" t="s">
        <v>730</v>
      </c>
      <c r="L322" s="4" t="s">
        <v>1054</v>
      </c>
      <c r="M322" s="9">
        <v>10</v>
      </c>
      <c r="N322" s="16">
        <f>ROUND(IF('Dashboard Visualization'!$U$3="",'Working Data'!$M322,'Working Data'!$M322*(100% +'Dashboard Visualization'!$U$3)),0)</f>
        <v>10</v>
      </c>
      <c r="O322" s="19">
        <v>986.85</v>
      </c>
      <c r="P322" s="20">
        <f>IF('Dashboard Visualization'!$U$2="",'Working Data'!$O322*'Working Data'!$N322,'Working Data'!$O322*'Working Data'!$N322*(100%+'Dashboard Visualization'!$U$2))</f>
        <v>9868.5</v>
      </c>
      <c r="Q322" s="19">
        <v>2422.1</v>
      </c>
      <c r="R322" s="20">
        <f t="shared" si="44"/>
        <v>2238.0203999999999</v>
      </c>
      <c r="S322" s="11">
        <v>7.5999999999999998E-2</v>
      </c>
      <c r="T322" s="22">
        <f>IF('Dashboard Visualization'!$U$1="",$S322,IF(S322&gt;'Dashboard Visualization'!$U$1,'Dashboard Visualization'!$U$1,S322))</f>
        <v>7.5999999999999998E-2</v>
      </c>
      <c r="U322" s="20">
        <f t="shared" si="45"/>
        <v>20679.308495999998</v>
      </c>
      <c r="V322" s="20">
        <f t="shared" si="46"/>
        <v>10810.808495999998</v>
      </c>
      <c r="W322" s="22">
        <f t="shared" ref="W322:W385" si="52">IFERROR(IF(V322&lt;=0,0,V322/U322),0)</f>
        <v>0.52278384928060506</v>
      </c>
      <c r="X322" s="28" t="str">
        <f>TEXT(B322,"MMM-YYYY")</f>
        <v>May-2024</v>
      </c>
      <c r="Y322" s="7" t="str">
        <f t="shared" si="47"/>
        <v>Q2-2024</v>
      </c>
      <c r="Z322" s="7" t="str">
        <f t="shared" si="48"/>
        <v>Medium Price</v>
      </c>
      <c r="AA322" s="7" t="str">
        <f t="shared" si="49"/>
        <v>Q2</v>
      </c>
      <c r="AB322" s="28" t="str">
        <f t="shared" si="50"/>
        <v>May</v>
      </c>
      <c r="AC322" s="28" t="str">
        <f t="shared" si="51"/>
        <v>2024</v>
      </c>
    </row>
    <row r="323" spans="1:29" x14ac:dyDescent="0.25">
      <c r="A323" s="4" t="s">
        <v>335</v>
      </c>
      <c r="B323" s="14">
        <v>45293</v>
      </c>
      <c r="C323" s="14">
        <v>45292</v>
      </c>
      <c r="D323" s="16" t="str">
        <f t="shared" ref="D323:D386" si="53">IFERROR(DATEDIF(B323,C323,"D"),"")</f>
        <v/>
      </c>
      <c r="E323" s="4" t="s">
        <v>648</v>
      </c>
      <c r="F323" s="4" t="s">
        <v>660</v>
      </c>
      <c r="G323" s="4" t="s">
        <v>677</v>
      </c>
      <c r="H323" s="4" t="s">
        <v>702</v>
      </c>
      <c r="I323" s="4" t="s">
        <v>709</v>
      </c>
      <c r="J323" s="4" t="s">
        <v>717</v>
      </c>
      <c r="K323" s="4" t="s">
        <v>729</v>
      </c>
      <c r="L323" s="4" t="s">
        <v>1055</v>
      </c>
      <c r="M323" s="9">
        <v>22</v>
      </c>
      <c r="N323" s="16">
        <f>ROUND(IF('Dashboard Visualization'!$U$3="",'Working Data'!$M323,'Working Data'!$M323*(100% +'Dashboard Visualization'!$U$3)),0)</f>
        <v>22</v>
      </c>
      <c r="O323" s="19">
        <v>404.77</v>
      </c>
      <c r="P323" s="20">
        <f>IF('Dashboard Visualization'!$U$2="",'Working Data'!$O323*'Working Data'!$N323,'Working Data'!$O323*'Working Data'!$N323*(100%+'Dashboard Visualization'!$U$2))</f>
        <v>8904.9399999999987</v>
      </c>
      <c r="Q323" s="19">
        <v>433.88</v>
      </c>
      <c r="R323" s="20">
        <f t="shared" ref="R323:R386" si="54">(1-T323)*Q323</f>
        <v>340.5958</v>
      </c>
      <c r="S323" s="11">
        <v>0.215</v>
      </c>
      <c r="T323" s="22">
        <f>IF('Dashboard Visualization'!$U$1="",$S323,IF(S323&gt;'Dashboard Visualization'!$U$1,'Dashboard Visualization'!$U$1,S323))</f>
        <v>0.215</v>
      </c>
      <c r="U323" s="20">
        <f t="shared" ref="U323:U386" si="55">IFERROR(R323*(1-T323)*N323,"-")</f>
        <v>5882.0894660000004</v>
      </c>
      <c r="V323" s="20">
        <f t="shared" ref="V323:V386" si="56">IFERROR(U323-P323,"-")</f>
        <v>-3022.8505339999983</v>
      </c>
      <c r="W323" s="22">
        <f t="shared" si="52"/>
        <v>0</v>
      </c>
      <c r="X323" s="28" t="str">
        <f>TEXT(B323,"MMM-YYYY")</f>
        <v>Jan-2024</v>
      </c>
      <c r="Y323" s="7" t="str">
        <f t="shared" ref="Y323:Y386" si="57">"Q" &amp; ROUNDUP(MONTH(X323)/3,0) &amp; "-" &amp; TEXT(X323,"YYYY")</f>
        <v>Q1-2024</v>
      </c>
      <c r="Z323" s="7" t="str">
        <f t="shared" ref="Z323:Z386" si="58">IF(R323&lt;QUARTILE(R:R,1), "Low Price", IF(R323&lt;QUARTILE(R:R,3), "High Price", "Medium Price"))</f>
        <v>Low Price</v>
      </c>
      <c r="AA323" s="7" t="str">
        <f t="shared" ref="AA323:AA386" si="59">"Q"&amp;ROUNDUP(MONTH(X323)/3,0)</f>
        <v>Q1</v>
      </c>
      <c r="AB323" s="28" t="str">
        <f t="shared" ref="AB323:AB386" si="60">TEXT(X323,"MMM")</f>
        <v>Jan</v>
      </c>
      <c r="AC323" s="28" t="str">
        <f t="shared" ref="AC323:AC386" si="61">TEXT(X323,"YYYY")</f>
        <v>2024</v>
      </c>
    </row>
    <row r="324" spans="1:29" x14ac:dyDescent="0.25">
      <c r="A324" s="4" t="s">
        <v>336</v>
      </c>
      <c r="B324" s="14">
        <v>44985</v>
      </c>
      <c r="C324" s="14">
        <v>44984</v>
      </c>
      <c r="D324" s="16" t="str">
        <f t="shared" si="53"/>
        <v/>
      </c>
      <c r="E324" s="4" t="s">
        <v>649</v>
      </c>
      <c r="F324" s="4" t="s">
        <v>657</v>
      </c>
      <c r="G324" s="4" t="s">
        <v>673</v>
      </c>
      <c r="H324" s="4" t="s">
        <v>701</v>
      </c>
      <c r="I324" s="4" t="s">
        <v>707</v>
      </c>
      <c r="J324" s="4" t="s">
        <v>723</v>
      </c>
      <c r="K324" s="4" t="s">
        <v>729</v>
      </c>
      <c r="L324" s="4" t="s">
        <v>1056</v>
      </c>
      <c r="M324" s="9">
        <v>14</v>
      </c>
      <c r="N324" s="16">
        <f>ROUND(IF('Dashboard Visualization'!$U$3="",'Working Data'!$M324,'Working Data'!$M324*(100% +'Dashboard Visualization'!$U$3)),0)</f>
        <v>14</v>
      </c>
      <c r="O324" s="19">
        <v>1299.81</v>
      </c>
      <c r="P324" s="20">
        <f>IF('Dashboard Visualization'!$U$2="",'Working Data'!$O324*'Working Data'!$N324,'Working Data'!$O324*'Working Data'!$N324*(100%+'Dashboard Visualization'!$U$2))</f>
        <v>18197.34</v>
      </c>
      <c r="Q324" s="19">
        <v>3149.13</v>
      </c>
      <c r="R324" s="20">
        <f t="shared" si="54"/>
        <v>2824.7696100000003</v>
      </c>
      <c r="S324" s="11">
        <v>0.10299999999999999</v>
      </c>
      <c r="T324" s="22">
        <f>IF('Dashboard Visualization'!$U$1="",$S324,IF(S324&gt;'Dashboard Visualization'!$U$1,'Dashboard Visualization'!$U$1,S324))</f>
        <v>0.10299999999999999</v>
      </c>
      <c r="U324" s="20">
        <f t="shared" si="55"/>
        <v>35473.456762380003</v>
      </c>
      <c r="V324" s="20">
        <f t="shared" si="56"/>
        <v>17276.116762380003</v>
      </c>
      <c r="W324" s="22">
        <f t="shared" si="52"/>
        <v>0.48701531621529248</v>
      </c>
      <c r="X324" s="28" t="str">
        <f>TEXT(B324,"MMM-YYYY")</f>
        <v>Feb-2023</v>
      </c>
      <c r="Y324" s="7" t="str">
        <f t="shared" si="57"/>
        <v>Q1-2023</v>
      </c>
      <c r="Z324" s="7" t="str">
        <f t="shared" si="58"/>
        <v>Medium Price</v>
      </c>
      <c r="AA324" s="7" t="str">
        <f t="shared" si="59"/>
        <v>Q1</v>
      </c>
      <c r="AB324" s="28" t="str">
        <f t="shared" si="60"/>
        <v>Feb</v>
      </c>
      <c r="AC324" s="28" t="str">
        <f t="shared" si="61"/>
        <v>2023</v>
      </c>
    </row>
    <row r="325" spans="1:29" x14ac:dyDescent="0.25">
      <c r="A325" s="4" t="s">
        <v>337</v>
      </c>
      <c r="B325" s="14">
        <v>45340</v>
      </c>
      <c r="C325" s="14">
        <v>45362</v>
      </c>
      <c r="D325" s="16">
        <f t="shared" si="53"/>
        <v>22</v>
      </c>
      <c r="E325" s="4" t="s">
        <v>648</v>
      </c>
      <c r="F325" s="4" t="s">
        <v>655</v>
      </c>
      <c r="G325" s="4" t="s">
        <v>670</v>
      </c>
      <c r="H325" s="4" t="s">
        <v>704</v>
      </c>
      <c r="I325" s="4" t="s">
        <v>708</v>
      </c>
      <c r="J325" s="4" t="s">
        <v>720</v>
      </c>
      <c r="K325" s="4" t="s">
        <v>727</v>
      </c>
      <c r="L325" s="4" t="s">
        <v>1057</v>
      </c>
      <c r="M325" s="9">
        <v>13</v>
      </c>
      <c r="N325" s="16">
        <f>ROUND(IF('Dashboard Visualization'!$U$3="",'Working Data'!$M325,'Working Data'!$M325*(100% +'Dashboard Visualization'!$U$3)),0)</f>
        <v>13</v>
      </c>
      <c r="O325" s="19">
        <v>80.48</v>
      </c>
      <c r="P325" s="20">
        <f>IF('Dashboard Visualization'!$U$2="",'Working Data'!$O325*'Working Data'!$N325,'Working Data'!$O325*'Working Data'!$N325*(100%+'Dashboard Visualization'!$U$2))</f>
        <v>1046.24</v>
      </c>
      <c r="Q325" s="19">
        <v>65.650000000000006</v>
      </c>
      <c r="R325" s="20">
        <f t="shared" si="54"/>
        <v>54.095600000000012</v>
      </c>
      <c r="S325" s="11">
        <v>0.17599999999999999</v>
      </c>
      <c r="T325" s="22">
        <f>IF('Dashboard Visualization'!$U$1="",$S325,IF(S325&gt;'Dashboard Visualization'!$U$1,'Dashboard Visualization'!$U$1,S325))</f>
        <v>0.17599999999999999</v>
      </c>
      <c r="U325" s="20">
        <f t="shared" si="55"/>
        <v>579.47206720000008</v>
      </c>
      <c r="V325" s="20">
        <f t="shared" si="56"/>
        <v>-466.76793279999993</v>
      </c>
      <c r="W325" s="22">
        <f t="shared" si="52"/>
        <v>0</v>
      </c>
      <c r="X325" s="28" t="str">
        <f>TEXT(B325,"MMM-YYYY")</f>
        <v>Feb-2024</v>
      </c>
      <c r="Y325" s="7" t="str">
        <f t="shared" si="57"/>
        <v>Q1-2024</v>
      </c>
      <c r="Z325" s="7" t="str">
        <f t="shared" si="58"/>
        <v>Low Price</v>
      </c>
      <c r="AA325" s="7" t="str">
        <f t="shared" si="59"/>
        <v>Q1</v>
      </c>
      <c r="AB325" s="28" t="str">
        <f t="shared" si="60"/>
        <v>Feb</v>
      </c>
      <c r="AC325" s="28" t="str">
        <f t="shared" si="61"/>
        <v>2024</v>
      </c>
    </row>
    <row r="326" spans="1:29" x14ac:dyDescent="0.25">
      <c r="A326" s="4" t="s">
        <v>338</v>
      </c>
      <c r="B326" s="14">
        <v>45544</v>
      </c>
      <c r="C326" s="14">
        <v>45573</v>
      </c>
      <c r="D326" s="16">
        <f t="shared" si="53"/>
        <v>29</v>
      </c>
      <c r="E326" s="4" t="s">
        <v>648</v>
      </c>
      <c r="F326" s="4" t="s">
        <v>655</v>
      </c>
      <c r="G326" s="4" t="s">
        <v>670</v>
      </c>
      <c r="H326" s="4" t="s">
        <v>702</v>
      </c>
      <c r="I326" s="4" t="s">
        <v>711</v>
      </c>
      <c r="J326" s="4" t="s">
        <v>713</v>
      </c>
      <c r="K326" s="4" t="s">
        <v>727</v>
      </c>
      <c r="L326" s="4" t="s">
        <v>1058</v>
      </c>
      <c r="M326" s="9">
        <v>11</v>
      </c>
      <c r="N326" s="16">
        <f>ROUND(IF('Dashboard Visualization'!$U$3="",'Working Data'!$M326,'Working Data'!$M326*(100% +'Dashboard Visualization'!$U$3)),0)</f>
        <v>11</v>
      </c>
      <c r="O326" s="19">
        <v>1010.33</v>
      </c>
      <c r="P326" s="20">
        <f>IF('Dashboard Visualization'!$U$2="",'Working Data'!$O326*'Working Data'!$N326,'Working Data'!$O326*'Working Data'!$N326*(100%+'Dashboard Visualization'!$U$2))</f>
        <v>11113.630000000001</v>
      </c>
      <c r="Q326" s="19">
        <v>2492.14</v>
      </c>
      <c r="R326" s="20">
        <f t="shared" si="54"/>
        <v>2365.0408599999996</v>
      </c>
      <c r="S326" s="11">
        <v>5.0999999999999997E-2</v>
      </c>
      <c r="T326" s="22">
        <f>IF('Dashboard Visualization'!$U$1="",$S326,IF(S326&gt;'Dashboard Visualization'!$U$1,'Dashboard Visualization'!$U$1,S326))</f>
        <v>5.0999999999999997E-2</v>
      </c>
      <c r="U326" s="20">
        <f t="shared" si="55"/>
        <v>24688.661537539996</v>
      </c>
      <c r="V326" s="20">
        <f t="shared" si="56"/>
        <v>13575.031537539995</v>
      </c>
      <c r="W326" s="22">
        <f t="shared" si="52"/>
        <v>0.54984882501218924</v>
      </c>
      <c r="X326" s="28" t="str">
        <f>TEXT(B326,"MMM-YYYY")</f>
        <v>Sep-2024</v>
      </c>
      <c r="Y326" s="7" t="str">
        <f t="shared" si="57"/>
        <v>Q3-2024</v>
      </c>
      <c r="Z326" s="7" t="str">
        <f t="shared" si="58"/>
        <v>Medium Price</v>
      </c>
      <c r="AA326" s="7" t="str">
        <f t="shared" si="59"/>
        <v>Q3</v>
      </c>
      <c r="AB326" s="28" t="str">
        <f t="shared" si="60"/>
        <v>Sep</v>
      </c>
      <c r="AC326" s="28" t="str">
        <f t="shared" si="61"/>
        <v>2024</v>
      </c>
    </row>
    <row r="327" spans="1:29" x14ac:dyDescent="0.25">
      <c r="A327" s="4" t="s">
        <v>339</v>
      </c>
      <c r="B327" s="14">
        <v>45053</v>
      </c>
      <c r="C327" s="14">
        <v>45075</v>
      </c>
      <c r="D327" s="16">
        <f t="shared" si="53"/>
        <v>22</v>
      </c>
      <c r="E327" s="4" t="s">
        <v>646</v>
      </c>
      <c r="F327" s="4" t="s">
        <v>661</v>
      </c>
      <c r="G327" s="4" t="s">
        <v>687</v>
      </c>
      <c r="H327" s="4" t="s">
        <v>702</v>
      </c>
      <c r="I327" s="4" t="s">
        <v>710</v>
      </c>
      <c r="J327" s="4" t="s">
        <v>723</v>
      </c>
      <c r="K327" s="4" t="s">
        <v>733</v>
      </c>
      <c r="L327" s="4" t="s">
        <v>1059</v>
      </c>
      <c r="M327" s="9">
        <v>12</v>
      </c>
      <c r="N327" s="16">
        <f>ROUND(IF('Dashboard Visualization'!$U$3="",'Working Data'!$M327,'Working Data'!$M327*(100% +'Dashboard Visualization'!$U$3)),0)</f>
        <v>12</v>
      </c>
      <c r="O327" s="19">
        <v>653.86</v>
      </c>
      <c r="P327" s="20">
        <f>IF('Dashboard Visualization'!$U$2="",'Working Data'!$O327*'Working Data'!$N327,'Working Data'!$O327*'Working Data'!$N327*(100%+'Dashboard Visualization'!$U$2))</f>
        <v>7846.32</v>
      </c>
      <c r="Q327" s="19">
        <v>931.84</v>
      </c>
      <c r="R327" s="20">
        <f t="shared" si="54"/>
        <v>819.08735999999999</v>
      </c>
      <c r="S327" s="11">
        <v>0.121</v>
      </c>
      <c r="T327" s="22">
        <f>IF('Dashboard Visualization'!$U$1="",$S327,IF(S327&gt;'Dashboard Visualization'!$U$1,'Dashboard Visualization'!$U$1,S327))</f>
        <v>0.121</v>
      </c>
      <c r="U327" s="20">
        <f t="shared" si="55"/>
        <v>8639.7334732800009</v>
      </c>
      <c r="V327" s="20">
        <f t="shared" si="56"/>
        <v>793.4134732800012</v>
      </c>
      <c r="W327" s="22">
        <f t="shared" si="52"/>
        <v>9.1833095978455986E-2</v>
      </c>
      <c r="X327" s="28" t="str">
        <f>TEXT(B327,"MMM-YYYY")</f>
        <v>May-2023</v>
      </c>
      <c r="Y327" s="7" t="str">
        <f t="shared" si="57"/>
        <v>Q2-2023</v>
      </c>
      <c r="Z327" s="7" t="str">
        <f t="shared" si="58"/>
        <v>High Price</v>
      </c>
      <c r="AA327" s="7" t="str">
        <f t="shared" si="59"/>
        <v>Q2</v>
      </c>
      <c r="AB327" s="28" t="str">
        <f t="shared" si="60"/>
        <v>May</v>
      </c>
      <c r="AC327" s="28" t="str">
        <f t="shared" si="61"/>
        <v>2023</v>
      </c>
    </row>
    <row r="328" spans="1:29" x14ac:dyDescent="0.25">
      <c r="A328" s="4" t="s">
        <v>340</v>
      </c>
      <c r="B328" s="14">
        <v>45303</v>
      </c>
      <c r="C328" s="14">
        <v>45320</v>
      </c>
      <c r="D328" s="16">
        <f t="shared" si="53"/>
        <v>17</v>
      </c>
      <c r="E328" s="4" t="s">
        <v>647</v>
      </c>
      <c r="F328" s="4" t="s">
        <v>654</v>
      </c>
      <c r="G328" s="4" t="s">
        <v>696</v>
      </c>
      <c r="H328" s="4" t="s">
        <v>705</v>
      </c>
      <c r="I328" s="4" t="s">
        <v>711</v>
      </c>
      <c r="J328" s="4" t="s">
        <v>717</v>
      </c>
      <c r="K328" s="4" t="s">
        <v>727</v>
      </c>
      <c r="L328" s="4" t="s">
        <v>1060</v>
      </c>
      <c r="M328" s="9">
        <v>4</v>
      </c>
      <c r="N328" s="16">
        <f>ROUND(IF('Dashboard Visualization'!$U$3="",'Working Data'!$M328,'Working Data'!$M328*(100% +'Dashboard Visualization'!$U$3)),0)</f>
        <v>4</v>
      </c>
      <c r="O328" s="19">
        <v>310.02</v>
      </c>
      <c r="P328" s="20">
        <f>IF('Dashboard Visualization'!$U$2="",'Working Data'!$O328*'Working Data'!$N328,'Working Data'!$O328*'Working Data'!$N328*(100%+'Dashboard Visualization'!$U$2))</f>
        <v>1240.08</v>
      </c>
      <c r="Q328" s="19">
        <v>619.51</v>
      </c>
      <c r="R328" s="20">
        <f t="shared" si="54"/>
        <v>593.49058000000002</v>
      </c>
      <c r="S328" s="11">
        <v>4.2000000000000003E-2</v>
      </c>
      <c r="T328" s="22">
        <f>IF('Dashboard Visualization'!$U$1="",$S328,IF(S328&gt;'Dashboard Visualization'!$U$1,'Dashboard Visualization'!$U$1,S328))</f>
        <v>4.2000000000000003E-2</v>
      </c>
      <c r="U328" s="20">
        <f t="shared" si="55"/>
        <v>2274.2559025599999</v>
      </c>
      <c r="V328" s="20">
        <f t="shared" si="56"/>
        <v>1034.1759025599999</v>
      </c>
      <c r="W328" s="22">
        <f t="shared" si="52"/>
        <v>0.45473154599528015</v>
      </c>
      <c r="X328" s="28" t="str">
        <f>TEXT(B328,"MMM-YYYY")</f>
        <v>Jan-2024</v>
      </c>
      <c r="Y328" s="7" t="str">
        <f t="shared" si="57"/>
        <v>Q1-2024</v>
      </c>
      <c r="Z328" s="7" t="str">
        <f t="shared" si="58"/>
        <v>High Price</v>
      </c>
      <c r="AA328" s="7" t="str">
        <f t="shared" si="59"/>
        <v>Q1</v>
      </c>
      <c r="AB328" s="28" t="str">
        <f t="shared" si="60"/>
        <v>Jan</v>
      </c>
      <c r="AC328" s="28" t="str">
        <f t="shared" si="61"/>
        <v>2024</v>
      </c>
    </row>
    <row r="329" spans="1:29" x14ac:dyDescent="0.25">
      <c r="A329" s="4" t="s">
        <v>341</v>
      </c>
      <c r="B329" s="14">
        <v>45087</v>
      </c>
      <c r="C329" s="14">
        <v>45095</v>
      </c>
      <c r="D329" s="16">
        <f t="shared" si="53"/>
        <v>8</v>
      </c>
      <c r="E329" s="4" t="s">
        <v>646</v>
      </c>
      <c r="F329" s="4" t="s">
        <v>650</v>
      </c>
      <c r="G329" s="4" t="s">
        <v>678</v>
      </c>
      <c r="H329" s="4" t="s">
        <v>706</v>
      </c>
      <c r="I329" s="4" t="s">
        <v>711</v>
      </c>
      <c r="J329" s="4" t="s">
        <v>722</v>
      </c>
      <c r="K329" s="4" t="s">
        <v>730</v>
      </c>
      <c r="L329" s="4" t="s">
        <v>1061</v>
      </c>
      <c r="M329" s="9">
        <v>3</v>
      </c>
      <c r="N329" s="16">
        <f>ROUND(IF('Dashboard Visualization'!$U$3="",'Working Data'!$M329,'Working Data'!$M329*(100% +'Dashboard Visualization'!$U$3)),0)</f>
        <v>3</v>
      </c>
      <c r="O329" s="19">
        <v>894.23</v>
      </c>
      <c r="P329" s="20">
        <f>IF('Dashboard Visualization'!$U$2="",'Working Data'!$O329*'Working Data'!$N329,'Working Data'!$O329*'Working Data'!$N329*(100%+'Dashboard Visualization'!$U$2))</f>
        <v>2682.69</v>
      </c>
      <c r="Q329" s="19">
        <v>1421.55</v>
      </c>
      <c r="R329" s="20">
        <f t="shared" si="54"/>
        <v>1266.60105</v>
      </c>
      <c r="S329" s="11">
        <v>0.109</v>
      </c>
      <c r="T329" s="22">
        <f>IF('Dashboard Visualization'!$U$1="",$S329,IF(S329&gt;'Dashboard Visualization'!$U$1,'Dashboard Visualization'!$U$1,S329))</f>
        <v>0.109</v>
      </c>
      <c r="U329" s="20">
        <f t="shared" si="55"/>
        <v>3385.6246066499998</v>
      </c>
      <c r="V329" s="20">
        <f t="shared" si="56"/>
        <v>702.93460664999975</v>
      </c>
      <c r="W329" s="22">
        <f t="shared" si="52"/>
        <v>0.20762331573007378</v>
      </c>
      <c r="X329" s="28" t="str">
        <f>TEXT(B329,"MMM-YYYY")</f>
        <v>Jun-2023</v>
      </c>
      <c r="Y329" s="7" t="str">
        <f t="shared" si="57"/>
        <v>Q2-2023</v>
      </c>
      <c r="Z329" s="7" t="str">
        <f t="shared" si="58"/>
        <v>High Price</v>
      </c>
      <c r="AA329" s="7" t="str">
        <f t="shared" si="59"/>
        <v>Q2</v>
      </c>
      <c r="AB329" s="28" t="str">
        <f t="shared" si="60"/>
        <v>Jun</v>
      </c>
      <c r="AC329" s="28" t="str">
        <f t="shared" si="61"/>
        <v>2023</v>
      </c>
    </row>
    <row r="330" spans="1:29" x14ac:dyDescent="0.25">
      <c r="A330" s="4" t="s">
        <v>342</v>
      </c>
      <c r="B330" s="14">
        <v>45796</v>
      </c>
      <c r="C330" s="14">
        <v>45794</v>
      </c>
      <c r="D330" s="16" t="str">
        <f t="shared" si="53"/>
        <v/>
      </c>
      <c r="E330" s="4" t="s">
        <v>648</v>
      </c>
      <c r="F330" s="4" t="s">
        <v>655</v>
      </c>
      <c r="G330" s="4" t="s">
        <v>670</v>
      </c>
      <c r="H330" s="4" t="s">
        <v>705</v>
      </c>
      <c r="I330" s="4" t="s">
        <v>710</v>
      </c>
      <c r="J330" s="4" t="s">
        <v>716</v>
      </c>
      <c r="K330" s="4" t="s">
        <v>732</v>
      </c>
      <c r="L330" s="4" t="s">
        <v>1062</v>
      </c>
      <c r="M330" s="9">
        <v>10</v>
      </c>
      <c r="N330" s="16">
        <f>ROUND(IF('Dashboard Visualization'!$U$3="",'Working Data'!$M330,'Working Data'!$M330*(100% +'Dashboard Visualization'!$U$3)),0)</f>
        <v>10</v>
      </c>
      <c r="O330" s="19">
        <v>383.77</v>
      </c>
      <c r="P330" s="20">
        <f>IF('Dashboard Visualization'!$U$2="",'Working Data'!$O330*'Working Data'!$N330,'Working Data'!$O330*'Working Data'!$N330*(100%+'Dashboard Visualization'!$U$2))</f>
        <v>3837.7</v>
      </c>
      <c r="Q330" s="19">
        <v>952.56</v>
      </c>
      <c r="R330" s="20">
        <f t="shared" si="54"/>
        <v>622.97424000000001</v>
      </c>
      <c r="S330" s="11">
        <v>0.34599999999999997</v>
      </c>
      <c r="T330" s="22">
        <f>IF('Dashboard Visualization'!$U$1="",$S330,IF(S330&gt;'Dashboard Visualization'!$U$1,'Dashboard Visualization'!$U$1,S330))</f>
        <v>0.34599999999999997</v>
      </c>
      <c r="U330" s="20">
        <f t="shared" si="55"/>
        <v>4074.2515296000006</v>
      </c>
      <c r="V330" s="20">
        <f t="shared" si="56"/>
        <v>236.55152960000078</v>
      </c>
      <c r="W330" s="22">
        <f t="shared" si="52"/>
        <v>5.8060119234519814E-2</v>
      </c>
      <c r="X330" s="28" t="str">
        <f>TEXT(B330,"MMM-YYYY")</f>
        <v>May-2025</v>
      </c>
      <c r="Y330" s="7" t="str">
        <f t="shared" si="57"/>
        <v>Q2-2025</v>
      </c>
      <c r="Z330" s="7" t="str">
        <f t="shared" si="58"/>
        <v>High Price</v>
      </c>
      <c r="AA330" s="7" t="str">
        <f t="shared" si="59"/>
        <v>Q2</v>
      </c>
      <c r="AB330" s="28" t="str">
        <f t="shared" si="60"/>
        <v>May</v>
      </c>
      <c r="AC330" s="28" t="str">
        <f t="shared" si="61"/>
        <v>2025</v>
      </c>
    </row>
    <row r="331" spans="1:29" x14ac:dyDescent="0.25">
      <c r="A331" s="4" t="s">
        <v>343</v>
      </c>
      <c r="B331" s="14">
        <v>45221</v>
      </c>
      <c r="C331" s="14">
        <v>45246</v>
      </c>
      <c r="D331" s="16">
        <f t="shared" si="53"/>
        <v>25</v>
      </c>
      <c r="E331" s="4" t="s">
        <v>648</v>
      </c>
      <c r="F331" s="4" t="s">
        <v>653</v>
      </c>
      <c r="G331" s="4" t="s">
        <v>667</v>
      </c>
      <c r="H331" s="4" t="s">
        <v>705</v>
      </c>
      <c r="I331" s="4" t="s">
        <v>709</v>
      </c>
      <c r="J331" s="4" t="s">
        <v>714</v>
      </c>
      <c r="K331" s="4" t="s">
        <v>731</v>
      </c>
      <c r="L331" s="4" t="s">
        <v>1063</v>
      </c>
      <c r="M331" s="9">
        <v>11</v>
      </c>
      <c r="N331" s="16">
        <f>ROUND(IF('Dashboard Visualization'!$U$3="",'Working Data'!$M331,'Working Data'!$M331*(100% +'Dashboard Visualization'!$U$3)),0)</f>
        <v>11</v>
      </c>
      <c r="O331" s="19">
        <v>1373.31</v>
      </c>
      <c r="P331" s="20">
        <f>IF('Dashboard Visualization'!$U$2="",'Working Data'!$O331*'Working Data'!$N331,'Working Data'!$O331*'Working Data'!$N331*(100%+'Dashboard Visualization'!$U$2))</f>
        <v>15106.41</v>
      </c>
      <c r="Q331" s="19">
        <v>3154.14</v>
      </c>
      <c r="R331" s="20">
        <f t="shared" si="54"/>
        <v>2523.3119999999999</v>
      </c>
      <c r="S331" s="11">
        <v>0.2</v>
      </c>
      <c r="T331" s="22">
        <f>IF('Dashboard Visualization'!$U$1="",$S331,IF(S331&gt;'Dashboard Visualization'!$U$1,'Dashboard Visualization'!$U$1,S331))</f>
        <v>0.2</v>
      </c>
      <c r="U331" s="20">
        <f t="shared" si="55"/>
        <v>22205.1456</v>
      </c>
      <c r="V331" s="20">
        <f t="shared" si="56"/>
        <v>7098.7356</v>
      </c>
      <c r="W331" s="22">
        <f t="shared" si="52"/>
        <v>0.31968876619300346</v>
      </c>
      <c r="X331" s="28" t="str">
        <f>TEXT(B331,"MMM-YYYY")</f>
        <v>Oct-2023</v>
      </c>
      <c r="Y331" s="7" t="str">
        <f t="shared" si="57"/>
        <v>Q4-2023</v>
      </c>
      <c r="Z331" s="7" t="str">
        <f t="shared" si="58"/>
        <v>Medium Price</v>
      </c>
      <c r="AA331" s="7" t="str">
        <f t="shared" si="59"/>
        <v>Q4</v>
      </c>
      <c r="AB331" s="28" t="str">
        <f t="shared" si="60"/>
        <v>Oct</v>
      </c>
      <c r="AC331" s="28" t="str">
        <f t="shared" si="61"/>
        <v>2023</v>
      </c>
    </row>
    <row r="332" spans="1:29" x14ac:dyDescent="0.25">
      <c r="A332" s="4" t="s">
        <v>344</v>
      </c>
      <c r="B332" s="14">
        <v>45668</v>
      </c>
      <c r="C332" s="14">
        <v>45680</v>
      </c>
      <c r="D332" s="16">
        <f t="shared" si="53"/>
        <v>12</v>
      </c>
      <c r="E332" s="4" t="s">
        <v>648</v>
      </c>
      <c r="F332" s="4" t="s">
        <v>660</v>
      </c>
      <c r="G332" s="4" t="s">
        <v>697</v>
      </c>
      <c r="H332" s="4" t="s">
        <v>704</v>
      </c>
      <c r="I332" s="4" t="s">
        <v>710</v>
      </c>
      <c r="J332" s="4" t="s">
        <v>722</v>
      </c>
      <c r="K332" s="4" t="s">
        <v>730</v>
      </c>
      <c r="L332" s="4" t="s">
        <v>1064</v>
      </c>
      <c r="M332" s="9">
        <v>12</v>
      </c>
      <c r="N332" s="16">
        <f>ROUND(IF('Dashboard Visualization'!$U$3="",'Working Data'!$M332,'Working Data'!$M332*(100% +'Dashboard Visualization'!$U$3)),0)</f>
        <v>12</v>
      </c>
      <c r="O332" s="19">
        <v>100.69</v>
      </c>
      <c r="P332" s="20">
        <f>IF('Dashboard Visualization'!$U$2="",'Working Data'!$O332*'Working Data'!$N332,'Working Data'!$O332*'Working Data'!$N332*(100%+'Dashboard Visualization'!$U$2))</f>
        <v>1208.28</v>
      </c>
      <c r="Q332" s="19">
        <v>226.14</v>
      </c>
      <c r="R332" s="20">
        <f t="shared" si="54"/>
        <v>211.4409</v>
      </c>
      <c r="S332" s="11">
        <v>6.5000000000000002E-2</v>
      </c>
      <c r="T332" s="22">
        <f>IF('Dashboard Visualization'!$U$1="",$S332,IF(S332&gt;'Dashboard Visualization'!$U$1,'Dashboard Visualization'!$U$1,S332))</f>
        <v>6.5000000000000002E-2</v>
      </c>
      <c r="U332" s="20">
        <f t="shared" si="55"/>
        <v>2372.3668980000002</v>
      </c>
      <c r="V332" s="20">
        <f t="shared" si="56"/>
        <v>1164.0868980000002</v>
      </c>
      <c r="W332" s="22">
        <f t="shared" si="52"/>
        <v>0.49068586270587905</v>
      </c>
      <c r="X332" s="28" t="str">
        <f>TEXT(B332,"MMM-YYYY")</f>
        <v>Jan-2025</v>
      </c>
      <c r="Y332" s="7" t="str">
        <f t="shared" si="57"/>
        <v>Q1-2025</v>
      </c>
      <c r="Z332" s="7" t="str">
        <f t="shared" si="58"/>
        <v>Low Price</v>
      </c>
      <c r="AA332" s="7" t="str">
        <f t="shared" si="59"/>
        <v>Q1</v>
      </c>
      <c r="AB332" s="28" t="str">
        <f t="shared" si="60"/>
        <v>Jan</v>
      </c>
      <c r="AC332" s="28" t="str">
        <f t="shared" si="61"/>
        <v>2025</v>
      </c>
    </row>
    <row r="333" spans="1:29" x14ac:dyDescent="0.25">
      <c r="A333" s="4" t="s">
        <v>345</v>
      </c>
      <c r="B333" s="14">
        <v>45914</v>
      </c>
      <c r="C333" s="14">
        <v>45926</v>
      </c>
      <c r="D333" s="16">
        <f t="shared" si="53"/>
        <v>12</v>
      </c>
      <c r="E333" s="4" t="s">
        <v>649</v>
      </c>
      <c r="F333" s="4" t="s">
        <v>658</v>
      </c>
      <c r="G333" s="4" t="s">
        <v>683</v>
      </c>
      <c r="H333" s="4" t="s">
        <v>705</v>
      </c>
      <c r="I333" s="4" t="s">
        <v>711</v>
      </c>
      <c r="J333" s="4" t="s">
        <v>725</v>
      </c>
      <c r="K333" s="4" t="s">
        <v>729</v>
      </c>
      <c r="L333" s="4" t="s">
        <v>1065</v>
      </c>
      <c r="M333" s="9">
        <v>13</v>
      </c>
      <c r="N333" s="16">
        <f>ROUND(IF('Dashboard Visualization'!$U$3="",'Working Data'!$M333,'Working Data'!$M333*(100% +'Dashboard Visualization'!$U$3)),0)</f>
        <v>13</v>
      </c>
      <c r="O333" s="19">
        <v>425.15</v>
      </c>
      <c r="P333" s="20">
        <f>IF('Dashboard Visualization'!$U$2="",'Working Data'!$O333*'Working Data'!$N333,'Working Data'!$O333*'Working Data'!$N333*(100%+'Dashboard Visualization'!$U$2))</f>
        <v>5526.95</v>
      </c>
      <c r="Q333" s="19">
        <v>885.92</v>
      </c>
      <c r="R333" s="20">
        <f t="shared" si="54"/>
        <v>674.18511999999998</v>
      </c>
      <c r="S333" s="11">
        <v>0.23899999999999999</v>
      </c>
      <c r="T333" s="22">
        <f>IF('Dashboard Visualization'!$U$1="",$S333,IF(S333&gt;'Dashboard Visualization'!$U$1,'Dashboard Visualization'!$U$1,S333))</f>
        <v>0.23899999999999999</v>
      </c>
      <c r="U333" s="20">
        <f t="shared" si="55"/>
        <v>6669.7133921599998</v>
      </c>
      <c r="V333" s="20">
        <f t="shared" si="56"/>
        <v>1142.76339216</v>
      </c>
      <c r="W333" s="22">
        <f t="shared" si="52"/>
        <v>0.17133620666568308</v>
      </c>
      <c r="X333" s="28" t="str">
        <f>TEXT(B333,"MMM-YYYY")</f>
        <v>Sep-2025</v>
      </c>
      <c r="Y333" s="7" t="str">
        <f t="shared" si="57"/>
        <v>Q3-2025</v>
      </c>
      <c r="Z333" s="7" t="str">
        <f t="shared" si="58"/>
        <v>High Price</v>
      </c>
      <c r="AA333" s="7" t="str">
        <f t="shared" si="59"/>
        <v>Q3</v>
      </c>
      <c r="AB333" s="28" t="str">
        <f t="shared" si="60"/>
        <v>Sep</v>
      </c>
      <c r="AC333" s="28" t="str">
        <f t="shared" si="61"/>
        <v>2025</v>
      </c>
    </row>
    <row r="334" spans="1:29" x14ac:dyDescent="0.25">
      <c r="A334" s="4" t="s">
        <v>346</v>
      </c>
      <c r="B334" s="14">
        <v>45168</v>
      </c>
      <c r="C334" s="14">
        <v>45172</v>
      </c>
      <c r="D334" s="16">
        <f t="shared" si="53"/>
        <v>4</v>
      </c>
      <c r="E334" s="4" t="s">
        <v>647</v>
      </c>
      <c r="F334" s="4" t="s">
        <v>654</v>
      </c>
      <c r="G334" s="4" t="s">
        <v>680</v>
      </c>
      <c r="H334" s="4" t="s">
        <v>705</v>
      </c>
      <c r="I334" s="4" t="s">
        <v>709</v>
      </c>
      <c r="J334" s="4" t="s">
        <v>716</v>
      </c>
      <c r="K334" s="4" t="s">
        <v>733</v>
      </c>
      <c r="L334" s="4" t="s">
        <v>1066</v>
      </c>
      <c r="M334" s="9">
        <v>4</v>
      </c>
      <c r="N334" s="16">
        <f>ROUND(IF('Dashboard Visualization'!$U$3="",'Working Data'!$M334,'Working Data'!$M334*(100% +'Dashboard Visualization'!$U$3)),0)</f>
        <v>4</v>
      </c>
      <c r="O334" s="19">
        <v>1082.25</v>
      </c>
      <c r="P334" s="20">
        <f>IF('Dashboard Visualization'!$U$2="",'Working Data'!$O334*'Working Data'!$N334,'Working Data'!$O334*'Working Data'!$N334*(100%+'Dashboard Visualization'!$U$2))</f>
        <v>4329</v>
      </c>
      <c r="Q334" s="19">
        <v>2433.34</v>
      </c>
      <c r="R334" s="20">
        <f t="shared" si="54"/>
        <v>1776.3382000000001</v>
      </c>
      <c r="S334" s="11">
        <v>0.27</v>
      </c>
      <c r="T334" s="22">
        <f>IF('Dashboard Visualization'!$U$1="",$S334,IF(S334&gt;'Dashboard Visualization'!$U$1,'Dashboard Visualization'!$U$1,S334))</f>
        <v>0.27</v>
      </c>
      <c r="U334" s="20">
        <f t="shared" si="55"/>
        <v>5186.9075440000006</v>
      </c>
      <c r="V334" s="20">
        <f t="shared" si="56"/>
        <v>857.9075440000006</v>
      </c>
      <c r="W334" s="22">
        <f t="shared" si="52"/>
        <v>0.16539865743170851</v>
      </c>
      <c r="X334" s="28" t="str">
        <f>TEXT(B334,"MMM-YYYY")</f>
        <v>Aug-2023</v>
      </c>
      <c r="Y334" s="7" t="str">
        <f t="shared" si="57"/>
        <v>Q3-2023</v>
      </c>
      <c r="Z334" s="7" t="str">
        <f t="shared" si="58"/>
        <v>Medium Price</v>
      </c>
      <c r="AA334" s="7" t="str">
        <f t="shared" si="59"/>
        <v>Q3</v>
      </c>
      <c r="AB334" s="28" t="str">
        <f t="shared" si="60"/>
        <v>Aug</v>
      </c>
      <c r="AC334" s="28" t="str">
        <f t="shared" si="61"/>
        <v>2023</v>
      </c>
    </row>
    <row r="335" spans="1:29" x14ac:dyDescent="0.25">
      <c r="A335" s="4" t="s">
        <v>347</v>
      </c>
      <c r="B335" s="14">
        <v>45245</v>
      </c>
      <c r="C335" s="14">
        <v>45266</v>
      </c>
      <c r="D335" s="16">
        <f t="shared" si="53"/>
        <v>21</v>
      </c>
      <c r="E335" s="4" t="s">
        <v>649</v>
      </c>
      <c r="F335" s="4" t="s">
        <v>658</v>
      </c>
      <c r="G335" s="4" t="s">
        <v>693</v>
      </c>
      <c r="H335" s="4" t="s">
        <v>702</v>
      </c>
      <c r="I335" s="4" t="s">
        <v>711</v>
      </c>
      <c r="J335" s="4" t="s">
        <v>722</v>
      </c>
      <c r="K335" s="4" t="s">
        <v>733</v>
      </c>
      <c r="L335" s="4" t="s">
        <v>1067</v>
      </c>
      <c r="M335" s="9">
        <v>5</v>
      </c>
      <c r="N335" s="16">
        <f>ROUND(IF('Dashboard Visualization'!$U$3="",'Working Data'!$M335,'Working Data'!$M335*(100% +'Dashboard Visualization'!$U$3)),0)</f>
        <v>5</v>
      </c>
      <c r="O335" s="19">
        <v>1184.99</v>
      </c>
      <c r="P335" s="20">
        <f>IF('Dashboard Visualization'!$U$2="",'Working Data'!$O335*'Working Data'!$N335,'Working Data'!$O335*'Working Data'!$N335*(100%+'Dashboard Visualization'!$U$2))</f>
        <v>5924.95</v>
      </c>
      <c r="Q335" s="19">
        <v>1154.3399999999999</v>
      </c>
      <c r="R335" s="20">
        <f t="shared" si="54"/>
        <v>1122.01848</v>
      </c>
      <c r="S335" s="11">
        <v>2.8000000000000001E-2</v>
      </c>
      <c r="T335" s="22">
        <f>IF('Dashboard Visualization'!$U$1="",$S335,IF(S335&gt;'Dashboard Visualization'!$U$1,'Dashboard Visualization'!$U$1,S335))</f>
        <v>2.8000000000000001E-2</v>
      </c>
      <c r="U335" s="20">
        <f t="shared" si="55"/>
        <v>5453.0098128</v>
      </c>
      <c r="V335" s="20">
        <f t="shared" si="56"/>
        <v>-471.94018719999985</v>
      </c>
      <c r="W335" s="22">
        <f t="shared" si="52"/>
        <v>0</v>
      </c>
      <c r="X335" s="28" t="str">
        <f>TEXT(B335,"MMM-YYYY")</f>
        <v>Nov-2023</v>
      </c>
      <c r="Y335" s="7" t="str">
        <f t="shared" si="57"/>
        <v>Q4-2023</v>
      </c>
      <c r="Z335" s="7" t="str">
        <f t="shared" si="58"/>
        <v>High Price</v>
      </c>
      <c r="AA335" s="7" t="str">
        <f t="shared" si="59"/>
        <v>Q4</v>
      </c>
      <c r="AB335" s="28" t="str">
        <f t="shared" si="60"/>
        <v>Nov</v>
      </c>
      <c r="AC335" s="28" t="str">
        <f t="shared" si="61"/>
        <v>2023</v>
      </c>
    </row>
    <row r="336" spans="1:29" x14ac:dyDescent="0.25">
      <c r="A336" s="4" t="s">
        <v>348</v>
      </c>
      <c r="B336" s="14">
        <v>45774</v>
      </c>
      <c r="C336" s="14">
        <v>45804</v>
      </c>
      <c r="D336" s="16">
        <f t="shared" si="53"/>
        <v>30</v>
      </c>
      <c r="E336" s="4" t="s">
        <v>647</v>
      </c>
      <c r="F336" s="4" t="s">
        <v>654</v>
      </c>
      <c r="G336" s="12" t="s">
        <v>1430</v>
      </c>
      <c r="H336" s="4" t="s">
        <v>706</v>
      </c>
      <c r="I336" s="4" t="s">
        <v>709</v>
      </c>
      <c r="J336" s="4" t="s">
        <v>722</v>
      </c>
      <c r="K336" s="4" t="s">
        <v>730</v>
      </c>
      <c r="L336" s="4" t="s">
        <v>1068</v>
      </c>
      <c r="M336" s="9">
        <v>5</v>
      </c>
      <c r="N336" s="16">
        <f>ROUND(IF('Dashboard Visualization'!$U$3="",'Working Data'!$M336,'Working Data'!$M336*(100% +'Dashboard Visualization'!$U$3)),0)</f>
        <v>5</v>
      </c>
      <c r="O336" s="19">
        <v>481.32</v>
      </c>
      <c r="P336" s="20">
        <f>IF('Dashboard Visualization'!$U$2="",'Working Data'!$O336*'Working Data'!$N336,'Working Data'!$O336*'Working Data'!$N336*(100%+'Dashboard Visualization'!$U$2))</f>
        <v>2406.6</v>
      </c>
      <c r="Q336" s="19">
        <v>1135.99</v>
      </c>
      <c r="R336" s="20">
        <f t="shared" si="54"/>
        <v>971.27144999999996</v>
      </c>
      <c r="S336" s="11">
        <v>0.14499999999999999</v>
      </c>
      <c r="T336" s="22">
        <f>IF('Dashboard Visualization'!$U$1="",$S336,IF(S336&gt;'Dashboard Visualization'!$U$1,'Dashboard Visualization'!$U$1,S336))</f>
        <v>0.14499999999999999</v>
      </c>
      <c r="U336" s="20">
        <f t="shared" si="55"/>
        <v>4152.1854487499995</v>
      </c>
      <c r="V336" s="20">
        <f t="shared" si="56"/>
        <v>1745.5854487499996</v>
      </c>
      <c r="W336" s="22">
        <f t="shared" si="52"/>
        <v>0.42040161025936396</v>
      </c>
      <c r="X336" s="28" t="str">
        <f>TEXT(B336,"MMM-YYYY")</f>
        <v>Apr-2025</v>
      </c>
      <c r="Y336" s="7" t="str">
        <f t="shared" si="57"/>
        <v>Q2-2025</v>
      </c>
      <c r="Z336" s="7" t="str">
        <f t="shared" si="58"/>
        <v>High Price</v>
      </c>
      <c r="AA336" s="7" t="str">
        <f t="shared" si="59"/>
        <v>Q2</v>
      </c>
      <c r="AB336" s="28" t="str">
        <f t="shared" si="60"/>
        <v>Apr</v>
      </c>
      <c r="AC336" s="28" t="str">
        <f t="shared" si="61"/>
        <v>2025</v>
      </c>
    </row>
    <row r="337" spans="1:29" x14ac:dyDescent="0.25">
      <c r="A337" s="4" t="s">
        <v>349</v>
      </c>
      <c r="B337" s="14">
        <v>45391</v>
      </c>
      <c r="C337" s="14">
        <v>45400</v>
      </c>
      <c r="D337" s="16">
        <f t="shared" si="53"/>
        <v>9</v>
      </c>
      <c r="E337" s="4" t="s">
        <v>649</v>
      </c>
      <c r="F337" s="4" t="s">
        <v>657</v>
      </c>
      <c r="G337" s="4" t="s">
        <v>679</v>
      </c>
      <c r="H337" s="4" t="s">
        <v>704</v>
      </c>
      <c r="I337" s="4" t="s">
        <v>708</v>
      </c>
      <c r="J337" s="4" t="s">
        <v>718</v>
      </c>
      <c r="K337" s="4" t="s">
        <v>728</v>
      </c>
      <c r="L337" s="4" t="s">
        <v>1069</v>
      </c>
      <c r="M337" s="9">
        <v>7</v>
      </c>
      <c r="N337" s="16">
        <f>ROUND(IF('Dashboard Visualization'!$U$3="",'Working Data'!$M337,'Working Data'!$M337*(100% +'Dashboard Visualization'!$U$3)),0)</f>
        <v>7</v>
      </c>
      <c r="O337" s="19">
        <v>1288.8499999999999</v>
      </c>
      <c r="P337" s="20">
        <f>IF('Dashboard Visualization'!$U$2="",'Working Data'!$O337*'Working Data'!$N337,'Working Data'!$O337*'Working Data'!$N337*(100%+'Dashboard Visualization'!$U$2))</f>
        <v>9021.9499999999989</v>
      </c>
      <c r="Q337" s="19">
        <v>2751.84</v>
      </c>
      <c r="R337" s="20">
        <f t="shared" si="54"/>
        <v>2317.0492800000002</v>
      </c>
      <c r="S337" s="11">
        <v>0.158</v>
      </c>
      <c r="T337" s="22">
        <f>IF('Dashboard Visualization'!$U$1="",$S337,IF(S337&gt;'Dashboard Visualization'!$U$1,'Dashboard Visualization'!$U$1,S337))</f>
        <v>0.158</v>
      </c>
      <c r="U337" s="20">
        <f t="shared" si="55"/>
        <v>13656.68845632</v>
      </c>
      <c r="V337" s="20">
        <f t="shared" si="56"/>
        <v>4634.7384563200012</v>
      </c>
      <c r="W337" s="22">
        <f t="shared" si="52"/>
        <v>0.33937498619404699</v>
      </c>
      <c r="X337" s="28" t="str">
        <f>TEXT(B337,"MMM-YYYY")</f>
        <v>Apr-2024</v>
      </c>
      <c r="Y337" s="7" t="str">
        <f t="shared" si="57"/>
        <v>Q2-2024</v>
      </c>
      <c r="Z337" s="7" t="str">
        <f t="shared" si="58"/>
        <v>Medium Price</v>
      </c>
      <c r="AA337" s="7" t="str">
        <f t="shared" si="59"/>
        <v>Q2</v>
      </c>
      <c r="AB337" s="28" t="str">
        <f t="shared" si="60"/>
        <v>Apr</v>
      </c>
      <c r="AC337" s="28" t="str">
        <f t="shared" si="61"/>
        <v>2024</v>
      </c>
    </row>
    <row r="338" spans="1:29" x14ac:dyDescent="0.25">
      <c r="A338" s="4" t="s">
        <v>350</v>
      </c>
      <c r="B338" s="14">
        <v>45484</v>
      </c>
      <c r="C338" s="14">
        <v>45504</v>
      </c>
      <c r="D338" s="16">
        <f t="shared" si="53"/>
        <v>20</v>
      </c>
      <c r="E338" s="4" t="s">
        <v>647</v>
      </c>
      <c r="F338" s="4" t="s">
        <v>659</v>
      </c>
      <c r="G338" s="4" t="s">
        <v>676</v>
      </c>
      <c r="H338" s="4" t="s">
        <v>704</v>
      </c>
      <c r="I338" s="4" t="s">
        <v>708</v>
      </c>
      <c r="J338" s="4" t="s">
        <v>715</v>
      </c>
      <c r="K338" s="4" t="s">
        <v>730</v>
      </c>
      <c r="L338" s="4" t="s">
        <v>1070</v>
      </c>
      <c r="M338" s="9">
        <v>22</v>
      </c>
      <c r="N338" s="16">
        <f>ROUND(IF('Dashboard Visualization'!$U$3="",'Working Data'!$M338,'Working Data'!$M338*(100% +'Dashboard Visualization'!$U$3)),0)</f>
        <v>22</v>
      </c>
      <c r="O338" s="19">
        <v>647.26</v>
      </c>
      <c r="P338" s="20">
        <f>IF('Dashboard Visualization'!$U$2="",'Working Data'!$O338*'Working Data'!$N338,'Working Data'!$O338*'Working Data'!$N338*(100%+'Dashboard Visualization'!$U$2))</f>
        <v>14239.72</v>
      </c>
      <c r="Q338" s="19">
        <v>1374.72</v>
      </c>
      <c r="R338" s="20">
        <f t="shared" si="54"/>
        <v>1283.98848</v>
      </c>
      <c r="S338" s="11">
        <v>6.6000000000000003E-2</v>
      </c>
      <c r="T338" s="22">
        <f>IF('Dashboard Visualization'!$U$1="",$S338,IF(S338&gt;'Dashboard Visualization'!$U$1,'Dashboard Visualization'!$U$1,S338))</f>
        <v>6.6000000000000003E-2</v>
      </c>
      <c r="U338" s="20">
        <f t="shared" si="55"/>
        <v>26383.395287039999</v>
      </c>
      <c r="V338" s="20">
        <f t="shared" si="56"/>
        <v>12143.67528704</v>
      </c>
      <c r="W338" s="22">
        <f t="shared" si="52"/>
        <v>0.46027719915962417</v>
      </c>
      <c r="X338" s="28" t="str">
        <f>TEXT(B338,"MMM-YYYY")</f>
        <v>Jul-2024</v>
      </c>
      <c r="Y338" s="7" t="str">
        <f t="shared" si="57"/>
        <v>Q3-2024</v>
      </c>
      <c r="Z338" s="7" t="str">
        <f t="shared" si="58"/>
        <v>High Price</v>
      </c>
      <c r="AA338" s="7" t="str">
        <f t="shared" si="59"/>
        <v>Q3</v>
      </c>
      <c r="AB338" s="28" t="str">
        <f t="shared" si="60"/>
        <v>Jul</v>
      </c>
      <c r="AC338" s="28" t="str">
        <f t="shared" si="61"/>
        <v>2024</v>
      </c>
    </row>
    <row r="339" spans="1:29" x14ac:dyDescent="0.25">
      <c r="A339" s="4" t="s">
        <v>351</v>
      </c>
      <c r="B339" s="14">
        <v>45340</v>
      </c>
      <c r="C339" s="14">
        <v>45354</v>
      </c>
      <c r="D339" s="16">
        <f t="shared" si="53"/>
        <v>14</v>
      </c>
      <c r="E339" s="4" t="s">
        <v>648</v>
      </c>
      <c r="F339" s="4" t="s">
        <v>655</v>
      </c>
      <c r="G339" s="12" t="s">
        <v>1430</v>
      </c>
      <c r="H339" s="4" t="s">
        <v>706</v>
      </c>
      <c r="I339" s="4" t="s">
        <v>710</v>
      </c>
      <c r="J339" s="4" t="s">
        <v>720</v>
      </c>
      <c r="K339" s="4" t="s">
        <v>728</v>
      </c>
      <c r="L339" s="4" t="s">
        <v>1071</v>
      </c>
      <c r="M339" s="9">
        <v>37</v>
      </c>
      <c r="N339" s="16">
        <f>ROUND(IF('Dashboard Visualization'!$U$3="",'Working Data'!$M339,'Working Data'!$M339*(100% +'Dashboard Visualization'!$U$3)),0)</f>
        <v>37</v>
      </c>
      <c r="O339" s="19">
        <v>624.23</v>
      </c>
      <c r="P339" s="20">
        <f>IF('Dashboard Visualization'!$U$2="",'Working Data'!$O339*'Working Data'!$N339,'Working Data'!$O339*'Working Data'!$N339*(100%+'Dashboard Visualization'!$U$2))</f>
        <v>23096.510000000002</v>
      </c>
      <c r="Q339" s="19">
        <v>1318.37</v>
      </c>
      <c r="R339" s="20">
        <f t="shared" si="54"/>
        <v>1041.5122999999999</v>
      </c>
      <c r="S339" s="11">
        <v>0.21</v>
      </c>
      <c r="T339" s="22">
        <f>IF('Dashboard Visualization'!$U$1="",$S339,IF(S339&gt;'Dashboard Visualization'!$U$1,'Dashboard Visualization'!$U$1,S339))</f>
        <v>0.21</v>
      </c>
      <c r="U339" s="20">
        <f t="shared" si="55"/>
        <v>30443.404528999996</v>
      </c>
      <c r="V339" s="20">
        <f t="shared" si="56"/>
        <v>7346.8945289999938</v>
      </c>
      <c r="W339" s="22">
        <f t="shared" si="52"/>
        <v>0.24132959643200999</v>
      </c>
      <c r="X339" s="28" t="str">
        <f>TEXT(B339,"MMM-YYYY")</f>
        <v>Feb-2024</v>
      </c>
      <c r="Y339" s="7" t="str">
        <f t="shared" si="57"/>
        <v>Q1-2024</v>
      </c>
      <c r="Z339" s="7" t="str">
        <f t="shared" si="58"/>
        <v>High Price</v>
      </c>
      <c r="AA339" s="7" t="str">
        <f t="shared" si="59"/>
        <v>Q1</v>
      </c>
      <c r="AB339" s="28" t="str">
        <f t="shared" si="60"/>
        <v>Feb</v>
      </c>
      <c r="AC339" s="28" t="str">
        <f t="shared" si="61"/>
        <v>2024</v>
      </c>
    </row>
    <row r="340" spans="1:29" x14ac:dyDescent="0.25">
      <c r="A340" s="4" t="s">
        <v>352</v>
      </c>
      <c r="B340" s="14">
        <v>45132</v>
      </c>
      <c r="C340" s="14">
        <v>45148</v>
      </c>
      <c r="D340" s="16">
        <f t="shared" si="53"/>
        <v>16</v>
      </c>
      <c r="E340" s="4" t="s">
        <v>646</v>
      </c>
      <c r="F340" s="4" t="s">
        <v>651</v>
      </c>
      <c r="G340" s="4" t="s">
        <v>663</v>
      </c>
      <c r="H340" s="4" t="s">
        <v>701</v>
      </c>
      <c r="I340" s="4" t="s">
        <v>710</v>
      </c>
      <c r="J340" s="4" t="s">
        <v>714</v>
      </c>
      <c r="K340" s="4" t="s">
        <v>733</v>
      </c>
      <c r="L340" s="4" t="s">
        <v>1072</v>
      </c>
      <c r="M340" s="9">
        <v>9</v>
      </c>
      <c r="N340" s="16">
        <f>ROUND(IF('Dashboard Visualization'!$U$3="",'Working Data'!$M340,'Working Data'!$M340*(100% +'Dashboard Visualization'!$U$3)),0)</f>
        <v>9</v>
      </c>
      <c r="O340" s="19">
        <v>506.83</v>
      </c>
      <c r="P340" s="20">
        <f>IF('Dashboard Visualization'!$U$2="",'Working Data'!$O340*'Working Data'!$N340,'Working Data'!$O340*'Working Data'!$N340*(100%+'Dashboard Visualization'!$U$2))</f>
        <v>4561.47</v>
      </c>
      <c r="Q340" s="19">
        <v>441.74</v>
      </c>
      <c r="R340" s="20">
        <f t="shared" si="54"/>
        <v>335.72239999999999</v>
      </c>
      <c r="S340" s="11">
        <v>0.24</v>
      </c>
      <c r="T340" s="22">
        <f>IF('Dashboard Visualization'!$U$1="",$S340,IF(S340&gt;'Dashboard Visualization'!$U$1,'Dashboard Visualization'!$U$1,S340))</f>
        <v>0.24</v>
      </c>
      <c r="U340" s="20">
        <f t="shared" si="55"/>
        <v>2296.3412159999998</v>
      </c>
      <c r="V340" s="20">
        <f t="shared" si="56"/>
        <v>-2265.1287840000005</v>
      </c>
      <c r="W340" s="22">
        <f t="shared" si="52"/>
        <v>0</v>
      </c>
      <c r="X340" s="28" t="str">
        <f>TEXT(B340,"MMM-YYYY")</f>
        <v>Jul-2023</v>
      </c>
      <c r="Y340" s="7" t="str">
        <f t="shared" si="57"/>
        <v>Q3-2023</v>
      </c>
      <c r="Z340" s="7" t="str">
        <f t="shared" si="58"/>
        <v>Low Price</v>
      </c>
      <c r="AA340" s="7" t="str">
        <f t="shared" si="59"/>
        <v>Q3</v>
      </c>
      <c r="AB340" s="28" t="str">
        <f t="shared" si="60"/>
        <v>Jul</v>
      </c>
      <c r="AC340" s="28" t="str">
        <f t="shared" si="61"/>
        <v>2023</v>
      </c>
    </row>
    <row r="341" spans="1:29" x14ac:dyDescent="0.25">
      <c r="A341" s="4" t="s">
        <v>353</v>
      </c>
      <c r="B341" s="14">
        <v>45121</v>
      </c>
      <c r="C341" s="14">
        <v>45128</v>
      </c>
      <c r="D341" s="16">
        <f t="shared" si="53"/>
        <v>7</v>
      </c>
      <c r="E341" s="4" t="s">
        <v>646</v>
      </c>
      <c r="F341" s="4" t="s">
        <v>661</v>
      </c>
      <c r="G341" s="4" t="s">
        <v>687</v>
      </c>
      <c r="H341" s="4" t="s">
        <v>706</v>
      </c>
      <c r="I341" s="4" t="s">
        <v>709</v>
      </c>
      <c r="J341" s="12" t="s">
        <v>1430</v>
      </c>
      <c r="K341" s="4" t="s">
        <v>732</v>
      </c>
      <c r="L341" s="4" t="s">
        <v>1073</v>
      </c>
      <c r="M341" s="9">
        <v>28</v>
      </c>
      <c r="N341" s="16">
        <f>ROUND(IF('Dashboard Visualization'!$U$3="",'Working Data'!$M341,'Working Data'!$M341*(100% +'Dashboard Visualization'!$U$3)),0)</f>
        <v>28</v>
      </c>
      <c r="O341" s="19">
        <v>620.74</v>
      </c>
      <c r="P341" s="20">
        <f>IF('Dashboard Visualization'!$U$2="",'Working Data'!$O341*'Working Data'!$N341,'Working Data'!$O341*'Working Data'!$N341*(100%+'Dashboard Visualization'!$U$2))</f>
        <v>17380.72</v>
      </c>
      <c r="Q341" s="19">
        <v>1330.07</v>
      </c>
      <c r="R341" s="20">
        <f t="shared" si="54"/>
        <v>932.37907000000007</v>
      </c>
      <c r="S341" s="11">
        <v>0.29899999999999999</v>
      </c>
      <c r="T341" s="22">
        <f>IF('Dashboard Visualization'!$U$1="",$S341,IF(S341&gt;'Dashboard Visualization'!$U$1,'Dashboard Visualization'!$U$1,S341))</f>
        <v>0.29899999999999999</v>
      </c>
      <c r="U341" s="20">
        <f t="shared" si="55"/>
        <v>18300.736385960005</v>
      </c>
      <c r="V341" s="20">
        <f t="shared" si="56"/>
        <v>920.01638596000339</v>
      </c>
      <c r="W341" s="22">
        <f t="shared" si="52"/>
        <v>5.0272096518794919E-2</v>
      </c>
      <c r="X341" s="28" t="str">
        <f>TEXT(B341,"MMM-YYYY")</f>
        <v>Jul-2023</v>
      </c>
      <c r="Y341" s="7" t="str">
        <f t="shared" si="57"/>
        <v>Q3-2023</v>
      </c>
      <c r="Z341" s="7" t="str">
        <f t="shared" si="58"/>
        <v>High Price</v>
      </c>
      <c r="AA341" s="7" t="str">
        <f t="shared" si="59"/>
        <v>Q3</v>
      </c>
      <c r="AB341" s="28" t="str">
        <f t="shared" si="60"/>
        <v>Jul</v>
      </c>
      <c r="AC341" s="28" t="str">
        <f t="shared" si="61"/>
        <v>2023</v>
      </c>
    </row>
    <row r="342" spans="1:29" x14ac:dyDescent="0.25">
      <c r="A342" s="4" t="s">
        <v>354</v>
      </c>
      <c r="B342" s="14">
        <v>45131</v>
      </c>
      <c r="C342" s="14">
        <v>45157</v>
      </c>
      <c r="D342" s="16">
        <f t="shared" si="53"/>
        <v>26</v>
      </c>
      <c r="E342" s="4" t="s">
        <v>646</v>
      </c>
      <c r="F342" s="4" t="s">
        <v>650</v>
      </c>
      <c r="G342" s="4" t="s">
        <v>664</v>
      </c>
      <c r="H342" s="4" t="s">
        <v>706</v>
      </c>
      <c r="I342" s="4" t="s">
        <v>710</v>
      </c>
      <c r="J342" s="4" t="s">
        <v>724</v>
      </c>
      <c r="K342" s="4" t="s">
        <v>733</v>
      </c>
      <c r="L342" s="4" t="s">
        <v>1074</v>
      </c>
      <c r="M342" s="9">
        <v>24</v>
      </c>
      <c r="N342" s="16">
        <f>ROUND(IF('Dashboard Visualization'!$U$3="",'Working Data'!$M342,'Working Data'!$M342*(100% +'Dashboard Visualization'!$U$3)),0)</f>
        <v>24</v>
      </c>
      <c r="O342" s="19">
        <v>661.45</v>
      </c>
      <c r="P342" s="20">
        <f>IF('Dashboard Visualization'!$U$2="",'Working Data'!$O342*'Working Data'!$N342,'Working Data'!$O342*'Working Data'!$N342*(100%+'Dashboard Visualization'!$U$2))</f>
        <v>15874.800000000001</v>
      </c>
      <c r="Q342" s="19">
        <v>1634.86</v>
      </c>
      <c r="R342" s="20">
        <f t="shared" si="54"/>
        <v>711.16410000000008</v>
      </c>
      <c r="S342" s="11">
        <v>0.56499999999999995</v>
      </c>
      <c r="T342" s="22">
        <f>IF('Dashboard Visualization'!$U$1="",$S342,IF(S342&gt;'Dashboard Visualization'!$U$1,'Dashboard Visualization'!$U$1,S342))</f>
        <v>0.56499999999999995</v>
      </c>
      <c r="U342" s="20">
        <f t="shared" si="55"/>
        <v>7424.5532040000016</v>
      </c>
      <c r="V342" s="20">
        <f t="shared" si="56"/>
        <v>-8450.2467959999994</v>
      </c>
      <c r="W342" s="22">
        <f t="shared" si="52"/>
        <v>0</v>
      </c>
      <c r="X342" s="28" t="str">
        <f>TEXT(B342,"MMM-YYYY")</f>
        <v>Jul-2023</v>
      </c>
      <c r="Y342" s="7" t="str">
        <f t="shared" si="57"/>
        <v>Q3-2023</v>
      </c>
      <c r="Z342" s="7" t="str">
        <f t="shared" si="58"/>
        <v>High Price</v>
      </c>
      <c r="AA342" s="7" t="str">
        <f t="shared" si="59"/>
        <v>Q3</v>
      </c>
      <c r="AB342" s="28" t="str">
        <f t="shared" si="60"/>
        <v>Jul</v>
      </c>
      <c r="AC342" s="28" t="str">
        <f t="shared" si="61"/>
        <v>2023</v>
      </c>
    </row>
    <row r="343" spans="1:29" x14ac:dyDescent="0.25">
      <c r="A343" s="4" t="s">
        <v>355</v>
      </c>
      <c r="B343" s="14">
        <v>45029</v>
      </c>
      <c r="C343" s="14">
        <v>45027</v>
      </c>
      <c r="D343" s="16" t="str">
        <f t="shared" si="53"/>
        <v/>
      </c>
      <c r="E343" s="4" t="s">
        <v>648</v>
      </c>
      <c r="F343" s="4" t="s">
        <v>660</v>
      </c>
      <c r="G343" s="4" t="s">
        <v>686</v>
      </c>
      <c r="H343" s="4" t="s">
        <v>702</v>
      </c>
      <c r="I343" s="4" t="s">
        <v>709</v>
      </c>
      <c r="J343" s="4" t="s">
        <v>715</v>
      </c>
      <c r="K343" s="4" t="s">
        <v>729</v>
      </c>
      <c r="L343" s="4" t="s">
        <v>1075</v>
      </c>
      <c r="M343" s="9">
        <v>22</v>
      </c>
      <c r="N343" s="16">
        <f>ROUND(IF('Dashboard Visualization'!$U$3="",'Working Data'!$M343,'Working Data'!$M343*(100% +'Dashboard Visualization'!$U$3)),0)</f>
        <v>22</v>
      </c>
      <c r="O343" s="19">
        <v>32.1</v>
      </c>
      <c r="P343" s="20">
        <f>IF('Dashboard Visualization'!$U$2="",'Working Data'!$O343*'Working Data'!$N343,'Working Data'!$O343*'Working Data'!$N343*(100%+'Dashboard Visualization'!$U$2))</f>
        <v>706.2</v>
      </c>
      <c r="Q343" s="19">
        <v>70.599999999999994</v>
      </c>
      <c r="R343" s="20">
        <f t="shared" si="54"/>
        <v>50.690799999999996</v>
      </c>
      <c r="S343" s="11">
        <v>0.28199999999999997</v>
      </c>
      <c r="T343" s="22">
        <f>IF('Dashboard Visualization'!$U$1="",$S343,IF(S343&gt;'Dashboard Visualization'!$U$1,'Dashboard Visualization'!$U$1,S343))</f>
        <v>0.28199999999999997</v>
      </c>
      <c r="U343" s="20">
        <f t="shared" si="55"/>
        <v>800.7118767999998</v>
      </c>
      <c r="V343" s="20">
        <f t="shared" si="56"/>
        <v>94.511876799999754</v>
      </c>
      <c r="W343" s="22">
        <f t="shared" si="52"/>
        <v>0.11803481319361864</v>
      </c>
      <c r="X343" s="28" t="str">
        <f>TEXT(B343,"MMM-YYYY")</f>
        <v>Apr-2023</v>
      </c>
      <c r="Y343" s="7" t="str">
        <f t="shared" si="57"/>
        <v>Q2-2023</v>
      </c>
      <c r="Z343" s="7" t="str">
        <f t="shared" si="58"/>
        <v>Low Price</v>
      </c>
      <c r="AA343" s="7" t="str">
        <f t="shared" si="59"/>
        <v>Q2</v>
      </c>
      <c r="AB343" s="28" t="str">
        <f t="shared" si="60"/>
        <v>Apr</v>
      </c>
      <c r="AC343" s="28" t="str">
        <f t="shared" si="61"/>
        <v>2023</v>
      </c>
    </row>
    <row r="344" spans="1:29" x14ac:dyDescent="0.25">
      <c r="A344" s="4" t="s">
        <v>356</v>
      </c>
      <c r="B344" s="14">
        <v>45594</v>
      </c>
      <c r="C344" s="14">
        <v>45600</v>
      </c>
      <c r="D344" s="16">
        <f t="shared" si="53"/>
        <v>6</v>
      </c>
      <c r="E344" s="4" t="s">
        <v>646</v>
      </c>
      <c r="F344" s="4" t="s">
        <v>650</v>
      </c>
      <c r="G344" s="4" t="s">
        <v>664</v>
      </c>
      <c r="H344" s="4" t="s">
        <v>701</v>
      </c>
      <c r="I344" s="4" t="s">
        <v>710</v>
      </c>
      <c r="J344" s="4" t="s">
        <v>724</v>
      </c>
      <c r="K344" s="4" t="s">
        <v>728</v>
      </c>
      <c r="L344" s="4" t="s">
        <v>1076</v>
      </c>
      <c r="M344" s="9">
        <v>11</v>
      </c>
      <c r="N344" s="16">
        <f>ROUND(IF('Dashboard Visualization'!$U$3="",'Working Data'!$M344,'Working Data'!$M344*(100% +'Dashboard Visualization'!$U$3)),0)</f>
        <v>11</v>
      </c>
      <c r="O344" s="19">
        <v>805.81</v>
      </c>
      <c r="P344" s="20">
        <f>IF('Dashboard Visualization'!$U$2="",'Working Data'!$O344*'Working Data'!$N344,'Working Data'!$O344*'Working Data'!$N344*(100%+'Dashboard Visualization'!$U$2))</f>
        <v>8863.91</v>
      </c>
      <c r="Q344" s="19">
        <v>1823.04</v>
      </c>
      <c r="R344" s="20">
        <f t="shared" si="54"/>
        <v>1823.04</v>
      </c>
      <c r="S344" s="11">
        <v>0</v>
      </c>
      <c r="T344" s="22">
        <f>IF('Dashboard Visualization'!$U$1="",$S344,IF(S344&gt;'Dashboard Visualization'!$U$1,'Dashboard Visualization'!$U$1,S344))</f>
        <v>0</v>
      </c>
      <c r="U344" s="20">
        <f t="shared" si="55"/>
        <v>20053.439999999999</v>
      </c>
      <c r="V344" s="20">
        <f t="shared" si="56"/>
        <v>11189.529999999999</v>
      </c>
      <c r="W344" s="22">
        <f t="shared" si="52"/>
        <v>0.55798556257679477</v>
      </c>
      <c r="X344" s="28" t="str">
        <f>TEXT(B344,"MMM-YYYY")</f>
        <v>Oct-2024</v>
      </c>
      <c r="Y344" s="7" t="str">
        <f t="shared" si="57"/>
        <v>Q4-2024</v>
      </c>
      <c r="Z344" s="7" t="str">
        <f t="shared" si="58"/>
        <v>Medium Price</v>
      </c>
      <c r="AA344" s="7" t="str">
        <f t="shared" si="59"/>
        <v>Q4</v>
      </c>
      <c r="AB344" s="28" t="str">
        <f t="shared" si="60"/>
        <v>Oct</v>
      </c>
      <c r="AC344" s="28" t="str">
        <f t="shared" si="61"/>
        <v>2024</v>
      </c>
    </row>
    <row r="345" spans="1:29" x14ac:dyDescent="0.25">
      <c r="A345" s="4" t="s">
        <v>357</v>
      </c>
      <c r="B345" s="14">
        <v>45339</v>
      </c>
      <c r="C345" s="14">
        <v>45355</v>
      </c>
      <c r="D345" s="16">
        <f t="shared" si="53"/>
        <v>16</v>
      </c>
      <c r="E345" s="4" t="s">
        <v>647</v>
      </c>
      <c r="F345" s="4" t="s">
        <v>654</v>
      </c>
      <c r="G345" s="4" t="s">
        <v>680</v>
      </c>
      <c r="H345" s="4" t="s">
        <v>705</v>
      </c>
      <c r="I345" s="4" t="s">
        <v>709</v>
      </c>
      <c r="J345" s="4" t="s">
        <v>721</v>
      </c>
      <c r="K345" s="4" t="s">
        <v>730</v>
      </c>
      <c r="L345" s="4" t="s">
        <v>1077</v>
      </c>
      <c r="M345" s="9">
        <v>6</v>
      </c>
      <c r="N345" s="16">
        <f>ROUND(IF('Dashboard Visualization'!$U$3="",'Working Data'!$M345,'Working Data'!$M345*(100% +'Dashboard Visualization'!$U$3)),0)</f>
        <v>6</v>
      </c>
      <c r="O345" s="19">
        <v>1231.8</v>
      </c>
      <c r="P345" s="20">
        <f>IF('Dashboard Visualization'!$U$2="",'Working Data'!$O345*'Working Data'!$N345,'Working Data'!$O345*'Working Data'!$N345*(100%+'Dashboard Visualization'!$U$2))</f>
        <v>7390.7999999999993</v>
      </c>
      <c r="Q345" s="19">
        <v>2015.99</v>
      </c>
      <c r="R345" s="20">
        <f t="shared" si="54"/>
        <v>1489.8166100000001</v>
      </c>
      <c r="S345" s="11">
        <v>0.26100000000000001</v>
      </c>
      <c r="T345" s="22">
        <f>IF('Dashboard Visualization'!$U$1="",$S345,IF(S345&gt;'Dashboard Visualization'!$U$1,'Dashboard Visualization'!$U$1,S345))</f>
        <v>0.26100000000000001</v>
      </c>
      <c r="U345" s="20">
        <f t="shared" si="55"/>
        <v>6605.8468487400005</v>
      </c>
      <c r="V345" s="20">
        <f t="shared" si="56"/>
        <v>-784.95315125999878</v>
      </c>
      <c r="W345" s="22">
        <f t="shared" si="52"/>
        <v>0</v>
      </c>
      <c r="X345" s="28" t="str">
        <f>TEXT(B345,"MMM-YYYY")</f>
        <v>Feb-2024</v>
      </c>
      <c r="Y345" s="7" t="str">
        <f t="shared" si="57"/>
        <v>Q1-2024</v>
      </c>
      <c r="Z345" s="7" t="str">
        <f t="shared" si="58"/>
        <v>High Price</v>
      </c>
      <c r="AA345" s="7" t="str">
        <f t="shared" si="59"/>
        <v>Q1</v>
      </c>
      <c r="AB345" s="28" t="str">
        <f t="shared" si="60"/>
        <v>Feb</v>
      </c>
      <c r="AC345" s="28" t="str">
        <f t="shared" si="61"/>
        <v>2024</v>
      </c>
    </row>
    <row r="346" spans="1:29" x14ac:dyDescent="0.25">
      <c r="A346" s="4" t="s">
        <v>358</v>
      </c>
      <c r="B346" s="14">
        <v>45486</v>
      </c>
      <c r="C346" s="14">
        <v>45485</v>
      </c>
      <c r="D346" s="16" t="str">
        <f t="shared" si="53"/>
        <v/>
      </c>
      <c r="E346" s="4" t="s">
        <v>647</v>
      </c>
      <c r="F346" s="4" t="s">
        <v>652</v>
      </c>
      <c r="G346" s="4" t="s">
        <v>694</v>
      </c>
      <c r="H346" s="4" t="s">
        <v>705</v>
      </c>
      <c r="I346" s="4" t="s">
        <v>709</v>
      </c>
      <c r="J346" s="4" t="s">
        <v>721</v>
      </c>
      <c r="K346" s="4" t="s">
        <v>729</v>
      </c>
      <c r="L346" s="4" t="s">
        <v>1078</v>
      </c>
      <c r="M346" s="9">
        <v>14</v>
      </c>
      <c r="N346" s="16">
        <f>ROUND(IF('Dashboard Visualization'!$U$3="",'Working Data'!$M346,'Working Data'!$M346*(100% +'Dashboard Visualization'!$U$3)),0)</f>
        <v>14</v>
      </c>
      <c r="O346" s="19">
        <v>105.13</v>
      </c>
      <c r="P346" s="20">
        <f>IF('Dashboard Visualization'!$U$2="",'Working Data'!$O346*'Working Data'!$N346,'Working Data'!$O346*'Working Data'!$N346*(100%+'Dashboard Visualization'!$U$2))</f>
        <v>1471.82</v>
      </c>
      <c r="Q346" s="19">
        <v>244.13</v>
      </c>
      <c r="R346" s="20">
        <f t="shared" si="54"/>
        <v>226.79677000000001</v>
      </c>
      <c r="S346" s="11">
        <v>7.0999999999999994E-2</v>
      </c>
      <c r="T346" s="22">
        <f>IF('Dashboard Visualization'!$U$1="",$S346,IF(S346&gt;'Dashboard Visualization'!$U$1,'Dashboard Visualization'!$U$1,S346))</f>
        <v>7.0999999999999994E-2</v>
      </c>
      <c r="U346" s="20">
        <f t="shared" si="55"/>
        <v>2949.7187906200006</v>
      </c>
      <c r="V346" s="20">
        <f t="shared" si="56"/>
        <v>1477.8987906200007</v>
      </c>
      <c r="W346" s="22">
        <f t="shared" si="52"/>
        <v>0.50103040171817925</v>
      </c>
      <c r="X346" s="28" t="str">
        <f>TEXT(B346,"MMM-YYYY")</f>
        <v>Jul-2024</v>
      </c>
      <c r="Y346" s="7" t="str">
        <f t="shared" si="57"/>
        <v>Q3-2024</v>
      </c>
      <c r="Z346" s="7" t="str">
        <f t="shared" si="58"/>
        <v>Low Price</v>
      </c>
      <c r="AA346" s="7" t="str">
        <f t="shared" si="59"/>
        <v>Q3</v>
      </c>
      <c r="AB346" s="28" t="str">
        <f t="shared" si="60"/>
        <v>Jul</v>
      </c>
      <c r="AC346" s="28" t="str">
        <f t="shared" si="61"/>
        <v>2024</v>
      </c>
    </row>
    <row r="347" spans="1:29" x14ac:dyDescent="0.25">
      <c r="A347" s="4" t="s">
        <v>359</v>
      </c>
      <c r="B347" s="14">
        <v>45261</v>
      </c>
      <c r="C347" s="14">
        <v>45278</v>
      </c>
      <c r="D347" s="16">
        <f t="shared" si="53"/>
        <v>17</v>
      </c>
      <c r="E347" s="4" t="s">
        <v>647</v>
      </c>
      <c r="F347" s="4" t="s">
        <v>652</v>
      </c>
      <c r="G347" s="4" t="s">
        <v>694</v>
      </c>
      <c r="H347" s="4" t="s">
        <v>705</v>
      </c>
      <c r="I347" s="4" t="s">
        <v>711</v>
      </c>
      <c r="J347" s="4" t="s">
        <v>725</v>
      </c>
      <c r="K347" s="4" t="s">
        <v>731</v>
      </c>
      <c r="L347" s="4" t="s">
        <v>1079</v>
      </c>
      <c r="M347" s="9">
        <v>5</v>
      </c>
      <c r="N347" s="16">
        <f>ROUND(IF('Dashboard Visualization'!$U$3="",'Working Data'!$M347,'Working Data'!$M347*(100% +'Dashboard Visualization'!$U$3)),0)</f>
        <v>5</v>
      </c>
      <c r="O347" s="19">
        <v>1495.79</v>
      </c>
      <c r="P347" s="20">
        <f>IF('Dashboard Visualization'!$U$2="",'Working Data'!$O347*'Working Data'!$N347,'Working Data'!$O347*'Working Data'!$N347*(100%+'Dashboard Visualization'!$U$2))</f>
        <v>7478.95</v>
      </c>
      <c r="Q347" s="19">
        <v>2783.12</v>
      </c>
      <c r="R347" s="20">
        <f t="shared" si="54"/>
        <v>2727.4575999999997</v>
      </c>
      <c r="S347" s="11">
        <v>0.02</v>
      </c>
      <c r="T347" s="22">
        <f>IF('Dashboard Visualization'!$U$1="",$S347,IF(S347&gt;'Dashboard Visualization'!$U$1,'Dashboard Visualization'!$U$1,S347))</f>
        <v>0.02</v>
      </c>
      <c r="U347" s="20">
        <f t="shared" si="55"/>
        <v>13364.542239999999</v>
      </c>
      <c r="V347" s="20">
        <f t="shared" si="56"/>
        <v>5885.592239999999</v>
      </c>
      <c r="W347" s="22">
        <f t="shared" si="52"/>
        <v>0.44038861446256311</v>
      </c>
      <c r="X347" s="28" t="str">
        <f>TEXT(B347,"MMM-YYYY")</f>
        <v>Dec-2023</v>
      </c>
      <c r="Y347" s="7" t="str">
        <f t="shared" si="57"/>
        <v>Q4-2023</v>
      </c>
      <c r="Z347" s="7" t="str">
        <f t="shared" si="58"/>
        <v>Medium Price</v>
      </c>
      <c r="AA347" s="7" t="str">
        <f t="shared" si="59"/>
        <v>Q4</v>
      </c>
      <c r="AB347" s="28" t="str">
        <f t="shared" si="60"/>
        <v>Dec</v>
      </c>
      <c r="AC347" s="28" t="str">
        <f t="shared" si="61"/>
        <v>2023</v>
      </c>
    </row>
    <row r="348" spans="1:29" x14ac:dyDescent="0.25">
      <c r="A348" s="4" t="s">
        <v>360</v>
      </c>
      <c r="B348" s="14">
        <v>45498</v>
      </c>
      <c r="C348" s="14">
        <v>45506</v>
      </c>
      <c r="D348" s="16">
        <f t="shared" si="53"/>
        <v>8</v>
      </c>
      <c r="E348" s="4" t="s">
        <v>648</v>
      </c>
      <c r="F348" s="4" t="s">
        <v>653</v>
      </c>
      <c r="G348" s="4" t="s">
        <v>681</v>
      </c>
      <c r="H348" s="4" t="s">
        <v>704</v>
      </c>
      <c r="I348" s="4" t="s">
        <v>711</v>
      </c>
      <c r="J348" s="4" t="s">
        <v>713</v>
      </c>
      <c r="K348" s="4" t="s">
        <v>733</v>
      </c>
      <c r="L348" s="4" t="s">
        <v>1080</v>
      </c>
      <c r="M348" s="9">
        <v>43</v>
      </c>
      <c r="N348" s="16">
        <f>ROUND(IF('Dashboard Visualization'!$U$3="",'Working Data'!$M348,'Working Data'!$M348*(100% +'Dashboard Visualization'!$U$3)),0)</f>
        <v>43</v>
      </c>
      <c r="O348" s="19">
        <v>986.81</v>
      </c>
      <c r="P348" s="20">
        <f>IF('Dashboard Visualization'!$U$2="",'Working Data'!$O348*'Working Data'!$N348,'Working Data'!$O348*'Working Data'!$N348*(100%+'Dashboard Visualization'!$U$2))</f>
        <v>42432.829999999994</v>
      </c>
      <c r="Q348" s="19">
        <v>2050.31</v>
      </c>
      <c r="R348" s="20">
        <f t="shared" si="54"/>
        <v>1839.12807</v>
      </c>
      <c r="S348" s="11">
        <v>0.10299999999999999</v>
      </c>
      <c r="T348" s="22">
        <f>IF('Dashboard Visualization'!$U$1="",$S348,IF(S348&gt;'Dashboard Visualization'!$U$1,'Dashboard Visualization'!$U$1,S348))</f>
        <v>0.10299999999999999</v>
      </c>
      <c r="U348" s="20">
        <f t="shared" si="55"/>
        <v>70937.00878797</v>
      </c>
      <c r="V348" s="20">
        <f t="shared" si="56"/>
        <v>28504.178787970006</v>
      </c>
      <c r="W348" s="22">
        <f t="shared" si="52"/>
        <v>0.40182380502071502</v>
      </c>
      <c r="X348" s="28" t="str">
        <f>TEXT(B348,"MMM-YYYY")</f>
        <v>Jul-2024</v>
      </c>
      <c r="Y348" s="7" t="str">
        <f t="shared" si="57"/>
        <v>Q3-2024</v>
      </c>
      <c r="Z348" s="7" t="str">
        <f t="shared" si="58"/>
        <v>Medium Price</v>
      </c>
      <c r="AA348" s="7" t="str">
        <f t="shared" si="59"/>
        <v>Q3</v>
      </c>
      <c r="AB348" s="28" t="str">
        <f t="shared" si="60"/>
        <v>Jul</v>
      </c>
      <c r="AC348" s="28" t="str">
        <f t="shared" si="61"/>
        <v>2024</v>
      </c>
    </row>
    <row r="349" spans="1:29" x14ac:dyDescent="0.25">
      <c r="A349" s="4" t="s">
        <v>361</v>
      </c>
      <c r="B349" s="14">
        <v>45050</v>
      </c>
      <c r="C349" s="14">
        <v>45062</v>
      </c>
      <c r="D349" s="16">
        <f t="shared" si="53"/>
        <v>12</v>
      </c>
      <c r="E349" s="4" t="s">
        <v>646</v>
      </c>
      <c r="F349" s="4" t="s">
        <v>651</v>
      </c>
      <c r="G349" s="4" t="s">
        <v>669</v>
      </c>
      <c r="H349" s="4" t="s">
        <v>705</v>
      </c>
      <c r="I349" s="4" t="s">
        <v>709</v>
      </c>
      <c r="J349" s="4" t="s">
        <v>713</v>
      </c>
      <c r="K349" s="4" t="s">
        <v>730</v>
      </c>
      <c r="L349" s="4" t="s">
        <v>1081</v>
      </c>
      <c r="M349" s="9">
        <v>15</v>
      </c>
      <c r="N349" s="16">
        <f>ROUND(IF('Dashboard Visualization'!$U$3="",'Working Data'!$M349,'Working Data'!$M349*(100% +'Dashboard Visualization'!$U$3)),0)</f>
        <v>15</v>
      </c>
      <c r="O349" s="19">
        <v>77.739999999999995</v>
      </c>
      <c r="P349" s="20">
        <f>IF('Dashboard Visualization'!$U$2="",'Working Data'!$O349*'Working Data'!$N349,'Working Data'!$O349*'Working Data'!$N349*(100%+'Dashboard Visualization'!$U$2))</f>
        <v>1166.0999999999999</v>
      </c>
      <c r="Q349" s="19">
        <v>147.12</v>
      </c>
      <c r="R349" s="20">
        <f t="shared" si="54"/>
        <v>147.12</v>
      </c>
      <c r="S349" s="11">
        <v>0</v>
      </c>
      <c r="T349" s="22">
        <f>IF('Dashboard Visualization'!$U$1="",$S349,IF(S349&gt;'Dashboard Visualization'!$U$1,'Dashboard Visualization'!$U$1,S349))</f>
        <v>0</v>
      </c>
      <c r="U349" s="20">
        <f t="shared" si="55"/>
        <v>2206.8000000000002</v>
      </c>
      <c r="V349" s="20">
        <f t="shared" si="56"/>
        <v>1040.7000000000003</v>
      </c>
      <c r="W349" s="22">
        <f t="shared" si="52"/>
        <v>0.47158781946710177</v>
      </c>
      <c r="X349" s="28" t="str">
        <f>TEXT(B349,"MMM-YYYY")</f>
        <v>May-2023</v>
      </c>
      <c r="Y349" s="7" t="str">
        <f t="shared" si="57"/>
        <v>Q2-2023</v>
      </c>
      <c r="Z349" s="7" t="str">
        <f t="shared" si="58"/>
        <v>Low Price</v>
      </c>
      <c r="AA349" s="7" t="str">
        <f t="shared" si="59"/>
        <v>Q2</v>
      </c>
      <c r="AB349" s="28" t="str">
        <f t="shared" si="60"/>
        <v>May</v>
      </c>
      <c r="AC349" s="28" t="str">
        <f t="shared" si="61"/>
        <v>2023</v>
      </c>
    </row>
    <row r="350" spans="1:29" x14ac:dyDescent="0.25">
      <c r="A350" s="4" t="s">
        <v>362</v>
      </c>
      <c r="B350" s="14">
        <v>45281</v>
      </c>
      <c r="C350" s="14">
        <v>45297</v>
      </c>
      <c r="D350" s="16">
        <f t="shared" si="53"/>
        <v>16</v>
      </c>
      <c r="E350" s="4" t="s">
        <v>646</v>
      </c>
      <c r="F350" s="4" t="s">
        <v>651</v>
      </c>
      <c r="G350" s="12" t="s">
        <v>1430</v>
      </c>
      <c r="H350" s="4" t="s">
        <v>701</v>
      </c>
      <c r="I350" s="4" t="s">
        <v>709</v>
      </c>
      <c r="J350" s="4" t="s">
        <v>723</v>
      </c>
      <c r="K350" s="4" t="s">
        <v>727</v>
      </c>
      <c r="L350" s="4" t="s">
        <v>1082</v>
      </c>
      <c r="M350" s="9">
        <v>16</v>
      </c>
      <c r="N350" s="16">
        <f>ROUND(IF('Dashboard Visualization'!$U$3="",'Working Data'!$M350,'Working Data'!$M350*(100% +'Dashboard Visualization'!$U$3)),0)</f>
        <v>16</v>
      </c>
      <c r="O350" s="19">
        <v>932.61</v>
      </c>
      <c r="P350" s="20">
        <f>IF('Dashboard Visualization'!$U$2="",'Working Data'!$O350*'Working Data'!$N350,'Working Data'!$O350*'Working Data'!$N350*(100%+'Dashboard Visualization'!$U$2))</f>
        <v>14921.76</v>
      </c>
      <c r="Q350" s="19">
        <v>1982.98</v>
      </c>
      <c r="R350" s="20">
        <f t="shared" si="54"/>
        <v>1697.4308799999999</v>
      </c>
      <c r="S350" s="11">
        <v>0.14399999999999999</v>
      </c>
      <c r="T350" s="22">
        <f>IF('Dashboard Visualization'!$U$1="",$S350,IF(S350&gt;'Dashboard Visualization'!$U$1,'Dashboard Visualization'!$U$1,S350))</f>
        <v>0.14399999999999999</v>
      </c>
      <c r="U350" s="20">
        <f t="shared" si="55"/>
        <v>23248.013332479997</v>
      </c>
      <c r="V350" s="20">
        <f t="shared" si="56"/>
        <v>8326.253332479997</v>
      </c>
      <c r="W350" s="22">
        <f t="shared" si="52"/>
        <v>0.35814902604375737</v>
      </c>
      <c r="X350" s="28" t="str">
        <f>TEXT(B350,"MMM-YYYY")</f>
        <v>Dec-2023</v>
      </c>
      <c r="Y350" s="7" t="str">
        <f t="shared" si="57"/>
        <v>Q4-2023</v>
      </c>
      <c r="Z350" s="7" t="str">
        <f t="shared" si="58"/>
        <v>Medium Price</v>
      </c>
      <c r="AA350" s="7" t="str">
        <f t="shared" si="59"/>
        <v>Q4</v>
      </c>
      <c r="AB350" s="28" t="str">
        <f t="shared" si="60"/>
        <v>Dec</v>
      </c>
      <c r="AC350" s="28" t="str">
        <f t="shared" si="61"/>
        <v>2023</v>
      </c>
    </row>
    <row r="351" spans="1:29" x14ac:dyDescent="0.25">
      <c r="A351" s="4" t="s">
        <v>363</v>
      </c>
      <c r="B351" s="14">
        <v>45825</v>
      </c>
      <c r="C351" s="14">
        <v>45843</v>
      </c>
      <c r="D351" s="16">
        <f t="shared" si="53"/>
        <v>18</v>
      </c>
      <c r="E351" s="4" t="s">
        <v>647</v>
      </c>
      <c r="F351" s="4" t="s">
        <v>654</v>
      </c>
      <c r="G351" s="4" t="s">
        <v>680</v>
      </c>
      <c r="H351" s="4" t="s">
        <v>704</v>
      </c>
      <c r="I351" s="4" t="s">
        <v>709</v>
      </c>
      <c r="J351" s="4" t="s">
        <v>716</v>
      </c>
      <c r="K351" s="4" t="s">
        <v>731</v>
      </c>
      <c r="L351" s="4" t="s">
        <v>1083</v>
      </c>
      <c r="M351" s="9">
        <v>6</v>
      </c>
      <c r="N351" s="16">
        <f>ROUND(IF('Dashboard Visualization'!$U$3="",'Working Data'!$M351,'Working Data'!$M351*(100% +'Dashboard Visualization'!$U$3)),0)</f>
        <v>6</v>
      </c>
      <c r="O351" s="19">
        <v>982.93</v>
      </c>
      <c r="P351" s="20">
        <f>IF('Dashboard Visualization'!$U$2="",'Working Data'!$O351*'Working Data'!$N351,'Working Data'!$O351*'Working Data'!$N351*(100%+'Dashboard Visualization'!$U$2))</f>
        <v>5897.58</v>
      </c>
      <c r="Q351" s="19">
        <v>2299.3000000000002</v>
      </c>
      <c r="R351" s="20">
        <f t="shared" si="54"/>
        <v>2039.4791000000002</v>
      </c>
      <c r="S351" s="11">
        <v>0.113</v>
      </c>
      <c r="T351" s="22">
        <f>IF('Dashboard Visualization'!$U$1="",$S351,IF(S351&gt;'Dashboard Visualization'!$U$1,'Dashboard Visualization'!$U$1,S351))</f>
        <v>0.113</v>
      </c>
      <c r="U351" s="20">
        <f t="shared" si="55"/>
        <v>10854.107770200002</v>
      </c>
      <c r="V351" s="20">
        <f t="shared" si="56"/>
        <v>4956.5277702000021</v>
      </c>
      <c r="W351" s="22">
        <f t="shared" si="52"/>
        <v>0.4566499499671608</v>
      </c>
      <c r="X351" s="28" t="str">
        <f>TEXT(B351,"MMM-YYYY")</f>
        <v>Jun-2025</v>
      </c>
      <c r="Y351" s="7" t="str">
        <f t="shared" si="57"/>
        <v>Q2-2025</v>
      </c>
      <c r="Z351" s="7" t="str">
        <f t="shared" si="58"/>
        <v>Medium Price</v>
      </c>
      <c r="AA351" s="7" t="str">
        <f t="shared" si="59"/>
        <v>Q2</v>
      </c>
      <c r="AB351" s="28" t="str">
        <f t="shared" si="60"/>
        <v>Jun</v>
      </c>
      <c r="AC351" s="28" t="str">
        <f t="shared" si="61"/>
        <v>2025</v>
      </c>
    </row>
    <row r="352" spans="1:29" x14ac:dyDescent="0.25">
      <c r="A352" s="4" t="s">
        <v>364</v>
      </c>
      <c r="B352" s="14">
        <v>44980</v>
      </c>
      <c r="C352" s="14">
        <v>44993</v>
      </c>
      <c r="D352" s="16">
        <f t="shared" si="53"/>
        <v>13</v>
      </c>
      <c r="E352" s="4" t="s">
        <v>649</v>
      </c>
      <c r="F352" s="4" t="s">
        <v>658</v>
      </c>
      <c r="G352" s="4" t="s">
        <v>693</v>
      </c>
      <c r="H352" s="4" t="s">
        <v>705</v>
      </c>
      <c r="I352" s="4" t="s">
        <v>711</v>
      </c>
      <c r="J352" s="4" t="s">
        <v>712</v>
      </c>
      <c r="K352" s="4" t="s">
        <v>728</v>
      </c>
      <c r="L352" s="4" t="s">
        <v>1084</v>
      </c>
      <c r="M352" s="9">
        <v>11</v>
      </c>
      <c r="N352" s="16">
        <f>ROUND(IF('Dashboard Visualization'!$U$3="",'Working Data'!$M352,'Working Data'!$M352*(100% +'Dashboard Visualization'!$U$3)),0)</f>
        <v>11</v>
      </c>
      <c r="O352" s="19">
        <v>307.37</v>
      </c>
      <c r="P352" s="20">
        <f>IF('Dashboard Visualization'!$U$2="",'Working Data'!$O352*'Working Data'!$N352,'Working Data'!$O352*'Working Data'!$N352*(100%+'Dashboard Visualization'!$U$2))</f>
        <v>3381.07</v>
      </c>
      <c r="Q352" s="19">
        <v>462.61</v>
      </c>
      <c r="R352" s="20">
        <f t="shared" si="54"/>
        <v>375.63932000000005</v>
      </c>
      <c r="S352" s="11">
        <v>0.188</v>
      </c>
      <c r="T352" s="22">
        <f>IF('Dashboard Visualization'!$U$1="",$S352,IF(S352&gt;'Dashboard Visualization'!$U$1,'Dashboard Visualization'!$U$1,S352))</f>
        <v>0.188</v>
      </c>
      <c r="U352" s="20">
        <f t="shared" si="55"/>
        <v>3355.2104062400008</v>
      </c>
      <c r="V352" s="20">
        <f t="shared" si="56"/>
        <v>-25.85959375999937</v>
      </c>
      <c r="W352" s="22">
        <f t="shared" si="52"/>
        <v>0</v>
      </c>
      <c r="X352" s="28" t="str">
        <f>TEXT(B352,"MMM-YYYY")</f>
        <v>Feb-2023</v>
      </c>
      <c r="Y352" s="7" t="str">
        <f t="shared" si="57"/>
        <v>Q1-2023</v>
      </c>
      <c r="Z352" s="7" t="str">
        <f t="shared" si="58"/>
        <v>Low Price</v>
      </c>
      <c r="AA352" s="7" t="str">
        <f t="shared" si="59"/>
        <v>Q1</v>
      </c>
      <c r="AB352" s="28" t="str">
        <f t="shared" si="60"/>
        <v>Feb</v>
      </c>
      <c r="AC352" s="28" t="str">
        <f t="shared" si="61"/>
        <v>2023</v>
      </c>
    </row>
    <row r="353" spans="1:29" x14ac:dyDescent="0.25">
      <c r="A353" s="4" t="s">
        <v>365</v>
      </c>
      <c r="B353" s="14">
        <v>45262</v>
      </c>
      <c r="C353" s="14">
        <v>45276</v>
      </c>
      <c r="D353" s="16">
        <f t="shared" si="53"/>
        <v>14</v>
      </c>
      <c r="E353" s="4" t="s">
        <v>649</v>
      </c>
      <c r="F353" s="4" t="s">
        <v>656</v>
      </c>
      <c r="G353" s="4" t="s">
        <v>698</v>
      </c>
      <c r="H353" s="4" t="s">
        <v>702</v>
      </c>
      <c r="I353" s="4" t="s">
        <v>711</v>
      </c>
      <c r="J353" s="4" t="s">
        <v>725</v>
      </c>
      <c r="K353" s="4" t="s">
        <v>732</v>
      </c>
      <c r="L353" s="4" t="s">
        <v>1085</v>
      </c>
      <c r="M353" s="9">
        <v>17</v>
      </c>
      <c r="N353" s="16">
        <f>ROUND(IF('Dashboard Visualization'!$U$3="",'Working Data'!$M353,'Working Data'!$M353*(100% +'Dashboard Visualization'!$U$3)),0)</f>
        <v>17</v>
      </c>
      <c r="O353" s="19">
        <v>879.08</v>
      </c>
      <c r="P353" s="20">
        <f>IF('Dashboard Visualization'!$U$2="",'Working Data'!$O353*'Working Data'!$N353,'Working Data'!$O353*'Working Data'!$N353*(100%+'Dashboard Visualization'!$U$2))</f>
        <v>14944.36</v>
      </c>
      <c r="Q353" s="19">
        <v>1093.3900000000001</v>
      </c>
      <c r="R353" s="20">
        <f t="shared" si="54"/>
        <v>969.83693000000005</v>
      </c>
      <c r="S353" s="11">
        <v>0.113</v>
      </c>
      <c r="T353" s="22">
        <f>IF('Dashboard Visualization'!$U$1="",$S353,IF(S353&gt;'Dashboard Visualization'!$U$1,'Dashboard Visualization'!$U$1,S353))</f>
        <v>0.113</v>
      </c>
      <c r="U353" s="20">
        <f t="shared" si="55"/>
        <v>14624.171067470001</v>
      </c>
      <c r="V353" s="20">
        <f t="shared" si="56"/>
        <v>-320.18893252999987</v>
      </c>
      <c r="W353" s="22">
        <f t="shared" si="52"/>
        <v>0</v>
      </c>
      <c r="X353" s="28" t="str">
        <f>TEXT(B353,"MMM-YYYY")</f>
        <v>Dec-2023</v>
      </c>
      <c r="Y353" s="7" t="str">
        <f t="shared" si="57"/>
        <v>Q4-2023</v>
      </c>
      <c r="Z353" s="7" t="str">
        <f t="shared" si="58"/>
        <v>High Price</v>
      </c>
      <c r="AA353" s="7" t="str">
        <f t="shared" si="59"/>
        <v>Q4</v>
      </c>
      <c r="AB353" s="28" t="str">
        <f t="shared" si="60"/>
        <v>Dec</v>
      </c>
      <c r="AC353" s="28" t="str">
        <f t="shared" si="61"/>
        <v>2023</v>
      </c>
    </row>
    <row r="354" spans="1:29" x14ac:dyDescent="0.25">
      <c r="A354" s="4" t="s">
        <v>366</v>
      </c>
      <c r="B354" s="14">
        <v>45121</v>
      </c>
      <c r="C354" s="14">
        <v>45121</v>
      </c>
      <c r="D354" s="16">
        <f t="shared" si="53"/>
        <v>0</v>
      </c>
      <c r="E354" s="4" t="s">
        <v>646</v>
      </c>
      <c r="F354" s="4" t="s">
        <v>651</v>
      </c>
      <c r="G354" s="4" t="s">
        <v>665</v>
      </c>
      <c r="H354" s="4" t="s">
        <v>702</v>
      </c>
      <c r="I354" s="4" t="s">
        <v>707</v>
      </c>
      <c r="J354" s="4" t="s">
        <v>714</v>
      </c>
      <c r="K354" s="4" t="s">
        <v>733</v>
      </c>
      <c r="L354" s="4" t="s">
        <v>1086</v>
      </c>
      <c r="M354" s="9">
        <v>19</v>
      </c>
      <c r="N354" s="16">
        <f>ROUND(IF('Dashboard Visualization'!$U$3="",'Working Data'!$M354,'Working Data'!$M354*(100% +'Dashboard Visualization'!$U$3)),0)</f>
        <v>19</v>
      </c>
      <c r="O354" s="19">
        <v>956.38</v>
      </c>
      <c r="P354" s="20">
        <f>IF('Dashboard Visualization'!$U$2="",'Working Data'!$O354*'Working Data'!$N354,'Working Data'!$O354*'Working Data'!$N354*(100%+'Dashboard Visualization'!$U$2))</f>
        <v>18171.22</v>
      </c>
      <c r="Q354" s="19">
        <v>1454.22</v>
      </c>
      <c r="R354" s="20">
        <f t="shared" si="54"/>
        <v>1397.50542</v>
      </c>
      <c r="S354" s="11">
        <v>3.9E-2</v>
      </c>
      <c r="T354" s="22">
        <f>IF('Dashboard Visualization'!$U$1="",$S354,IF(S354&gt;'Dashboard Visualization'!$U$1,'Dashboard Visualization'!$U$1,S354))</f>
        <v>3.9E-2</v>
      </c>
      <c r="U354" s="20">
        <f t="shared" si="55"/>
        <v>25517.051463780001</v>
      </c>
      <c r="V354" s="20">
        <f t="shared" si="56"/>
        <v>7345.8314637799995</v>
      </c>
      <c r="W354" s="22">
        <f t="shared" si="52"/>
        <v>0.28787932156687412</v>
      </c>
      <c r="X354" s="28" t="str">
        <f>TEXT(B354,"MMM-YYYY")</f>
        <v>Jul-2023</v>
      </c>
      <c r="Y354" s="7" t="str">
        <f t="shared" si="57"/>
        <v>Q3-2023</v>
      </c>
      <c r="Z354" s="7" t="str">
        <f t="shared" si="58"/>
        <v>High Price</v>
      </c>
      <c r="AA354" s="7" t="str">
        <f t="shared" si="59"/>
        <v>Q3</v>
      </c>
      <c r="AB354" s="28" t="str">
        <f t="shared" si="60"/>
        <v>Jul</v>
      </c>
      <c r="AC354" s="28" t="str">
        <f t="shared" si="61"/>
        <v>2023</v>
      </c>
    </row>
    <row r="355" spans="1:29" x14ac:dyDescent="0.25">
      <c r="A355" s="4" t="s">
        <v>367</v>
      </c>
      <c r="B355" s="14">
        <v>45512</v>
      </c>
      <c r="C355" s="14">
        <v>45524</v>
      </c>
      <c r="D355" s="16">
        <f t="shared" si="53"/>
        <v>12</v>
      </c>
      <c r="E355" s="4" t="s">
        <v>647</v>
      </c>
      <c r="F355" s="4" t="s">
        <v>652</v>
      </c>
      <c r="G355" s="4" t="s">
        <v>666</v>
      </c>
      <c r="H355" s="4" t="s">
        <v>705</v>
      </c>
      <c r="I355" s="4" t="s">
        <v>707</v>
      </c>
      <c r="J355" s="4" t="s">
        <v>722</v>
      </c>
      <c r="K355" s="4" t="s">
        <v>729</v>
      </c>
      <c r="L355" s="4" t="s">
        <v>1087</v>
      </c>
      <c r="M355" s="9">
        <v>20</v>
      </c>
      <c r="N355" s="16">
        <f>ROUND(IF('Dashboard Visualization'!$U$3="",'Working Data'!$M355,'Working Data'!$M355*(100% +'Dashboard Visualization'!$U$3)),0)</f>
        <v>20</v>
      </c>
      <c r="O355" s="19">
        <v>1233.3599999999999</v>
      </c>
      <c r="P355" s="20">
        <f>IF('Dashboard Visualization'!$U$2="",'Working Data'!$O355*'Working Data'!$N355,'Working Data'!$O355*'Working Data'!$N355*(100%+'Dashboard Visualization'!$U$2))</f>
        <v>24667.199999999997</v>
      </c>
      <c r="Q355" s="19">
        <v>2120.4</v>
      </c>
      <c r="R355" s="20">
        <f t="shared" si="54"/>
        <v>1740.8484000000001</v>
      </c>
      <c r="S355" s="11">
        <v>0.17899999999999999</v>
      </c>
      <c r="T355" s="22">
        <f>IF('Dashboard Visualization'!$U$1="",$S355,IF(S355&gt;'Dashboard Visualization'!$U$1,'Dashboard Visualization'!$U$1,S355))</f>
        <v>0.17899999999999999</v>
      </c>
      <c r="U355" s="20">
        <f t="shared" si="55"/>
        <v>28584.730727999999</v>
      </c>
      <c r="V355" s="20">
        <f t="shared" si="56"/>
        <v>3917.5307280000015</v>
      </c>
      <c r="W355" s="22">
        <f t="shared" si="52"/>
        <v>0.13704976846826156</v>
      </c>
      <c r="X355" s="28" t="str">
        <f>TEXT(B355,"MMM-YYYY")</f>
        <v>Aug-2024</v>
      </c>
      <c r="Y355" s="7" t="str">
        <f t="shared" si="57"/>
        <v>Q3-2024</v>
      </c>
      <c r="Z355" s="7" t="str">
        <f t="shared" si="58"/>
        <v>Medium Price</v>
      </c>
      <c r="AA355" s="7" t="str">
        <f t="shared" si="59"/>
        <v>Q3</v>
      </c>
      <c r="AB355" s="28" t="str">
        <f t="shared" si="60"/>
        <v>Aug</v>
      </c>
      <c r="AC355" s="28" t="str">
        <f t="shared" si="61"/>
        <v>2024</v>
      </c>
    </row>
    <row r="356" spans="1:29" x14ac:dyDescent="0.25">
      <c r="A356" s="4" t="s">
        <v>368</v>
      </c>
      <c r="B356" s="14">
        <v>45603</v>
      </c>
      <c r="C356" s="14">
        <v>45622</v>
      </c>
      <c r="D356" s="16">
        <f t="shared" si="53"/>
        <v>19</v>
      </c>
      <c r="E356" s="4" t="s">
        <v>648</v>
      </c>
      <c r="F356" s="4" t="s">
        <v>655</v>
      </c>
      <c r="G356" s="4" t="s">
        <v>692</v>
      </c>
      <c r="H356" s="4" t="s">
        <v>703</v>
      </c>
      <c r="I356" s="4" t="s">
        <v>710</v>
      </c>
      <c r="J356" s="4" t="s">
        <v>713</v>
      </c>
      <c r="K356" s="4" t="s">
        <v>728</v>
      </c>
      <c r="L356" s="4" t="s">
        <v>1088</v>
      </c>
      <c r="M356" s="9">
        <v>10</v>
      </c>
      <c r="N356" s="16">
        <f>ROUND(IF('Dashboard Visualization'!$U$3="",'Working Data'!$M356,'Working Data'!$M356*(100% +'Dashboard Visualization'!$U$3)),0)</f>
        <v>10</v>
      </c>
      <c r="O356" s="19">
        <v>55.35</v>
      </c>
      <c r="P356" s="20">
        <f>IF('Dashboard Visualization'!$U$2="",'Working Data'!$O356*'Working Data'!$N356,'Working Data'!$O356*'Working Data'!$N356*(100%+'Dashboard Visualization'!$U$2))</f>
        <v>553.5</v>
      </c>
      <c r="Q356" s="19">
        <v>128.68</v>
      </c>
      <c r="R356" s="20">
        <f t="shared" si="54"/>
        <v>112.20896</v>
      </c>
      <c r="S356" s="11">
        <v>0.128</v>
      </c>
      <c r="T356" s="22">
        <f>IF('Dashboard Visualization'!$U$1="",$S356,IF(S356&gt;'Dashboard Visualization'!$U$1,'Dashboard Visualization'!$U$1,S356))</f>
        <v>0.128</v>
      </c>
      <c r="U356" s="20">
        <f t="shared" si="55"/>
        <v>978.46213120000004</v>
      </c>
      <c r="V356" s="20">
        <f t="shared" si="56"/>
        <v>424.96213120000004</v>
      </c>
      <c r="W356" s="22">
        <f t="shared" si="52"/>
        <v>0.43431638041915877</v>
      </c>
      <c r="X356" s="28" t="str">
        <f>TEXT(B356,"MMM-YYYY")</f>
        <v>Nov-2024</v>
      </c>
      <c r="Y356" s="7" t="str">
        <f t="shared" si="57"/>
        <v>Q4-2024</v>
      </c>
      <c r="Z356" s="7" t="str">
        <f t="shared" si="58"/>
        <v>Low Price</v>
      </c>
      <c r="AA356" s="7" t="str">
        <f t="shared" si="59"/>
        <v>Q4</v>
      </c>
      <c r="AB356" s="28" t="str">
        <f t="shared" si="60"/>
        <v>Nov</v>
      </c>
      <c r="AC356" s="28" t="str">
        <f t="shared" si="61"/>
        <v>2024</v>
      </c>
    </row>
    <row r="357" spans="1:29" x14ac:dyDescent="0.25">
      <c r="A357" s="4" t="s">
        <v>369</v>
      </c>
      <c r="B357" s="14">
        <v>45292</v>
      </c>
      <c r="C357" s="14">
        <v>45318</v>
      </c>
      <c r="D357" s="16">
        <f t="shared" si="53"/>
        <v>26</v>
      </c>
      <c r="E357" s="4" t="s">
        <v>649</v>
      </c>
      <c r="F357" s="4" t="s">
        <v>658</v>
      </c>
      <c r="G357" s="4" t="s">
        <v>693</v>
      </c>
      <c r="H357" s="4" t="s">
        <v>702</v>
      </c>
      <c r="I357" s="4" t="s">
        <v>710</v>
      </c>
      <c r="J357" s="4" t="s">
        <v>726</v>
      </c>
      <c r="K357" s="4" t="s">
        <v>733</v>
      </c>
      <c r="L357" s="4" t="s">
        <v>1089</v>
      </c>
      <c r="M357" s="9">
        <v>21</v>
      </c>
      <c r="N357" s="16">
        <f>ROUND(IF('Dashboard Visualization'!$U$3="",'Working Data'!$M357,'Working Data'!$M357*(100% +'Dashboard Visualization'!$U$3)),0)</f>
        <v>21</v>
      </c>
      <c r="O357" s="19">
        <v>657.45</v>
      </c>
      <c r="P357" s="20">
        <f>IF('Dashboard Visualization'!$U$2="",'Working Data'!$O357*'Working Data'!$N357,'Working Data'!$O357*'Working Data'!$N357*(100%+'Dashboard Visualization'!$U$2))</f>
        <v>13806.45</v>
      </c>
      <c r="Q357" s="19">
        <v>1325.96</v>
      </c>
      <c r="R357" s="20">
        <f t="shared" si="54"/>
        <v>1104.52468</v>
      </c>
      <c r="S357" s="11">
        <v>0.16700000000000001</v>
      </c>
      <c r="T357" s="22">
        <f>IF('Dashboard Visualization'!$U$1="",$S357,IF(S357&gt;'Dashboard Visualization'!$U$1,'Dashboard Visualization'!$U$1,S357))</f>
        <v>0.16700000000000001</v>
      </c>
      <c r="U357" s="20">
        <f t="shared" si="55"/>
        <v>19321.450227239999</v>
      </c>
      <c r="V357" s="20">
        <f t="shared" si="56"/>
        <v>5515.0002272399979</v>
      </c>
      <c r="W357" s="22">
        <f t="shared" si="52"/>
        <v>0.28543407261763271</v>
      </c>
      <c r="X357" s="28" t="str">
        <f>TEXT(B357,"MMM-YYYY")</f>
        <v>Jan-2024</v>
      </c>
      <c r="Y357" s="7" t="str">
        <f t="shared" si="57"/>
        <v>Q1-2024</v>
      </c>
      <c r="Z357" s="7" t="str">
        <f t="shared" si="58"/>
        <v>High Price</v>
      </c>
      <c r="AA357" s="7" t="str">
        <f t="shared" si="59"/>
        <v>Q1</v>
      </c>
      <c r="AB357" s="28" t="str">
        <f t="shared" si="60"/>
        <v>Jan</v>
      </c>
      <c r="AC357" s="28" t="str">
        <f t="shared" si="61"/>
        <v>2024</v>
      </c>
    </row>
    <row r="358" spans="1:29" x14ac:dyDescent="0.25">
      <c r="A358" s="4" t="s">
        <v>370</v>
      </c>
      <c r="B358" s="14">
        <v>45883</v>
      </c>
      <c r="C358" s="14">
        <v>45911</v>
      </c>
      <c r="D358" s="16">
        <f t="shared" si="53"/>
        <v>28</v>
      </c>
      <c r="E358" s="4" t="s">
        <v>648</v>
      </c>
      <c r="F358" s="4" t="s">
        <v>655</v>
      </c>
      <c r="G358" s="4" t="s">
        <v>670</v>
      </c>
      <c r="H358" s="4" t="s">
        <v>703</v>
      </c>
      <c r="I358" s="4" t="s">
        <v>711</v>
      </c>
      <c r="J358" s="4" t="s">
        <v>721</v>
      </c>
      <c r="K358" s="4" t="s">
        <v>728</v>
      </c>
      <c r="L358" s="4" t="s">
        <v>1090</v>
      </c>
      <c r="M358" s="9">
        <v>18</v>
      </c>
      <c r="N358" s="16">
        <f>ROUND(IF('Dashboard Visualization'!$U$3="",'Working Data'!$M358,'Working Data'!$M358*(100% +'Dashboard Visualization'!$U$3)),0)</f>
        <v>18</v>
      </c>
      <c r="O358" s="19">
        <v>1203.02</v>
      </c>
      <c r="P358" s="20">
        <f>IF('Dashboard Visualization'!$U$2="",'Working Data'!$O358*'Working Data'!$N358,'Working Data'!$O358*'Working Data'!$N358*(100%+'Dashboard Visualization'!$U$2))</f>
        <v>21654.36</v>
      </c>
      <c r="Q358" s="19">
        <v>2439.33</v>
      </c>
      <c r="R358" s="20">
        <f t="shared" si="54"/>
        <v>2439.33</v>
      </c>
      <c r="S358" s="11">
        <v>0</v>
      </c>
      <c r="T358" s="22">
        <f>IF('Dashboard Visualization'!$U$1="",$S358,IF(S358&gt;'Dashboard Visualization'!$U$1,'Dashboard Visualization'!$U$1,S358))</f>
        <v>0</v>
      </c>
      <c r="U358" s="20">
        <f t="shared" si="55"/>
        <v>43907.94</v>
      </c>
      <c r="V358" s="20">
        <f t="shared" si="56"/>
        <v>22253.58</v>
      </c>
      <c r="W358" s="22">
        <f t="shared" si="52"/>
        <v>0.50682359500354612</v>
      </c>
      <c r="X358" s="28" t="str">
        <f>TEXT(B358,"MMM-YYYY")</f>
        <v>Aug-2025</v>
      </c>
      <c r="Y358" s="7" t="str">
        <f t="shared" si="57"/>
        <v>Q3-2025</v>
      </c>
      <c r="Z358" s="7" t="str">
        <f t="shared" si="58"/>
        <v>Medium Price</v>
      </c>
      <c r="AA358" s="7" t="str">
        <f t="shared" si="59"/>
        <v>Q3</v>
      </c>
      <c r="AB358" s="28" t="str">
        <f t="shared" si="60"/>
        <v>Aug</v>
      </c>
      <c r="AC358" s="28" t="str">
        <f t="shared" si="61"/>
        <v>2025</v>
      </c>
    </row>
    <row r="359" spans="1:29" x14ac:dyDescent="0.25">
      <c r="A359" s="4" t="s">
        <v>371</v>
      </c>
      <c r="B359" s="14">
        <v>45385</v>
      </c>
      <c r="C359" s="14">
        <v>45403</v>
      </c>
      <c r="D359" s="16">
        <f t="shared" si="53"/>
        <v>18</v>
      </c>
      <c r="E359" s="4" t="s">
        <v>648</v>
      </c>
      <c r="F359" s="4" t="s">
        <v>655</v>
      </c>
      <c r="G359" s="4" t="s">
        <v>672</v>
      </c>
      <c r="H359" s="4" t="s">
        <v>705</v>
      </c>
      <c r="I359" s="4" t="s">
        <v>710</v>
      </c>
      <c r="J359" s="4" t="s">
        <v>717</v>
      </c>
      <c r="K359" s="4" t="s">
        <v>729</v>
      </c>
      <c r="L359" s="4" t="s">
        <v>1091</v>
      </c>
      <c r="M359" s="9">
        <v>27</v>
      </c>
      <c r="N359" s="16">
        <f>ROUND(IF('Dashboard Visualization'!$U$3="",'Working Data'!$M359,'Working Data'!$M359*(100% +'Dashboard Visualization'!$U$3)),0)</f>
        <v>27</v>
      </c>
      <c r="O359" s="19">
        <v>1176.69</v>
      </c>
      <c r="P359" s="20">
        <f>IF('Dashboard Visualization'!$U$2="",'Working Data'!$O359*'Working Data'!$N359,'Working Data'!$O359*'Working Data'!$N359*(100%+'Dashboard Visualization'!$U$2))</f>
        <v>31770.63</v>
      </c>
      <c r="Q359" s="19">
        <v>2201.54</v>
      </c>
      <c r="R359" s="20">
        <f t="shared" si="54"/>
        <v>1827.2782</v>
      </c>
      <c r="S359" s="11">
        <v>0.17</v>
      </c>
      <c r="T359" s="22">
        <f>IF('Dashboard Visualization'!$U$1="",$S359,IF(S359&gt;'Dashboard Visualization'!$U$1,'Dashboard Visualization'!$U$1,S359))</f>
        <v>0.17</v>
      </c>
      <c r="U359" s="20">
        <f t="shared" si="55"/>
        <v>40949.304461999993</v>
      </c>
      <c r="V359" s="20">
        <f t="shared" si="56"/>
        <v>9178.6744619999918</v>
      </c>
      <c r="W359" s="22">
        <f t="shared" si="52"/>
        <v>0.22414726165904941</v>
      </c>
      <c r="X359" s="28" t="str">
        <f>TEXT(B359,"MMM-YYYY")</f>
        <v>Apr-2024</v>
      </c>
      <c r="Y359" s="7" t="str">
        <f t="shared" si="57"/>
        <v>Q2-2024</v>
      </c>
      <c r="Z359" s="7" t="str">
        <f t="shared" si="58"/>
        <v>Medium Price</v>
      </c>
      <c r="AA359" s="7" t="str">
        <f t="shared" si="59"/>
        <v>Q2</v>
      </c>
      <c r="AB359" s="28" t="str">
        <f t="shared" si="60"/>
        <v>Apr</v>
      </c>
      <c r="AC359" s="28" t="str">
        <f t="shared" si="61"/>
        <v>2024</v>
      </c>
    </row>
    <row r="360" spans="1:29" x14ac:dyDescent="0.25">
      <c r="A360" s="4" t="s">
        <v>372</v>
      </c>
      <c r="B360" s="14">
        <v>45621</v>
      </c>
      <c r="C360" s="14">
        <v>45633</v>
      </c>
      <c r="D360" s="16">
        <f t="shared" si="53"/>
        <v>12</v>
      </c>
      <c r="E360" s="4" t="s">
        <v>647</v>
      </c>
      <c r="F360" s="4" t="s">
        <v>659</v>
      </c>
      <c r="G360" s="4" t="s">
        <v>685</v>
      </c>
      <c r="H360" s="4" t="s">
        <v>701</v>
      </c>
      <c r="I360" s="4" t="s">
        <v>710</v>
      </c>
      <c r="J360" s="4" t="s">
        <v>720</v>
      </c>
      <c r="K360" s="4" t="s">
        <v>733</v>
      </c>
      <c r="L360" s="4" t="s">
        <v>1092</v>
      </c>
      <c r="M360" s="9">
        <v>5</v>
      </c>
      <c r="N360" s="16">
        <f>ROUND(IF('Dashboard Visualization'!$U$3="",'Working Data'!$M360,'Working Data'!$M360*(100% +'Dashboard Visualization'!$U$3)),0)</f>
        <v>5</v>
      </c>
      <c r="O360" s="19">
        <v>769.9</v>
      </c>
      <c r="P360" s="20">
        <f>IF('Dashboard Visualization'!$U$2="",'Working Data'!$O360*'Working Data'!$N360,'Working Data'!$O360*'Working Data'!$N360*(100%+'Dashboard Visualization'!$U$2))</f>
        <v>3849.5</v>
      </c>
      <c r="Q360" s="19">
        <v>814.36</v>
      </c>
      <c r="R360" s="20">
        <f t="shared" si="54"/>
        <v>814.36</v>
      </c>
      <c r="S360" s="11">
        <v>0</v>
      </c>
      <c r="T360" s="22">
        <f>IF('Dashboard Visualization'!$U$1="",$S360,IF(S360&gt;'Dashboard Visualization'!$U$1,'Dashboard Visualization'!$U$1,S360))</f>
        <v>0</v>
      </c>
      <c r="U360" s="20">
        <f t="shared" si="55"/>
        <v>4071.8</v>
      </c>
      <c r="V360" s="20">
        <f t="shared" si="56"/>
        <v>222.30000000000018</v>
      </c>
      <c r="W360" s="22">
        <f t="shared" si="52"/>
        <v>5.4595019401738831E-2</v>
      </c>
      <c r="X360" s="28" t="str">
        <f>TEXT(B360,"MMM-YYYY")</f>
        <v>Nov-2024</v>
      </c>
      <c r="Y360" s="7" t="str">
        <f t="shared" si="57"/>
        <v>Q4-2024</v>
      </c>
      <c r="Z360" s="7" t="str">
        <f t="shared" si="58"/>
        <v>High Price</v>
      </c>
      <c r="AA360" s="7" t="str">
        <f t="shared" si="59"/>
        <v>Q4</v>
      </c>
      <c r="AB360" s="28" t="str">
        <f t="shared" si="60"/>
        <v>Nov</v>
      </c>
      <c r="AC360" s="28" t="str">
        <f t="shared" si="61"/>
        <v>2024</v>
      </c>
    </row>
    <row r="361" spans="1:29" x14ac:dyDescent="0.25">
      <c r="A361" s="4" t="s">
        <v>373</v>
      </c>
      <c r="B361" s="14">
        <v>45309</v>
      </c>
      <c r="C361" s="14">
        <v>45325</v>
      </c>
      <c r="D361" s="16">
        <f t="shared" si="53"/>
        <v>16</v>
      </c>
      <c r="E361" s="4" t="s">
        <v>646</v>
      </c>
      <c r="F361" s="4" t="s">
        <v>661</v>
      </c>
      <c r="G361" s="4" t="s">
        <v>695</v>
      </c>
      <c r="H361" s="4" t="s">
        <v>703</v>
      </c>
      <c r="I361" s="4" t="s">
        <v>710</v>
      </c>
      <c r="J361" s="4" t="s">
        <v>716</v>
      </c>
      <c r="K361" s="4" t="s">
        <v>728</v>
      </c>
      <c r="L361" s="4" t="s">
        <v>1093</v>
      </c>
      <c r="M361" s="9">
        <v>13</v>
      </c>
      <c r="N361" s="16">
        <f>ROUND(IF('Dashboard Visualization'!$U$3="",'Working Data'!$M361,'Working Data'!$M361*(100% +'Dashboard Visualization'!$U$3)),0)</f>
        <v>13</v>
      </c>
      <c r="O361" s="19">
        <v>666.23</v>
      </c>
      <c r="P361" s="20">
        <f>IF('Dashboard Visualization'!$U$2="",'Working Data'!$O361*'Working Data'!$N361,'Working Data'!$O361*'Working Data'!$N361*(100%+'Dashboard Visualization'!$U$2))</f>
        <v>8660.99</v>
      </c>
      <c r="Q361" s="19">
        <v>1382.91</v>
      </c>
      <c r="R361" s="20">
        <f t="shared" si="54"/>
        <v>1139.5178400000002</v>
      </c>
      <c r="S361" s="11">
        <v>0.17599999999999999</v>
      </c>
      <c r="T361" s="22">
        <f>IF('Dashboard Visualization'!$U$1="",$S361,IF(S361&gt;'Dashboard Visualization'!$U$1,'Dashboard Visualization'!$U$1,S361))</f>
        <v>0.17599999999999999</v>
      </c>
      <c r="U361" s="20">
        <f t="shared" si="55"/>
        <v>12206.515102080004</v>
      </c>
      <c r="V361" s="20">
        <f t="shared" si="56"/>
        <v>3545.5251020800042</v>
      </c>
      <c r="W361" s="22">
        <f t="shared" si="52"/>
        <v>0.29046169790719734</v>
      </c>
      <c r="X361" s="28" t="str">
        <f>TEXT(B361,"MMM-YYYY")</f>
        <v>Jan-2024</v>
      </c>
      <c r="Y361" s="7" t="str">
        <f t="shared" si="57"/>
        <v>Q1-2024</v>
      </c>
      <c r="Z361" s="7" t="str">
        <f t="shared" si="58"/>
        <v>High Price</v>
      </c>
      <c r="AA361" s="7" t="str">
        <f t="shared" si="59"/>
        <v>Q1</v>
      </c>
      <c r="AB361" s="28" t="str">
        <f t="shared" si="60"/>
        <v>Jan</v>
      </c>
      <c r="AC361" s="28" t="str">
        <f t="shared" si="61"/>
        <v>2024</v>
      </c>
    </row>
    <row r="362" spans="1:29" x14ac:dyDescent="0.25">
      <c r="A362" s="4" t="s">
        <v>374</v>
      </c>
      <c r="B362" s="14">
        <v>45466</v>
      </c>
      <c r="C362" s="14">
        <v>45468</v>
      </c>
      <c r="D362" s="16">
        <f t="shared" si="53"/>
        <v>2</v>
      </c>
      <c r="E362" s="4" t="s">
        <v>649</v>
      </c>
      <c r="F362" s="4" t="s">
        <v>658</v>
      </c>
      <c r="G362" s="4" t="s">
        <v>674</v>
      </c>
      <c r="H362" s="4" t="s">
        <v>705</v>
      </c>
      <c r="I362" s="4" t="s">
        <v>709</v>
      </c>
      <c r="J362" s="4" t="s">
        <v>716</v>
      </c>
      <c r="K362" s="4" t="s">
        <v>733</v>
      </c>
      <c r="L362" s="4" t="s">
        <v>1094</v>
      </c>
      <c r="M362" s="9">
        <v>24</v>
      </c>
      <c r="N362" s="16">
        <f>ROUND(IF('Dashboard Visualization'!$U$3="",'Working Data'!$M362,'Working Data'!$M362*(100% +'Dashboard Visualization'!$U$3)),0)</f>
        <v>24</v>
      </c>
      <c r="O362" s="19">
        <v>951.44</v>
      </c>
      <c r="P362" s="20">
        <f>IF('Dashboard Visualization'!$U$2="",'Working Data'!$O362*'Working Data'!$N362,'Working Data'!$O362*'Working Data'!$N362*(100%+'Dashboard Visualization'!$U$2))</f>
        <v>22834.560000000001</v>
      </c>
      <c r="Q362" s="19">
        <v>1646.43</v>
      </c>
      <c r="R362" s="20">
        <f t="shared" si="54"/>
        <v>1465.3227000000002</v>
      </c>
      <c r="S362" s="11">
        <v>0.11</v>
      </c>
      <c r="T362" s="22">
        <f>IF('Dashboard Visualization'!$U$1="",$S362,IF(S362&gt;'Dashboard Visualization'!$U$1,'Dashboard Visualization'!$U$1,S362))</f>
        <v>0.11</v>
      </c>
      <c r="U362" s="20">
        <f t="shared" si="55"/>
        <v>31299.292872000005</v>
      </c>
      <c r="V362" s="20">
        <f t="shared" si="56"/>
        <v>8464.7328720000041</v>
      </c>
      <c r="W362" s="22">
        <f t="shared" si="52"/>
        <v>0.27044485978060095</v>
      </c>
      <c r="X362" s="28" t="str">
        <f>TEXT(B362,"MMM-YYYY")</f>
        <v>Jun-2024</v>
      </c>
      <c r="Y362" s="7" t="str">
        <f t="shared" si="57"/>
        <v>Q2-2024</v>
      </c>
      <c r="Z362" s="7" t="str">
        <f t="shared" si="58"/>
        <v>High Price</v>
      </c>
      <c r="AA362" s="7" t="str">
        <f t="shared" si="59"/>
        <v>Q2</v>
      </c>
      <c r="AB362" s="28" t="str">
        <f t="shared" si="60"/>
        <v>Jun</v>
      </c>
      <c r="AC362" s="28" t="str">
        <f t="shared" si="61"/>
        <v>2024</v>
      </c>
    </row>
    <row r="363" spans="1:29" x14ac:dyDescent="0.25">
      <c r="A363" s="4" t="s">
        <v>375</v>
      </c>
      <c r="B363" s="14">
        <v>45833</v>
      </c>
      <c r="C363" s="14">
        <v>45848</v>
      </c>
      <c r="D363" s="16">
        <f t="shared" si="53"/>
        <v>15</v>
      </c>
      <c r="E363" s="4" t="s">
        <v>649</v>
      </c>
      <c r="F363" s="4" t="s">
        <v>658</v>
      </c>
      <c r="G363" s="4" t="s">
        <v>674</v>
      </c>
      <c r="H363" s="4" t="s">
        <v>703</v>
      </c>
      <c r="I363" s="4" t="s">
        <v>709</v>
      </c>
      <c r="J363" s="4" t="s">
        <v>726</v>
      </c>
      <c r="K363" s="4" t="s">
        <v>730</v>
      </c>
      <c r="L363" s="4" t="s">
        <v>1095</v>
      </c>
      <c r="M363" s="9">
        <v>13</v>
      </c>
      <c r="N363" s="16">
        <f>ROUND(IF('Dashboard Visualization'!$U$3="",'Working Data'!$M363,'Working Data'!$M363*(100% +'Dashboard Visualization'!$U$3)),0)</f>
        <v>13</v>
      </c>
      <c r="O363" s="19">
        <v>546.83000000000004</v>
      </c>
      <c r="P363" s="20">
        <f>IF('Dashboard Visualization'!$U$2="",'Working Data'!$O363*'Working Data'!$N363,'Working Data'!$O363*'Working Data'!$N363*(100%+'Dashboard Visualization'!$U$2))</f>
        <v>7108.7900000000009</v>
      </c>
      <c r="Q363" s="19">
        <v>400.84</v>
      </c>
      <c r="R363" s="20">
        <f t="shared" si="54"/>
        <v>369.57447999999999</v>
      </c>
      <c r="S363" s="11">
        <v>7.8E-2</v>
      </c>
      <c r="T363" s="22">
        <f>IF('Dashboard Visualization'!$U$1="",$S363,IF(S363&gt;'Dashboard Visualization'!$U$1,'Dashboard Visualization'!$U$1,S363))</f>
        <v>7.8E-2</v>
      </c>
      <c r="U363" s="20">
        <f t="shared" si="55"/>
        <v>4429.7197172800006</v>
      </c>
      <c r="V363" s="20">
        <f t="shared" si="56"/>
        <v>-2679.0702827200003</v>
      </c>
      <c r="W363" s="22">
        <f t="shared" si="52"/>
        <v>0</v>
      </c>
      <c r="X363" s="28" t="str">
        <f>TEXT(B363,"MMM-YYYY")</f>
        <v>Jun-2025</v>
      </c>
      <c r="Y363" s="7" t="str">
        <f t="shared" si="57"/>
        <v>Q2-2025</v>
      </c>
      <c r="Z363" s="7" t="str">
        <f t="shared" si="58"/>
        <v>Low Price</v>
      </c>
      <c r="AA363" s="7" t="str">
        <f t="shared" si="59"/>
        <v>Q2</v>
      </c>
      <c r="AB363" s="28" t="str">
        <f t="shared" si="60"/>
        <v>Jun</v>
      </c>
      <c r="AC363" s="28" t="str">
        <f t="shared" si="61"/>
        <v>2025</v>
      </c>
    </row>
    <row r="364" spans="1:29" x14ac:dyDescent="0.25">
      <c r="A364" s="4" t="s">
        <v>376</v>
      </c>
      <c r="B364" s="14">
        <v>45108</v>
      </c>
      <c r="C364" s="14">
        <v>45115</v>
      </c>
      <c r="D364" s="16">
        <f t="shared" si="53"/>
        <v>7</v>
      </c>
      <c r="E364" s="4" t="s">
        <v>646</v>
      </c>
      <c r="F364" s="4" t="s">
        <v>651</v>
      </c>
      <c r="G364" s="4" t="s">
        <v>663</v>
      </c>
      <c r="H364" s="4" t="s">
        <v>701</v>
      </c>
      <c r="I364" s="4" t="s">
        <v>707</v>
      </c>
      <c r="J364" s="4" t="s">
        <v>720</v>
      </c>
      <c r="K364" s="4" t="s">
        <v>731</v>
      </c>
      <c r="L364" s="4" t="s">
        <v>1096</v>
      </c>
      <c r="M364" s="9">
        <v>47</v>
      </c>
      <c r="N364" s="16">
        <f>ROUND(IF('Dashboard Visualization'!$U$3="",'Working Data'!$M364,'Working Data'!$M364*(100% +'Dashboard Visualization'!$U$3)),0)</f>
        <v>47</v>
      </c>
      <c r="O364" s="19">
        <v>834.26</v>
      </c>
      <c r="P364" s="20">
        <f>IF('Dashboard Visualization'!$U$2="",'Working Data'!$O364*'Working Data'!$N364,'Working Data'!$O364*'Working Data'!$N364*(100%+'Dashboard Visualization'!$U$2))</f>
        <v>39210.22</v>
      </c>
      <c r="Q364" s="19">
        <v>1780.56</v>
      </c>
      <c r="R364" s="20">
        <f t="shared" si="54"/>
        <v>1755.6321599999999</v>
      </c>
      <c r="S364" s="11">
        <v>1.4E-2</v>
      </c>
      <c r="T364" s="22">
        <f>IF('Dashboard Visualization'!$U$1="",$S364,IF(S364&gt;'Dashboard Visualization'!$U$1,'Dashboard Visualization'!$U$1,S364))</f>
        <v>1.4E-2</v>
      </c>
      <c r="U364" s="20">
        <f t="shared" si="55"/>
        <v>81359.505558719989</v>
      </c>
      <c r="V364" s="20">
        <f t="shared" si="56"/>
        <v>42149.285558719988</v>
      </c>
      <c r="W364" s="22">
        <f t="shared" si="52"/>
        <v>0.51806221374218386</v>
      </c>
      <c r="X364" s="28" t="str">
        <f>TEXT(B364,"MMM-YYYY")</f>
        <v>Jul-2023</v>
      </c>
      <c r="Y364" s="7" t="str">
        <f t="shared" si="57"/>
        <v>Q3-2023</v>
      </c>
      <c r="Z364" s="7" t="str">
        <f t="shared" si="58"/>
        <v>Medium Price</v>
      </c>
      <c r="AA364" s="7" t="str">
        <f t="shared" si="59"/>
        <v>Q3</v>
      </c>
      <c r="AB364" s="28" t="str">
        <f t="shared" si="60"/>
        <v>Jul</v>
      </c>
      <c r="AC364" s="28" t="str">
        <f t="shared" si="61"/>
        <v>2023</v>
      </c>
    </row>
    <row r="365" spans="1:29" x14ac:dyDescent="0.25">
      <c r="A365" s="4" t="s">
        <v>377</v>
      </c>
      <c r="B365" s="14">
        <v>45360</v>
      </c>
      <c r="C365" s="14">
        <v>45377</v>
      </c>
      <c r="D365" s="16">
        <f t="shared" si="53"/>
        <v>17</v>
      </c>
      <c r="E365" s="4" t="s">
        <v>647</v>
      </c>
      <c r="F365" s="4" t="s">
        <v>659</v>
      </c>
      <c r="G365" s="4" t="s">
        <v>676</v>
      </c>
      <c r="H365" s="4" t="s">
        <v>706</v>
      </c>
      <c r="I365" s="4" t="s">
        <v>708</v>
      </c>
      <c r="J365" s="4" t="s">
        <v>723</v>
      </c>
      <c r="K365" s="4" t="s">
        <v>732</v>
      </c>
      <c r="L365" s="4" t="s">
        <v>1097</v>
      </c>
      <c r="M365" s="9">
        <v>9</v>
      </c>
      <c r="N365" s="16">
        <f>ROUND(IF('Dashboard Visualization'!$U$3="",'Working Data'!$M365,'Working Data'!$M365*(100% +'Dashboard Visualization'!$U$3)),0)</f>
        <v>9</v>
      </c>
      <c r="O365" s="19">
        <v>1029.67</v>
      </c>
      <c r="P365" s="20">
        <f>IF('Dashboard Visualization'!$U$2="",'Working Data'!$O365*'Working Data'!$N365,'Working Data'!$O365*'Working Data'!$N365*(100%+'Dashboard Visualization'!$U$2))</f>
        <v>9267.0300000000007</v>
      </c>
      <c r="Q365" s="19">
        <v>1118.43</v>
      </c>
      <c r="R365" s="20">
        <f t="shared" si="54"/>
        <v>814.21704</v>
      </c>
      <c r="S365" s="11">
        <v>0.27200000000000002</v>
      </c>
      <c r="T365" s="22">
        <f>IF('Dashboard Visualization'!$U$1="",$S365,IF(S365&gt;'Dashboard Visualization'!$U$1,'Dashboard Visualization'!$U$1,S365))</f>
        <v>0.27200000000000002</v>
      </c>
      <c r="U365" s="20">
        <f t="shared" si="55"/>
        <v>5334.7500460800002</v>
      </c>
      <c r="V365" s="20">
        <f t="shared" si="56"/>
        <v>-3932.2799539200005</v>
      </c>
      <c r="W365" s="22">
        <f t="shared" si="52"/>
        <v>0</v>
      </c>
      <c r="X365" s="28" t="str">
        <f>TEXT(B365,"MMM-YYYY")</f>
        <v>Mar-2024</v>
      </c>
      <c r="Y365" s="7" t="str">
        <f t="shared" si="57"/>
        <v>Q1-2024</v>
      </c>
      <c r="Z365" s="7" t="str">
        <f t="shared" si="58"/>
        <v>High Price</v>
      </c>
      <c r="AA365" s="7" t="str">
        <f t="shared" si="59"/>
        <v>Q1</v>
      </c>
      <c r="AB365" s="28" t="str">
        <f t="shared" si="60"/>
        <v>Mar</v>
      </c>
      <c r="AC365" s="28" t="str">
        <f t="shared" si="61"/>
        <v>2024</v>
      </c>
    </row>
    <row r="366" spans="1:29" x14ac:dyDescent="0.25">
      <c r="A366" s="4" t="s">
        <v>378</v>
      </c>
      <c r="B366" s="14">
        <v>45082</v>
      </c>
      <c r="C366" s="14">
        <v>45105</v>
      </c>
      <c r="D366" s="16">
        <f t="shared" si="53"/>
        <v>23</v>
      </c>
      <c r="E366" s="4" t="s">
        <v>649</v>
      </c>
      <c r="F366" s="4" t="s">
        <v>658</v>
      </c>
      <c r="G366" s="4" t="s">
        <v>674</v>
      </c>
      <c r="H366" s="4" t="s">
        <v>701</v>
      </c>
      <c r="I366" s="4" t="s">
        <v>711</v>
      </c>
      <c r="J366" s="4" t="s">
        <v>723</v>
      </c>
      <c r="K366" s="4" t="s">
        <v>728</v>
      </c>
      <c r="L366" s="4" t="s">
        <v>1098</v>
      </c>
      <c r="M366" s="9">
        <v>19</v>
      </c>
      <c r="N366" s="16">
        <f>ROUND(IF('Dashboard Visualization'!$U$3="",'Working Data'!$M366,'Working Data'!$M366*(100% +'Dashboard Visualization'!$U$3)),0)</f>
        <v>19</v>
      </c>
      <c r="O366" s="19">
        <v>605.82000000000005</v>
      </c>
      <c r="P366" s="20">
        <f>IF('Dashboard Visualization'!$U$2="",'Working Data'!$O366*'Working Data'!$N366,'Working Data'!$O366*'Working Data'!$N366*(100%+'Dashboard Visualization'!$U$2))</f>
        <v>11510.580000000002</v>
      </c>
      <c r="Q366" s="19">
        <v>771.12</v>
      </c>
      <c r="R366" s="20">
        <f t="shared" si="54"/>
        <v>669.33216000000004</v>
      </c>
      <c r="S366" s="11">
        <v>0.13200000000000001</v>
      </c>
      <c r="T366" s="22">
        <f>IF('Dashboard Visualization'!$U$1="",$S366,IF(S366&gt;'Dashboard Visualization'!$U$1,'Dashboard Visualization'!$U$1,S366))</f>
        <v>0.13200000000000001</v>
      </c>
      <c r="U366" s="20">
        <f t="shared" si="55"/>
        <v>11038.625982720001</v>
      </c>
      <c r="V366" s="20">
        <f t="shared" si="56"/>
        <v>-471.9540172800007</v>
      </c>
      <c r="W366" s="22">
        <f t="shared" si="52"/>
        <v>0</v>
      </c>
      <c r="X366" s="28" t="str">
        <f>TEXT(B366,"MMM-YYYY")</f>
        <v>Jun-2023</v>
      </c>
      <c r="Y366" s="7" t="str">
        <f t="shared" si="57"/>
        <v>Q2-2023</v>
      </c>
      <c r="Z366" s="7" t="str">
        <f t="shared" si="58"/>
        <v>High Price</v>
      </c>
      <c r="AA366" s="7" t="str">
        <f t="shared" si="59"/>
        <v>Q2</v>
      </c>
      <c r="AB366" s="28" t="str">
        <f t="shared" si="60"/>
        <v>Jun</v>
      </c>
      <c r="AC366" s="28" t="str">
        <f t="shared" si="61"/>
        <v>2023</v>
      </c>
    </row>
    <row r="367" spans="1:29" x14ac:dyDescent="0.25">
      <c r="A367" s="4" t="s">
        <v>379</v>
      </c>
      <c r="B367" s="14">
        <v>45737</v>
      </c>
      <c r="C367" s="14">
        <v>45756</v>
      </c>
      <c r="D367" s="16">
        <f t="shared" si="53"/>
        <v>19</v>
      </c>
      <c r="E367" s="4" t="s">
        <v>647</v>
      </c>
      <c r="F367" s="4" t="s">
        <v>652</v>
      </c>
      <c r="G367" s="4" t="s">
        <v>689</v>
      </c>
      <c r="H367" s="4" t="s">
        <v>705</v>
      </c>
      <c r="I367" s="4" t="s">
        <v>710</v>
      </c>
      <c r="J367" s="4" t="s">
        <v>718</v>
      </c>
      <c r="K367" s="4" t="s">
        <v>727</v>
      </c>
      <c r="L367" s="4" t="s">
        <v>1099</v>
      </c>
      <c r="M367" s="9">
        <v>18</v>
      </c>
      <c r="N367" s="16">
        <f>ROUND(IF('Dashboard Visualization'!$U$3="",'Working Data'!$M367,'Working Data'!$M367*(100% +'Dashboard Visualization'!$U$3)),0)</f>
        <v>18</v>
      </c>
      <c r="O367" s="19">
        <v>1055.45</v>
      </c>
      <c r="P367" s="20">
        <f>IF('Dashboard Visualization'!$U$2="",'Working Data'!$O367*'Working Data'!$N367,'Working Data'!$O367*'Working Data'!$N367*(100%+'Dashboard Visualization'!$U$2))</f>
        <v>18998.100000000002</v>
      </c>
      <c r="Q367" s="19">
        <v>1210.04</v>
      </c>
      <c r="R367" s="20">
        <f t="shared" si="54"/>
        <v>1199.1496399999999</v>
      </c>
      <c r="S367" s="11">
        <v>8.9999999999999993E-3</v>
      </c>
      <c r="T367" s="22">
        <f>IF('Dashboard Visualization'!$U$1="",$S367,IF(S367&gt;'Dashboard Visualization'!$U$1,'Dashboard Visualization'!$U$1,S367))</f>
        <v>8.9999999999999993E-3</v>
      </c>
      <c r="U367" s="20">
        <f t="shared" si="55"/>
        <v>21390.431278319997</v>
      </c>
      <c r="V367" s="20">
        <f t="shared" si="56"/>
        <v>2392.3312783199945</v>
      </c>
      <c r="W367" s="22">
        <f t="shared" si="52"/>
        <v>0.11184118951097129</v>
      </c>
      <c r="X367" s="28" t="str">
        <f>TEXT(B367,"MMM-YYYY")</f>
        <v>Mar-2025</v>
      </c>
      <c r="Y367" s="7" t="str">
        <f t="shared" si="57"/>
        <v>Q1-2025</v>
      </c>
      <c r="Z367" s="7" t="str">
        <f t="shared" si="58"/>
        <v>High Price</v>
      </c>
      <c r="AA367" s="7" t="str">
        <f t="shared" si="59"/>
        <v>Q1</v>
      </c>
      <c r="AB367" s="28" t="str">
        <f t="shared" si="60"/>
        <v>Mar</v>
      </c>
      <c r="AC367" s="28" t="str">
        <f t="shared" si="61"/>
        <v>2025</v>
      </c>
    </row>
    <row r="368" spans="1:29" x14ac:dyDescent="0.25">
      <c r="A368" s="4" t="s">
        <v>380</v>
      </c>
      <c r="B368" s="14">
        <v>45445</v>
      </c>
      <c r="C368" s="14">
        <v>45458</v>
      </c>
      <c r="D368" s="16">
        <f t="shared" si="53"/>
        <v>13</v>
      </c>
      <c r="E368" s="4" t="s">
        <v>646</v>
      </c>
      <c r="F368" s="4" t="s">
        <v>650</v>
      </c>
      <c r="G368" s="4" t="s">
        <v>675</v>
      </c>
      <c r="H368" s="4" t="s">
        <v>702</v>
      </c>
      <c r="I368" s="4" t="s">
        <v>708</v>
      </c>
      <c r="J368" s="4" t="s">
        <v>719</v>
      </c>
      <c r="K368" s="4" t="s">
        <v>730</v>
      </c>
      <c r="L368" s="4" t="s">
        <v>1100</v>
      </c>
      <c r="M368" s="9">
        <v>8</v>
      </c>
      <c r="N368" s="16">
        <f>ROUND(IF('Dashboard Visualization'!$U$3="",'Working Data'!$M368,'Working Data'!$M368*(100% +'Dashboard Visualization'!$U$3)),0)</f>
        <v>8</v>
      </c>
      <c r="O368" s="19">
        <v>1295.18</v>
      </c>
      <c r="P368" s="20">
        <f>IF('Dashboard Visualization'!$U$2="",'Working Data'!$O368*'Working Data'!$N368,'Working Data'!$O368*'Working Data'!$N368*(100%+'Dashboard Visualization'!$U$2))</f>
        <v>10361.44</v>
      </c>
      <c r="Q368" s="19">
        <v>3024.03</v>
      </c>
      <c r="R368" s="20">
        <f t="shared" si="54"/>
        <v>2443.4162400000005</v>
      </c>
      <c r="S368" s="11">
        <v>0.192</v>
      </c>
      <c r="T368" s="22">
        <f>IF('Dashboard Visualization'!$U$1="",$S368,IF(S368&gt;'Dashboard Visualization'!$U$1,'Dashboard Visualization'!$U$1,S368))</f>
        <v>0.192</v>
      </c>
      <c r="U368" s="20">
        <f t="shared" si="55"/>
        <v>15794.242575360004</v>
      </c>
      <c r="V368" s="20">
        <f t="shared" si="56"/>
        <v>5432.8025753600032</v>
      </c>
      <c r="W368" s="22">
        <f t="shared" si="52"/>
        <v>0.34397360616934625</v>
      </c>
      <c r="X368" s="28" t="str">
        <f>TEXT(B368,"MMM-YYYY")</f>
        <v>Jun-2024</v>
      </c>
      <c r="Y368" s="7" t="str">
        <f t="shared" si="57"/>
        <v>Q2-2024</v>
      </c>
      <c r="Z368" s="7" t="str">
        <f t="shared" si="58"/>
        <v>Medium Price</v>
      </c>
      <c r="AA368" s="7" t="str">
        <f t="shared" si="59"/>
        <v>Q2</v>
      </c>
      <c r="AB368" s="28" t="str">
        <f t="shared" si="60"/>
        <v>Jun</v>
      </c>
      <c r="AC368" s="28" t="str">
        <f t="shared" si="61"/>
        <v>2024</v>
      </c>
    </row>
    <row r="369" spans="1:29" x14ac:dyDescent="0.25">
      <c r="A369" s="4" t="s">
        <v>381</v>
      </c>
      <c r="B369" s="14">
        <v>45731</v>
      </c>
      <c r="C369" s="14">
        <v>45745</v>
      </c>
      <c r="D369" s="16">
        <f t="shared" si="53"/>
        <v>14</v>
      </c>
      <c r="E369" s="4" t="s">
        <v>647</v>
      </c>
      <c r="F369" s="4" t="s">
        <v>654</v>
      </c>
      <c r="G369" s="4" t="s">
        <v>691</v>
      </c>
      <c r="H369" s="4" t="s">
        <v>706</v>
      </c>
      <c r="I369" s="4" t="s">
        <v>711</v>
      </c>
      <c r="J369" s="4" t="s">
        <v>712</v>
      </c>
      <c r="K369" s="4" t="s">
        <v>727</v>
      </c>
      <c r="L369" s="4" t="s">
        <v>1101</v>
      </c>
      <c r="M369" s="9">
        <v>9</v>
      </c>
      <c r="N369" s="16">
        <f>ROUND(IF('Dashboard Visualization'!$U$3="",'Working Data'!$M369,'Working Data'!$M369*(100% +'Dashboard Visualization'!$U$3)),0)</f>
        <v>9</v>
      </c>
      <c r="O369" s="19">
        <v>935.83</v>
      </c>
      <c r="P369" s="20">
        <f>IF('Dashboard Visualization'!$U$2="",'Working Data'!$O369*'Working Data'!$N369,'Working Data'!$O369*'Working Data'!$N369*(100%+'Dashboard Visualization'!$U$2))</f>
        <v>8422.4700000000012</v>
      </c>
      <c r="Q369" s="19">
        <v>2303.46</v>
      </c>
      <c r="R369" s="20">
        <f t="shared" si="54"/>
        <v>2061.5967000000001</v>
      </c>
      <c r="S369" s="11">
        <v>0.105</v>
      </c>
      <c r="T369" s="22">
        <f>IF('Dashboard Visualization'!$U$1="",$S369,IF(S369&gt;'Dashboard Visualization'!$U$1,'Dashboard Visualization'!$U$1,S369))</f>
        <v>0.105</v>
      </c>
      <c r="U369" s="20">
        <f t="shared" si="55"/>
        <v>16606.1614185</v>
      </c>
      <c r="V369" s="20">
        <f t="shared" si="56"/>
        <v>8183.6914184999987</v>
      </c>
      <c r="W369" s="22">
        <f t="shared" si="52"/>
        <v>0.49281054256060669</v>
      </c>
      <c r="X369" s="28" t="str">
        <f>TEXT(B369,"MMM-YYYY")</f>
        <v>Mar-2025</v>
      </c>
      <c r="Y369" s="7" t="str">
        <f t="shared" si="57"/>
        <v>Q1-2025</v>
      </c>
      <c r="Z369" s="7" t="str">
        <f t="shared" si="58"/>
        <v>Medium Price</v>
      </c>
      <c r="AA369" s="7" t="str">
        <f t="shared" si="59"/>
        <v>Q1</v>
      </c>
      <c r="AB369" s="28" t="str">
        <f t="shared" si="60"/>
        <v>Mar</v>
      </c>
      <c r="AC369" s="28" t="str">
        <f t="shared" si="61"/>
        <v>2025</v>
      </c>
    </row>
    <row r="370" spans="1:29" x14ac:dyDescent="0.25">
      <c r="A370" s="4" t="s">
        <v>382</v>
      </c>
      <c r="B370" s="14">
        <v>45194</v>
      </c>
      <c r="C370" s="14">
        <v>45208</v>
      </c>
      <c r="D370" s="16">
        <f t="shared" si="53"/>
        <v>14</v>
      </c>
      <c r="E370" s="4" t="s">
        <v>648</v>
      </c>
      <c r="F370" s="4" t="s">
        <v>660</v>
      </c>
      <c r="G370" s="4" t="s">
        <v>700</v>
      </c>
      <c r="H370" s="4" t="s">
        <v>705</v>
      </c>
      <c r="I370" s="4" t="s">
        <v>709</v>
      </c>
      <c r="J370" s="4" t="s">
        <v>713</v>
      </c>
      <c r="K370" s="4" t="s">
        <v>731</v>
      </c>
      <c r="L370" s="4" t="s">
        <v>1102</v>
      </c>
      <c r="M370" s="9">
        <v>5</v>
      </c>
      <c r="N370" s="16">
        <f>ROUND(IF('Dashboard Visualization'!$U$3="",'Working Data'!$M370,'Working Data'!$M370*(100% +'Dashboard Visualization'!$U$3)),0)</f>
        <v>5</v>
      </c>
      <c r="O370" s="19">
        <v>1279.56</v>
      </c>
      <c r="P370" s="20">
        <f>IF('Dashboard Visualization'!$U$2="",'Working Data'!$O370*'Working Data'!$N370,'Working Data'!$O370*'Working Data'!$N370*(100%+'Dashboard Visualization'!$U$2))</f>
        <v>6397.7999999999993</v>
      </c>
      <c r="Q370" s="19">
        <v>3083.8</v>
      </c>
      <c r="R370" s="20">
        <f t="shared" si="54"/>
        <v>2756.9172000000003</v>
      </c>
      <c r="S370" s="11">
        <v>0.106</v>
      </c>
      <c r="T370" s="22">
        <f>IF('Dashboard Visualization'!$U$1="",$S370,IF(S370&gt;'Dashboard Visualization'!$U$1,'Dashboard Visualization'!$U$1,S370))</f>
        <v>0.106</v>
      </c>
      <c r="U370" s="20">
        <f t="shared" si="55"/>
        <v>12323.419884000003</v>
      </c>
      <c r="V370" s="20">
        <f t="shared" si="56"/>
        <v>5925.6198840000034</v>
      </c>
      <c r="W370" s="22">
        <f t="shared" si="52"/>
        <v>0.4808421639267097</v>
      </c>
      <c r="X370" s="28" t="str">
        <f>TEXT(B370,"MMM-YYYY")</f>
        <v>Sep-2023</v>
      </c>
      <c r="Y370" s="7" t="str">
        <f t="shared" si="57"/>
        <v>Q3-2023</v>
      </c>
      <c r="Z370" s="7" t="str">
        <f t="shared" si="58"/>
        <v>Medium Price</v>
      </c>
      <c r="AA370" s="7" t="str">
        <f t="shared" si="59"/>
        <v>Q3</v>
      </c>
      <c r="AB370" s="28" t="str">
        <f t="shared" si="60"/>
        <v>Sep</v>
      </c>
      <c r="AC370" s="28" t="str">
        <f t="shared" si="61"/>
        <v>2023</v>
      </c>
    </row>
    <row r="371" spans="1:29" x14ac:dyDescent="0.25">
      <c r="A371" s="4" t="s">
        <v>383</v>
      </c>
      <c r="B371" s="14">
        <v>45832</v>
      </c>
      <c r="C371" s="14">
        <v>45861</v>
      </c>
      <c r="D371" s="16">
        <f t="shared" si="53"/>
        <v>29</v>
      </c>
      <c r="E371" s="4" t="s">
        <v>648</v>
      </c>
      <c r="F371" s="4" t="s">
        <v>653</v>
      </c>
      <c r="G371" s="4" t="s">
        <v>688</v>
      </c>
      <c r="H371" s="4" t="s">
        <v>703</v>
      </c>
      <c r="I371" s="4" t="s">
        <v>709</v>
      </c>
      <c r="J371" s="4" t="s">
        <v>714</v>
      </c>
      <c r="K371" s="4" t="s">
        <v>728</v>
      </c>
      <c r="L371" s="4" t="s">
        <v>1103</v>
      </c>
      <c r="M371" s="9">
        <v>16</v>
      </c>
      <c r="N371" s="16">
        <f>ROUND(IF('Dashboard Visualization'!$U$3="",'Working Data'!$M371,'Working Data'!$M371*(100% +'Dashboard Visualization'!$U$3)),0)</f>
        <v>16</v>
      </c>
      <c r="O371" s="19">
        <v>255.4</v>
      </c>
      <c r="P371" s="20">
        <f>IF('Dashboard Visualization'!$U$2="",'Working Data'!$O371*'Working Data'!$N371,'Working Data'!$O371*'Working Data'!$N371*(100%+'Dashboard Visualization'!$U$2))</f>
        <v>4086.4</v>
      </c>
      <c r="Q371" s="19">
        <v>322.70999999999998</v>
      </c>
      <c r="R371" s="20">
        <f t="shared" si="54"/>
        <v>285.59834999999998</v>
      </c>
      <c r="S371" s="11">
        <v>0.115</v>
      </c>
      <c r="T371" s="22">
        <f>IF('Dashboard Visualization'!$U$1="",$S371,IF(S371&gt;'Dashboard Visualization'!$U$1,'Dashboard Visualization'!$U$1,S371))</f>
        <v>0.115</v>
      </c>
      <c r="U371" s="20">
        <f t="shared" si="55"/>
        <v>4044.0726359999999</v>
      </c>
      <c r="V371" s="20">
        <f t="shared" si="56"/>
        <v>-42.327364000000216</v>
      </c>
      <c r="W371" s="22">
        <f t="shared" si="52"/>
        <v>0</v>
      </c>
      <c r="X371" s="28" t="str">
        <f>TEXT(B371,"MMM-YYYY")</f>
        <v>Jun-2025</v>
      </c>
      <c r="Y371" s="7" t="str">
        <f t="shared" si="57"/>
        <v>Q2-2025</v>
      </c>
      <c r="Z371" s="7" t="str">
        <f t="shared" si="58"/>
        <v>Low Price</v>
      </c>
      <c r="AA371" s="7" t="str">
        <f t="shared" si="59"/>
        <v>Q2</v>
      </c>
      <c r="AB371" s="28" t="str">
        <f t="shared" si="60"/>
        <v>Jun</v>
      </c>
      <c r="AC371" s="28" t="str">
        <f t="shared" si="61"/>
        <v>2025</v>
      </c>
    </row>
    <row r="372" spans="1:29" x14ac:dyDescent="0.25">
      <c r="A372" s="4" t="s">
        <v>384</v>
      </c>
      <c r="B372" s="14">
        <v>45286</v>
      </c>
      <c r="C372" s="14">
        <v>45294</v>
      </c>
      <c r="D372" s="16">
        <f t="shared" si="53"/>
        <v>8</v>
      </c>
      <c r="E372" s="4" t="s">
        <v>649</v>
      </c>
      <c r="F372" s="4" t="s">
        <v>657</v>
      </c>
      <c r="G372" s="4" t="s">
        <v>679</v>
      </c>
      <c r="H372" s="4" t="s">
        <v>705</v>
      </c>
      <c r="I372" s="4" t="s">
        <v>707</v>
      </c>
      <c r="J372" s="4" t="s">
        <v>724</v>
      </c>
      <c r="K372" s="4" t="s">
        <v>731</v>
      </c>
      <c r="L372" s="4" t="s">
        <v>1104</v>
      </c>
      <c r="M372" s="9">
        <v>6</v>
      </c>
      <c r="N372" s="16">
        <f>ROUND(IF('Dashboard Visualization'!$U$3="",'Working Data'!$M372,'Working Data'!$M372*(100% +'Dashboard Visualization'!$U$3)),0)</f>
        <v>6</v>
      </c>
      <c r="O372" s="19">
        <v>492.75</v>
      </c>
      <c r="P372" s="20">
        <f>IF('Dashboard Visualization'!$U$2="",'Working Data'!$O372*'Working Data'!$N372,'Working Data'!$O372*'Working Data'!$N372*(100%+'Dashboard Visualization'!$U$2))</f>
        <v>2956.5</v>
      </c>
      <c r="Q372" s="19">
        <v>731.29</v>
      </c>
      <c r="R372" s="20">
        <f t="shared" si="54"/>
        <v>688.87517999999989</v>
      </c>
      <c r="S372" s="11">
        <v>5.8000000000000003E-2</v>
      </c>
      <c r="T372" s="22">
        <f>IF('Dashboard Visualization'!$U$1="",$S372,IF(S372&gt;'Dashboard Visualization'!$U$1,'Dashboard Visualization'!$U$1,S372))</f>
        <v>5.8000000000000003E-2</v>
      </c>
      <c r="U372" s="20">
        <f t="shared" si="55"/>
        <v>3893.5225173599993</v>
      </c>
      <c r="V372" s="20">
        <f t="shared" si="56"/>
        <v>937.02251735999926</v>
      </c>
      <c r="W372" s="22">
        <f t="shared" si="52"/>
        <v>0.24066189759584256</v>
      </c>
      <c r="X372" s="28" t="str">
        <f>TEXT(B372,"MMM-YYYY")</f>
        <v>Dec-2023</v>
      </c>
      <c r="Y372" s="7" t="str">
        <f t="shared" si="57"/>
        <v>Q4-2023</v>
      </c>
      <c r="Z372" s="7" t="str">
        <f t="shared" si="58"/>
        <v>High Price</v>
      </c>
      <c r="AA372" s="7" t="str">
        <f t="shared" si="59"/>
        <v>Q4</v>
      </c>
      <c r="AB372" s="28" t="str">
        <f t="shared" si="60"/>
        <v>Dec</v>
      </c>
      <c r="AC372" s="28" t="str">
        <f t="shared" si="61"/>
        <v>2023</v>
      </c>
    </row>
    <row r="373" spans="1:29" x14ac:dyDescent="0.25">
      <c r="A373" s="4" t="s">
        <v>385</v>
      </c>
      <c r="B373" s="14">
        <v>44962</v>
      </c>
      <c r="C373" s="14">
        <v>44985</v>
      </c>
      <c r="D373" s="16">
        <f t="shared" si="53"/>
        <v>23</v>
      </c>
      <c r="E373" s="4" t="s">
        <v>648</v>
      </c>
      <c r="F373" s="4" t="s">
        <v>660</v>
      </c>
      <c r="G373" s="4" t="s">
        <v>697</v>
      </c>
      <c r="H373" s="4" t="s">
        <v>703</v>
      </c>
      <c r="I373" s="4" t="s">
        <v>710</v>
      </c>
      <c r="J373" s="4" t="s">
        <v>716</v>
      </c>
      <c r="K373" s="4" t="s">
        <v>730</v>
      </c>
      <c r="L373" s="4" t="s">
        <v>1105</v>
      </c>
      <c r="M373" s="9">
        <v>11</v>
      </c>
      <c r="N373" s="16">
        <f>ROUND(IF('Dashboard Visualization'!$U$3="",'Working Data'!$M373,'Working Data'!$M373*(100% +'Dashboard Visualization'!$U$3)),0)</f>
        <v>11</v>
      </c>
      <c r="O373" s="19">
        <v>1214.49</v>
      </c>
      <c r="P373" s="20">
        <f>IF('Dashboard Visualization'!$U$2="",'Working Data'!$O373*'Working Data'!$N373,'Working Data'!$O373*'Working Data'!$N373*(100%+'Dashboard Visualization'!$U$2))</f>
        <v>13359.39</v>
      </c>
      <c r="Q373" s="19">
        <v>1533.95</v>
      </c>
      <c r="R373" s="20">
        <f t="shared" si="54"/>
        <v>1533.95</v>
      </c>
      <c r="S373" s="11">
        <v>0</v>
      </c>
      <c r="T373" s="22">
        <f>IF('Dashboard Visualization'!$U$1="",$S373,IF(S373&gt;'Dashboard Visualization'!$U$1,'Dashboard Visualization'!$U$1,S373))</f>
        <v>0</v>
      </c>
      <c r="U373" s="20">
        <f t="shared" si="55"/>
        <v>16873.45</v>
      </c>
      <c r="V373" s="20">
        <f t="shared" si="56"/>
        <v>3514.0600000000013</v>
      </c>
      <c r="W373" s="22">
        <f t="shared" si="52"/>
        <v>0.20825972163369086</v>
      </c>
      <c r="X373" s="28" t="str">
        <f>TEXT(B373,"MMM-YYYY")</f>
        <v>Feb-2023</v>
      </c>
      <c r="Y373" s="7" t="str">
        <f t="shared" si="57"/>
        <v>Q1-2023</v>
      </c>
      <c r="Z373" s="7" t="str">
        <f t="shared" si="58"/>
        <v>High Price</v>
      </c>
      <c r="AA373" s="7" t="str">
        <f t="shared" si="59"/>
        <v>Q1</v>
      </c>
      <c r="AB373" s="28" t="str">
        <f t="shared" si="60"/>
        <v>Feb</v>
      </c>
      <c r="AC373" s="28" t="str">
        <f t="shared" si="61"/>
        <v>2023</v>
      </c>
    </row>
    <row r="374" spans="1:29" x14ac:dyDescent="0.25">
      <c r="A374" s="4" t="s">
        <v>386</v>
      </c>
      <c r="B374" s="14">
        <v>45022</v>
      </c>
      <c r="C374" s="14">
        <v>45024</v>
      </c>
      <c r="D374" s="16">
        <f t="shared" si="53"/>
        <v>2</v>
      </c>
      <c r="E374" s="4" t="s">
        <v>646</v>
      </c>
      <c r="F374" s="4" t="s">
        <v>651</v>
      </c>
      <c r="G374" s="4" t="s">
        <v>669</v>
      </c>
      <c r="H374" s="4" t="s">
        <v>705</v>
      </c>
      <c r="I374" s="4" t="s">
        <v>709</v>
      </c>
      <c r="J374" s="4" t="s">
        <v>723</v>
      </c>
      <c r="K374" s="4" t="s">
        <v>732</v>
      </c>
      <c r="L374" s="4" t="s">
        <v>1106</v>
      </c>
      <c r="M374" s="9">
        <v>23</v>
      </c>
      <c r="N374" s="16">
        <f>ROUND(IF('Dashboard Visualization'!$U$3="",'Working Data'!$M374,'Working Data'!$M374*(100% +'Dashboard Visualization'!$U$3)),0)</f>
        <v>23</v>
      </c>
      <c r="O374" s="19">
        <v>720.35</v>
      </c>
      <c r="P374" s="20">
        <f>IF('Dashboard Visualization'!$U$2="",'Working Data'!$O374*'Working Data'!$N374,'Working Data'!$O374*'Working Data'!$N374*(100%+'Dashboard Visualization'!$U$2))</f>
        <v>16568.05</v>
      </c>
      <c r="Q374" s="19">
        <v>1571.66</v>
      </c>
      <c r="R374" s="20">
        <f t="shared" si="54"/>
        <v>1403.4923800000001</v>
      </c>
      <c r="S374" s="11">
        <v>0.107</v>
      </c>
      <c r="T374" s="22">
        <f>IF('Dashboard Visualization'!$U$1="",$S374,IF(S374&gt;'Dashboard Visualization'!$U$1,'Dashboard Visualization'!$U$1,S374))</f>
        <v>0.107</v>
      </c>
      <c r="U374" s="20">
        <f t="shared" si="55"/>
        <v>28826.329992820003</v>
      </c>
      <c r="V374" s="20">
        <f t="shared" si="56"/>
        <v>12258.279992820004</v>
      </c>
      <c r="W374" s="22">
        <f t="shared" si="52"/>
        <v>0.42524594687819323</v>
      </c>
      <c r="X374" s="28" t="str">
        <f>TEXT(B374,"MMM-YYYY")</f>
        <v>Apr-2023</v>
      </c>
      <c r="Y374" s="7" t="str">
        <f t="shared" si="57"/>
        <v>Q2-2023</v>
      </c>
      <c r="Z374" s="7" t="str">
        <f t="shared" si="58"/>
        <v>High Price</v>
      </c>
      <c r="AA374" s="7" t="str">
        <f t="shared" si="59"/>
        <v>Q2</v>
      </c>
      <c r="AB374" s="28" t="str">
        <f t="shared" si="60"/>
        <v>Apr</v>
      </c>
      <c r="AC374" s="28" t="str">
        <f t="shared" si="61"/>
        <v>2023</v>
      </c>
    </row>
    <row r="375" spans="1:29" x14ac:dyDescent="0.25">
      <c r="A375" s="4" t="s">
        <v>387</v>
      </c>
      <c r="B375" s="14">
        <v>45751</v>
      </c>
      <c r="C375" s="14">
        <v>45757</v>
      </c>
      <c r="D375" s="16">
        <f t="shared" si="53"/>
        <v>6</v>
      </c>
      <c r="E375" s="4" t="s">
        <v>649</v>
      </c>
      <c r="F375" s="4" t="s">
        <v>658</v>
      </c>
      <c r="G375" s="4" t="s">
        <v>674</v>
      </c>
      <c r="H375" s="4" t="s">
        <v>703</v>
      </c>
      <c r="I375" s="4" t="s">
        <v>711</v>
      </c>
      <c r="J375" s="4" t="s">
        <v>725</v>
      </c>
      <c r="K375" s="4" t="s">
        <v>728</v>
      </c>
      <c r="L375" s="4" t="s">
        <v>1107</v>
      </c>
      <c r="M375" s="9">
        <v>17</v>
      </c>
      <c r="N375" s="16">
        <f>ROUND(IF('Dashboard Visualization'!$U$3="",'Working Data'!$M375,'Working Data'!$M375*(100% +'Dashboard Visualization'!$U$3)),0)</f>
        <v>17</v>
      </c>
      <c r="O375" s="19">
        <v>290.14</v>
      </c>
      <c r="P375" s="20">
        <f>IF('Dashboard Visualization'!$U$2="",'Working Data'!$O375*'Working Data'!$N375,'Working Data'!$O375*'Working Data'!$N375*(100%+'Dashboard Visualization'!$U$2))</f>
        <v>4932.38</v>
      </c>
      <c r="Q375" s="19">
        <v>250.73</v>
      </c>
      <c r="R375" s="20">
        <f t="shared" si="54"/>
        <v>242.20517999999998</v>
      </c>
      <c r="S375" s="11">
        <v>3.4000000000000002E-2</v>
      </c>
      <c r="T375" s="22">
        <f>IF('Dashboard Visualization'!$U$1="",$S375,IF(S375&gt;'Dashboard Visualization'!$U$1,'Dashboard Visualization'!$U$1,S375))</f>
        <v>3.4000000000000002E-2</v>
      </c>
      <c r="U375" s="20">
        <f t="shared" si="55"/>
        <v>3977.4934659599999</v>
      </c>
      <c r="V375" s="20">
        <f t="shared" si="56"/>
        <v>-954.88653404000024</v>
      </c>
      <c r="W375" s="22">
        <f t="shared" si="52"/>
        <v>0</v>
      </c>
      <c r="X375" s="28" t="str">
        <f>TEXT(B375,"MMM-YYYY")</f>
        <v>Apr-2025</v>
      </c>
      <c r="Y375" s="7" t="str">
        <f t="shared" si="57"/>
        <v>Q2-2025</v>
      </c>
      <c r="Z375" s="7" t="str">
        <f t="shared" si="58"/>
        <v>Low Price</v>
      </c>
      <c r="AA375" s="7" t="str">
        <f t="shared" si="59"/>
        <v>Q2</v>
      </c>
      <c r="AB375" s="28" t="str">
        <f t="shared" si="60"/>
        <v>Apr</v>
      </c>
      <c r="AC375" s="28" t="str">
        <f t="shared" si="61"/>
        <v>2025</v>
      </c>
    </row>
    <row r="376" spans="1:29" x14ac:dyDescent="0.25">
      <c r="A376" s="4" t="s">
        <v>388</v>
      </c>
      <c r="B376" s="14">
        <v>45429</v>
      </c>
      <c r="C376" s="14">
        <v>45439</v>
      </c>
      <c r="D376" s="16">
        <f t="shared" si="53"/>
        <v>10</v>
      </c>
      <c r="E376" s="4" t="s">
        <v>648</v>
      </c>
      <c r="F376" s="4" t="s">
        <v>660</v>
      </c>
      <c r="G376" s="4" t="s">
        <v>697</v>
      </c>
      <c r="H376" s="4" t="s">
        <v>703</v>
      </c>
      <c r="I376" s="4" t="s">
        <v>708</v>
      </c>
      <c r="J376" s="4" t="s">
        <v>712</v>
      </c>
      <c r="K376" s="4" t="s">
        <v>730</v>
      </c>
      <c r="L376" s="4" t="s">
        <v>1108</v>
      </c>
      <c r="M376" s="9">
        <v>12</v>
      </c>
      <c r="N376" s="16">
        <f>ROUND(IF('Dashboard Visualization'!$U$3="",'Working Data'!$M376,'Working Data'!$M376*(100% +'Dashboard Visualization'!$U$3)),0)</f>
        <v>12</v>
      </c>
      <c r="O376" s="19">
        <v>1484.23</v>
      </c>
      <c r="P376" s="20">
        <f>IF('Dashboard Visualization'!$U$2="",'Working Data'!$O376*'Working Data'!$N376,'Working Data'!$O376*'Working Data'!$N376*(100%+'Dashboard Visualization'!$U$2))</f>
        <v>17810.760000000002</v>
      </c>
      <c r="Q376" s="19">
        <v>3472.81</v>
      </c>
      <c r="R376" s="20">
        <f t="shared" si="54"/>
        <v>2583.7706399999997</v>
      </c>
      <c r="S376" s="11">
        <v>0.25600000000000001</v>
      </c>
      <c r="T376" s="22">
        <f>IF('Dashboard Visualization'!$U$1="",$S376,IF(S376&gt;'Dashboard Visualization'!$U$1,'Dashboard Visualization'!$U$1,S376))</f>
        <v>0.25600000000000001</v>
      </c>
      <c r="U376" s="20">
        <f t="shared" si="55"/>
        <v>23067.904273919998</v>
      </c>
      <c r="V376" s="20">
        <f t="shared" si="56"/>
        <v>5257.1442739199956</v>
      </c>
      <c r="W376" s="22">
        <f t="shared" si="52"/>
        <v>0.22789865136832535</v>
      </c>
      <c r="X376" s="28" t="str">
        <f>TEXT(B376,"MMM-YYYY")</f>
        <v>May-2024</v>
      </c>
      <c r="Y376" s="7" t="str">
        <f t="shared" si="57"/>
        <v>Q2-2024</v>
      </c>
      <c r="Z376" s="7" t="str">
        <f t="shared" si="58"/>
        <v>Medium Price</v>
      </c>
      <c r="AA376" s="7" t="str">
        <f t="shared" si="59"/>
        <v>Q2</v>
      </c>
      <c r="AB376" s="28" t="str">
        <f t="shared" si="60"/>
        <v>May</v>
      </c>
      <c r="AC376" s="28" t="str">
        <f t="shared" si="61"/>
        <v>2024</v>
      </c>
    </row>
    <row r="377" spans="1:29" x14ac:dyDescent="0.25">
      <c r="A377" s="4" t="s">
        <v>389</v>
      </c>
      <c r="B377" s="14">
        <v>45354</v>
      </c>
      <c r="C377" s="14">
        <v>45370</v>
      </c>
      <c r="D377" s="16">
        <f t="shared" si="53"/>
        <v>16</v>
      </c>
      <c r="E377" s="4" t="s">
        <v>647</v>
      </c>
      <c r="F377" s="4" t="s">
        <v>659</v>
      </c>
      <c r="G377" s="4" t="s">
        <v>699</v>
      </c>
      <c r="H377" s="4" t="s">
        <v>704</v>
      </c>
      <c r="I377" s="4" t="s">
        <v>710</v>
      </c>
      <c r="J377" s="4" t="s">
        <v>715</v>
      </c>
      <c r="K377" s="4" t="s">
        <v>730</v>
      </c>
      <c r="L377" s="4" t="s">
        <v>1109</v>
      </c>
      <c r="M377" s="9">
        <v>34</v>
      </c>
      <c r="N377" s="16">
        <f>ROUND(IF('Dashboard Visualization'!$U$3="",'Working Data'!$M377,'Working Data'!$M377*(100% +'Dashboard Visualization'!$U$3)),0)</f>
        <v>34</v>
      </c>
      <c r="O377" s="19">
        <v>988.83</v>
      </c>
      <c r="P377" s="20">
        <f>IF('Dashboard Visualization'!$U$2="",'Working Data'!$O377*'Working Data'!$N377,'Working Data'!$O377*'Working Data'!$N377*(100%+'Dashboard Visualization'!$U$2))</f>
        <v>33620.22</v>
      </c>
      <c r="Q377" s="19">
        <v>1206.04</v>
      </c>
      <c r="R377" s="20">
        <f t="shared" si="54"/>
        <v>1130.0594800000001</v>
      </c>
      <c r="S377" s="11">
        <v>6.3E-2</v>
      </c>
      <c r="T377" s="22">
        <f>IF('Dashboard Visualization'!$U$1="",$S377,IF(S377&gt;'Dashboard Visualization'!$U$1,'Dashboard Visualization'!$U$1,S377))</f>
        <v>6.3E-2</v>
      </c>
      <c r="U377" s="20">
        <f t="shared" si="55"/>
        <v>36001.434913840007</v>
      </c>
      <c r="V377" s="20">
        <f t="shared" si="56"/>
        <v>2381.2149138400055</v>
      </c>
      <c r="W377" s="22">
        <f t="shared" si="52"/>
        <v>6.6142222373603135E-2</v>
      </c>
      <c r="X377" s="28" t="str">
        <f>TEXT(B377,"MMM-YYYY")</f>
        <v>Mar-2024</v>
      </c>
      <c r="Y377" s="7" t="str">
        <f t="shared" si="57"/>
        <v>Q1-2024</v>
      </c>
      <c r="Z377" s="7" t="str">
        <f t="shared" si="58"/>
        <v>High Price</v>
      </c>
      <c r="AA377" s="7" t="str">
        <f t="shared" si="59"/>
        <v>Q1</v>
      </c>
      <c r="AB377" s="28" t="str">
        <f t="shared" si="60"/>
        <v>Mar</v>
      </c>
      <c r="AC377" s="28" t="str">
        <f t="shared" si="61"/>
        <v>2024</v>
      </c>
    </row>
    <row r="378" spans="1:29" x14ac:dyDescent="0.25">
      <c r="A378" s="4" t="s">
        <v>390</v>
      </c>
      <c r="B378" s="14">
        <v>45835</v>
      </c>
      <c r="C378" s="14">
        <v>45849</v>
      </c>
      <c r="D378" s="16">
        <f t="shared" si="53"/>
        <v>14</v>
      </c>
      <c r="E378" s="4" t="s">
        <v>647</v>
      </c>
      <c r="F378" s="4" t="s">
        <v>659</v>
      </c>
      <c r="G378" s="4" t="s">
        <v>685</v>
      </c>
      <c r="H378" s="4" t="s">
        <v>705</v>
      </c>
      <c r="I378" s="4" t="s">
        <v>709</v>
      </c>
      <c r="J378" s="4" t="s">
        <v>716</v>
      </c>
      <c r="K378" s="4" t="s">
        <v>729</v>
      </c>
      <c r="L378" s="4" t="s">
        <v>1110</v>
      </c>
      <c r="M378" s="9">
        <v>22</v>
      </c>
      <c r="N378" s="16">
        <f>ROUND(IF('Dashboard Visualization'!$U$3="",'Working Data'!$M378,'Working Data'!$M378*(100% +'Dashboard Visualization'!$U$3)),0)</f>
        <v>22</v>
      </c>
      <c r="O378" s="19">
        <v>1227.7</v>
      </c>
      <c r="P378" s="20">
        <f>IF('Dashboard Visualization'!$U$2="",'Working Data'!$O378*'Working Data'!$N378,'Working Data'!$O378*'Working Data'!$N378*(100%+'Dashboard Visualization'!$U$2))</f>
        <v>27009.4</v>
      </c>
      <c r="Q378" s="19">
        <v>2197.23</v>
      </c>
      <c r="R378" s="20">
        <f t="shared" si="54"/>
        <v>1979.7042300000001</v>
      </c>
      <c r="S378" s="11">
        <v>9.9000000000000005E-2</v>
      </c>
      <c r="T378" s="22">
        <f>IF('Dashboard Visualization'!$U$1="",$S378,IF(S378&gt;'Dashboard Visualization'!$U$1,'Dashboard Visualization'!$U$1,S378))</f>
        <v>9.9000000000000005E-2</v>
      </c>
      <c r="U378" s="20">
        <f t="shared" si="55"/>
        <v>39241.697247060001</v>
      </c>
      <c r="V378" s="20">
        <f t="shared" si="56"/>
        <v>12232.29724706</v>
      </c>
      <c r="W378" s="22">
        <f t="shared" si="52"/>
        <v>0.31171682432712428</v>
      </c>
      <c r="X378" s="28" t="str">
        <f>TEXT(B378,"MMM-YYYY")</f>
        <v>Jun-2025</v>
      </c>
      <c r="Y378" s="7" t="str">
        <f t="shared" si="57"/>
        <v>Q2-2025</v>
      </c>
      <c r="Z378" s="7" t="str">
        <f t="shared" si="58"/>
        <v>Medium Price</v>
      </c>
      <c r="AA378" s="7" t="str">
        <f t="shared" si="59"/>
        <v>Q2</v>
      </c>
      <c r="AB378" s="28" t="str">
        <f t="shared" si="60"/>
        <v>Jun</v>
      </c>
      <c r="AC378" s="28" t="str">
        <f t="shared" si="61"/>
        <v>2025</v>
      </c>
    </row>
    <row r="379" spans="1:29" x14ac:dyDescent="0.25">
      <c r="A379" s="4" t="s">
        <v>391</v>
      </c>
      <c r="B379" s="14">
        <v>44998</v>
      </c>
      <c r="C379" s="14">
        <v>45020</v>
      </c>
      <c r="D379" s="16">
        <f t="shared" si="53"/>
        <v>22</v>
      </c>
      <c r="E379" s="4" t="s">
        <v>646</v>
      </c>
      <c r="F379" s="4" t="s">
        <v>661</v>
      </c>
      <c r="G379" s="4" t="s">
        <v>687</v>
      </c>
      <c r="H379" s="4" t="s">
        <v>705</v>
      </c>
      <c r="I379" s="4" t="s">
        <v>707</v>
      </c>
      <c r="J379" s="4" t="s">
        <v>720</v>
      </c>
      <c r="K379" s="4" t="s">
        <v>727</v>
      </c>
      <c r="L379" s="4" t="s">
        <v>1111</v>
      </c>
      <c r="M379" s="9">
        <v>11</v>
      </c>
      <c r="N379" s="16">
        <f>ROUND(IF('Dashboard Visualization'!$U$3="",'Working Data'!$M379,'Working Data'!$M379*(100% +'Dashboard Visualization'!$U$3)),0)</f>
        <v>11</v>
      </c>
      <c r="O379" s="19">
        <v>1113.7</v>
      </c>
      <c r="P379" s="20">
        <f>IF('Dashboard Visualization'!$U$2="",'Working Data'!$O379*'Working Data'!$N379,'Working Data'!$O379*'Working Data'!$N379*(100%+'Dashboard Visualization'!$U$2))</f>
        <v>12250.7</v>
      </c>
      <c r="Q379" s="19">
        <v>1620.6</v>
      </c>
      <c r="R379" s="20">
        <f t="shared" si="54"/>
        <v>1395.3365999999999</v>
      </c>
      <c r="S379" s="11">
        <v>0.13900000000000001</v>
      </c>
      <c r="T379" s="22">
        <f>IF('Dashboard Visualization'!$U$1="",$S379,IF(S379&gt;'Dashboard Visualization'!$U$1,'Dashboard Visualization'!$U$1,S379))</f>
        <v>0.13900000000000001</v>
      </c>
      <c r="U379" s="20">
        <f t="shared" si="55"/>
        <v>13215.232938599998</v>
      </c>
      <c r="V379" s="20">
        <f t="shared" si="56"/>
        <v>964.53293859999758</v>
      </c>
      <c r="W379" s="22">
        <f t="shared" si="52"/>
        <v>7.2986450036966105E-2</v>
      </c>
      <c r="X379" s="28" t="str">
        <f>TEXT(B379,"MMM-YYYY")</f>
        <v>Mar-2023</v>
      </c>
      <c r="Y379" s="7" t="str">
        <f t="shared" si="57"/>
        <v>Q1-2023</v>
      </c>
      <c r="Z379" s="7" t="str">
        <f t="shared" si="58"/>
        <v>High Price</v>
      </c>
      <c r="AA379" s="7" t="str">
        <f t="shared" si="59"/>
        <v>Q1</v>
      </c>
      <c r="AB379" s="28" t="str">
        <f t="shared" si="60"/>
        <v>Mar</v>
      </c>
      <c r="AC379" s="28" t="str">
        <f t="shared" si="61"/>
        <v>2023</v>
      </c>
    </row>
    <row r="380" spans="1:29" x14ac:dyDescent="0.25">
      <c r="A380" s="4" t="s">
        <v>392</v>
      </c>
      <c r="B380" s="14">
        <v>45664</v>
      </c>
      <c r="C380" s="14">
        <v>45677</v>
      </c>
      <c r="D380" s="16">
        <f t="shared" si="53"/>
        <v>13</v>
      </c>
      <c r="E380" s="4" t="s">
        <v>646</v>
      </c>
      <c r="F380" s="4" t="s">
        <v>661</v>
      </c>
      <c r="G380" s="4" t="s">
        <v>695</v>
      </c>
      <c r="H380" s="4" t="s">
        <v>701</v>
      </c>
      <c r="I380" s="4" t="s">
        <v>711</v>
      </c>
      <c r="J380" s="4" t="s">
        <v>723</v>
      </c>
      <c r="K380" s="4" t="s">
        <v>729</v>
      </c>
      <c r="L380" s="4" t="s">
        <v>1112</v>
      </c>
      <c r="M380" s="9">
        <v>7</v>
      </c>
      <c r="N380" s="16">
        <f>ROUND(IF('Dashboard Visualization'!$U$3="",'Working Data'!$M380,'Working Data'!$M380*(100% +'Dashboard Visualization'!$U$3)),0)</f>
        <v>7</v>
      </c>
      <c r="O380" s="19">
        <v>432.13</v>
      </c>
      <c r="P380" s="20">
        <f>IF('Dashboard Visualization'!$U$2="",'Working Data'!$O380*'Working Data'!$N380,'Working Data'!$O380*'Working Data'!$N380*(100%+'Dashboard Visualization'!$U$2))</f>
        <v>3024.91</v>
      </c>
      <c r="Q380" s="19">
        <v>1034.6600000000001</v>
      </c>
      <c r="R380" s="20">
        <f t="shared" si="54"/>
        <v>939.47128000000009</v>
      </c>
      <c r="S380" s="11">
        <v>9.1999999999999998E-2</v>
      </c>
      <c r="T380" s="22">
        <f>IF('Dashboard Visualization'!$U$1="",$S380,IF(S380&gt;'Dashboard Visualization'!$U$1,'Dashboard Visualization'!$U$1,S380))</f>
        <v>9.1999999999999998E-2</v>
      </c>
      <c r="U380" s="20">
        <f t="shared" si="55"/>
        <v>5971.2794556800009</v>
      </c>
      <c r="V380" s="20">
        <f t="shared" si="56"/>
        <v>2946.369455680001</v>
      </c>
      <c r="W380" s="22">
        <f t="shared" si="52"/>
        <v>0.49342347440754181</v>
      </c>
      <c r="X380" s="28" t="str">
        <f>TEXT(B380,"MMM-YYYY")</f>
        <v>Jan-2025</v>
      </c>
      <c r="Y380" s="7" t="str">
        <f t="shared" si="57"/>
        <v>Q1-2025</v>
      </c>
      <c r="Z380" s="7" t="str">
        <f t="shared" si="58"/>
        <v>High Price</v>
      </c>
      <c r="AA380" s="7" t="str">
        <f t="shared" si="59"/>
        <v>Q1</v>
      </c>
      <c r="AB380" s="28" t="str">
        <f t="shared" si="60"/>
        <v>Jan</v>
      </c>
      <c r="AC380" s="28" t="str">
        <f t="shared" si="61"/>
        <v>2025</v>
      </c>
    </row>
    <row r="381" spans="1:29" x14ac:dyDescent="0.25">
      <c r="A381" s="4" t="s">
        <v>393</v>
      </c>
      <c r="B381" s="14">
        <v>45694</v>
      </c>
      <c r="C381" s="14">
        <v>45703</v>
      </c>
      <c r="D381" s="16">
        <f t="shared" si="53"/>
        <v>9</v>
      </c>
      <c r="E381" s="4" t="s">
        <v>648</v>
      </c>
      <c r="F381" s="4" t="s">
        <v>655</v>
      </c>
      <c r="G381" s="4" t="s">
        <v>670</v>
      </c>
      <c r="H381" s="4" t="s">
        <v>703</v>
      </c>
      <c r="I381" s="4" t="s">
        <v>710</v>
      </c>
      <c r="J381" s="4" t="s">
        <v>721</v>
      </c>
      <c r="K381" s="4" t="s">
        <v>729</v>
      </c>
      <c r="L381" s="4" t="s">
        <v>1113</v>
      </c>
      <c r="M381" s="9">
        <v>18</v>
      </c>
      <c r="N381" s="16">
        <f>ROUND(IF('Dashboard Visualization'!$U$3="",'Working Data'!$M381,'Working Data'!$M381*(100% +'Dashboard Visualization'!$U$3)),0)</f>
        <v>18</v>
      </c>
      <c r="O381" s="19">
        <v>837.39</v>
      </c>
      <c r="P381" s="20">
        <f>IF('Dashboard Visualization'!$U$2="",'Working Data'!$O381*'Working Data'!$N381,'Working Data'!$O381*'Working Data'!$N381*(100%+'Dashboard Visualization'!$U$2))</f>
        <v>15073.02</v>
      </c>
      <c r="Q381" s="19">
        <v>1905.42</v>
      </c>
      <c r="R381" s="20">
        <f t="shared" si="54"/>
        <v>1844.4465600000001</v>
      </c>
      <c r="S381" s="11">
        <v>3.2000000000000001E-2</v>
      </c>
      <c r="T381" s="22">
        <f>IF('Dashboard Visualization'!$U$1="",$S381,IF(S381&gt;'Dashboard Visualization'!$U$1,'Dashboard Visualization'!$U$1,S381))</f>
        <v>3.2000000000000001E-2</v>
      </c>
      <c r="U381" s="20">
        <f t="shared" si="55"/>
        <v>32137.636861440002</v>
      </c>
      <c r="V381" s="20">
        <f t="shared" si="56"/>
        <v>17064.616861440001</v>
      </c>
      <c r="W381" s="22">
        <f t="shared" si="52"/>
        <v>0.53098542792717895</v>
      </c>
      <c r="X381" s="28" t="str">
        <f>TEXT(B381,"MMM-YYYY")</f>
        <v>Feb-2025</v>
      </c>
      <c r="Y381" s="7" t="str">
        <f t="shared" si="57"/>
        <v>Q1-2025</v>
      </c>
      <c r="Z381" s="7" t="str">
        <f t="shared" si="58"/>
        <v>Medium Price</v>
      </c>
      <c r="AA381" s="7" t="str">
        <f t="shared" si="59"/>
        <v>Q1</v>
      </c>
      <c r="AB381" s="28" t="str">
        <f t="shared" si="60"/>
        <v>Feb</v>
      </c>
      <c r="AC381" s="28" t="str">
        <f t="shared" si="61"/>
        <v>2025</v>
      </c>
    </row>
    <row r="382" spans="1:29" x14ac:dyDescent="0.25">
      <c r="A382" s="4" t="s">
        <v>394</v>
      </c>
      <c r="B382" s="14">
        <v>45688</v>
      </c>
      <c r="C382" s="14">
        <v>45705</v>
      </c>
      <c r="D382" s="16">
        <f t="shared" si="53"/>
        <v>17</v>
      </c>
      <c r="E382" s="4" t="s">
        <v>649</v>
      </c>
      <c r="F382" s="4" t="s">
        <v>658</v>
      </c>
      <c r="G382" s="4" t="s">
        <v>683</v>
      </c>
      <c r="H382" s="4" t="s">
        <v>706</v>
      </c>
      <c r="I382" s="4" t="s">
        <v>707</v>
      </c>
      <c r="J382" s="4" t="s">
        <v>722</v>
      </c>
      <c r="K382" s="4" t="s">
        <v>727</v>
      </c>
      <c r="L382" s="4" t="s">
        <v>812</v>
      </c>
      <c r="M382" s="9">
        <v>25</v>
      </c>
      <c r="N382" s="16">
        <f>ROUND(IF('Dashboard Visualization'!$U$3="",'Working Data'!$M382,'Working Data'!$M382*(100% +'Dashboard Visualization'!$U$3)),0)</f>
        <v>25</v>
      </c>
      <c r="O382" s="19">
        <v>378.26</v>
      </c>
      <c r="P382" s="20">
        <f>IF('Dashboard Visualization'!$U$2="",'Working Data'!$O382*'Working Data'!$N382,'Working Data'!$O382*'Working Data'!$N382*(100%+'Dashboard Visualization'!$U$2))</f>
        <v>9456.5</v>
      </c>
      <c r="Q382" s="19">
        <v>541.55999999999995</v>
      </c>
      <c r="R382" s="20">
        <f t="shared" si="54"/>
        <v>453.28571999999991</v>
      </c>
      <c r="S382" s="11">
        <v>0.16300000000000001</v>
      </c>
      <c r="T382" s="22">
        <f>IF('Dashboard Visualization'!$U$1="",$S382,IF(S382&gt;'Dashboard Visualization'!$U$1,'Dashboard Visualization'!$U$1,S382))</f>
        <v>0.16300000000000001</v>
      </c>
      <c r="U382" s="20">
        <f t="shared" si="55"/>
        <v>9485.0036909999981</v>
      </c>
      <c r="V382" s="20">
        <f t="shared" si="56"/>
        <v>28.503690999998071</v>
      </c>
      <c r="W382" s="22">
        <f t="shared" si="52"/>
        <v>3.0051323044865304E-3</v>
      </c>
      <c r="X382" s="28" t="str">
        <f>TEXT(B382,"MMM-YYYY")</f>
        <v>Jan-2025</v>
      </c>
      <c r="Y382" s="7" t="str">
        <f t="shared" si="57"/>
        <v>Q1-2025</v>
      </c>
      <c r="Z382" s="7" t="str">
        <f t="shared" si="58"/>
        <v>Low Price</v>
      </c>
      <c r="AA382" s="7" t="str">
        <f t="shared" si="59"/>
        <v>Q1</v>
      </c>
      <c r="AB382" s="28" t="str">
        <f t="shared" si="60"/>
        <v>Jan</v>
      </c>
      <c r="AC382" s="28" t="str">
        <f t="shared" si="61"/>
        <v>2025</v>
      </c>
    </row>
    <row r="383" spans="1:29" x14ac:dyDescent="0.25">
      <c r="A383" s="4" t="s">
        <v>395</v>
      </c>
      <c r="B383" s="14">
        <v>45876</v>
      </c>
      <c r="C383" s="14">
        <v>45906</v>
      </c>
      <c r="D383" s="16">
        <f t="shared" si="53"/>
        <v>30</v>
      </c>
      <c r="E383" s="4" t="s">
        <v>648</v>
      </c>
      <c r="F383" s="4" t="s">
        <v>653</v>
      </c>
      <c r="G383" s="4" t="s">
        <v>681</v>
      </c>
      <c r="H383" s="4" t="s">
        <v>702</v>
      </c>
      <c r="I383" s="4" t="s">
        <v>711</v>
      </c>
      <c r="J383" s="4" t="s">
        <v>724</v>
      </c>
      <c r="K383" s="4" t="s">
        <v>729</v>
      </c>
      <c r="L383" s="4" t="s">
        <v>1114</v>
      </c>
      <c r="M383" s="9">
        <v>14</v>
      </c>
      <c r="N383" s="16">
        <f>ROUND(IF('Dashboard Visualization'!$U$3="",'Working Data'!$M383,'Working Data'!$M383*(100% +'Dashboard Visualization'!$U$3)),0)</f>
        <v>14</v>
      </c>
      <c r="O383" s="19">
        <v>833.73</v>
      </c>
      <c r="P383" s="20">
        <f>IF('Dashboard Visualization'!$U$2="",'Working Data'!$O383*'Working Data'!$N383,'Working Data'!$O383*'Working Data'!$N383*(100%+'Dashboard Visualization'!$U$2))</f>
        <v>11672.220000000001</v>
      </c>
      <c r="Q383" s="19">
        <v>1116.5999999999999</v>
      </c>
      <c r="R383" s="20">
        <f t="shared" si="54"/>
        <v>920.07839999999999</v>
      </c>
      <c r="S383" s="11">
        <v>0.17599999999999999</v>
      </c>
      <c r="T383" s="22">
        <f>IF('Dashboard Visualization'!$U$1="",$S383,IF(S383&gt;'Dashboard Visualization'!$U$1,'Dashboard Visualization'!$U$1,S383))</f>
        <v>0.17599999999999999</v>
      </c>
      <c r="U383" s="20">
        <f t="shared" si="55"/>
        <v>10614.024422400002</v>
      </c>
      <c r="V383" s="20">
        <f t="shared" si="56"/>
        <v>-1058.1955775999995</v>
      </c>
      <c r="W383" s="22">
        <f t="shared" si="52"/>
        <v>0</v>
      </c>
      <c r="X383" s="28" t="str">
        <f>TEXT(B383,"MMM-YYYY")</f>
        <v>Aug-2025</v>
      </c>
      <c r="Y383" s="7" t="str">
        <f t="shared" si="57"/>
        <v>Q3-2025</v>
      </c>
      <c r="Z383" s="7" t="str">
        <f t="shared" si="58"/>
        <v>High Price</v>
      </c>
      <c r="AA383" s="7" t="str">
        <f t="shared" si="59"/>
        <v>Q3</v>
      </c>
      <c r="AB383" s="28" t="str">
        <f t="shared" si="60"/>
        <v>Aug</v>
      </c>
      <c r="AC383" s="28" t="str">
        <f t="shared" si="61"/>
        <v>2025</v>
      </c>
    </row>
    <row r="384" spans="1:29" x14ac:dyDescent="0.25">
      <c r="A384" s="4" t="s">
        <v>396</v>
      </c>
      <c r="B384" s="14">
        <v>45861</v>
      </c>
      <c r="C384" s="14">
        <v>45886</v>
      </c>
      <c r="D384" s="16">
        <f t="shared" si="53"/>
        <v>25</v>
      </c>
      <c r="E384" s="4" t="s">
        <v>649</v>
      </c>
      <c r="F384" s="4" t="s">
        <v>658</v>
      </c>
      <c r="G384" s="4" t="s">
        <v>674</v>
      </c>
      <c r="H384" s="4" t="s">
        <v>702</v>
      </c>
      <c r="I384" s="4" t="s">
        <v>708</v>
      </c>
      <c r="J384" s="4" t="s">
        <v>714</v>
      </c>
      <c r="K384" s="4" t="s">
        <v>728</v>
      </c>
      <c r="L384" s="4" t="s">
        <v>1115</v>
      </c>
      <c r="M384" s="9">
        <v>28</v>
      </c>
      <c r="N384" s="16">
        <f>ROUND(IF('Dashboard Visualization'!$U$3="",'Working Data'!$M384,'Working Data'!$M384*(100% +'Dashboard Visualization'!$U$3)),0)</f>
        <v>28</v>
      </c>
      <c r="O384" s="19">
        <v>1142.06</v>
      </c>
      <c r="P384" s="20">
        <f>IF('Dashboard Visualization'!$U$2="",'Working Data'!$O384*'Working Data'!$N384,'Working Data'!$O384*'Working Data'!$N384*(100%+'Dashboard Visualization'!$U$2))</f>
        <v>31977.68</v>
      </c>
      <c r="Q384" s="19">
        <v>1455</v>
      </c>
      <c r="R384" s="20">
        <f t="shared" si="54"/>
        <v>1341.51</v>
      </c>
      <c r="S384" s="11">
        <v>7.8E-2</v>
      </c>
      <c r="T384" s="22">
        <f>IF('Dashboard Visualization'!$U$1="",$S384,IF(S384&gt;'Dashboard Visualization'!$U$1,'Dashboard Visualization'!$U$1,S384))</f>
        <v>7.8E-2</v>
      </c>
      <c r="U384" s="20">
        <f t="shared" si="55"/>
        <v>34632.422160000002</v>
      </c>
      <c r="V384" s="20">
        <f t="shared" si="56"/>
        <v>2654.7421600000016</v>
      </c>
      <c r="W384" s="22">
        <f t="shared" si="52"/>
        <v>7.6654822112505724E-2</v>
      </c>
      <c r="X384" s="28" t="str">
        <f>TEXT(B384,"MMM-YYYY")</f>
        <v>Jul-2025</v>
      </c>
      <c r="Y384" s="7" t="str">
        <f t="shared" si="57"/>
        <v>Q3-2025</v>
      </c>
      <c r="Z384" s="7" t="str">
        <f t="shared" si="58"/>
        <v>High Price</v>
      </c>
      <c r="AA384" s="7" t="str">
        <f t="shared" si="59"/>
        <v>Q3</v>
      </c>
      <c r="AB384" s="28" t="str">
        <f t="shared" si="60"/>
        <v>Jul</v>
      </c>
      <c r="AC384" s="28" t="str">
        <f t="shared" si="61"/>
        <v>2025</v>
      </c>
    </row>
    <row r="385" spans="1:29" x14ac:dyDescent="0.25">
      <c r="A385" s="4" t="s">
        <v>397</v>
      </c>
      <c r="B385" s="14">
        <v>45097</v>
      </c>
      <c r="C385" s="14">
        <v>45115</v>
      </c>
      <c r="D385" s="16">
        <f t="shared" si="53"/>
        <v>18</v>
      </c>
      <c r="E385" s="4" t="s">
        <v>648</v>
      </c>
      <c r="F385" s="4" t="s">
        <v>660</v>
      </c>
      <c r="G385" s="4" t="s">
        <v>700</v>
      </c>
      <c r="H385" s="4" t="s">
        <v>704</v>
      </c>
      <c r="I385" s="4" t="s">
        <v>709</v>
      </c>
      <c r="J385" s="4" t="s">
        <v>719</v>
      </c>
      <c r="K385" s="4" t="s">
        <v>729</v>
      </c>
      <c r="L385" s="4" t="s">
        <v>1116</v>
      </c>
      <c r="M385" s="9">
        <v>41</v>
      </c>
      <c r="N385" s="16">
        <f>ROUND(IF('Dashboard Visualization'!$U$3="",'Working Data'!$M385,'Working Data'!$M385*(100% +'Dashboard Visualization'!$U$3)),0)</f>
        <v>41</v>
      </c>
      <c r="O385" s="19">
        <v>1145.53</v>
      </c>
      <c r="P385" s="20">
        <f>IF('Dashboard Visualization'!$U$2="",'Working Data'!$O385*'Working Data'!$N385,'Working Data'!$O385*'Working Data'!$N385*(100%+'Dashboard Visualization'!$U$2))</f>
        <v>46966.729999999996</v>
      </c>
      <c r="Q385" s="19">
        <v>1278.3</v>
      </c>
      <c r="R385" s="20">
        <f t="shared" si="54"/>
        <v>1163.2529999999999</v>
      </c>
      <c r="S385" s="11">
        <v>0.09</v>
      </c>
      <c r="T385" s="22">
        <f>IF('Dashboard Visualization'!$U$1="",$S385,IF(S385&gt;'Dashboard Visualization'!$U$1,'Dashboard Visualization'!$U$1,S385))</f>
        <v>0.09</v>
      </c>
      <c r="U385" s="20">
        <f t="shared" si="55"/>
        <v>43400.969430000005</v>
      </c>
      <c r="V385" s="20">
        <f t="shared" si="56"/>
        <v>-3565.7605699999913</v>
      </c>
      <c r="W385" s="22">
        <f t="shared" si="52"/>
        <v>0</v>
      </c>
      <c r="X385" s="28" t="str">
        <f>TEXT(B385,"MMM-YYYY")</f>
        <v>Jun-2023</v>
      </c>
      <c r="Y385" s="7" t="str">
        <f t="shared" si="57"/>
        <v>Q2-2023</v>
      </c>
      <c r="Z385" s="7" t="str">
        <f t="shared" si="58"/>
        <v>High Price</v>
      </c>
      <c r="AA385" s="7" t="str">
        <f t="shared" si="59"/>
        <v>Q2</v>
      </c>
      <c r="AB385" s="28" t="str">
        <f t="shared" si="60"/>
        <v>Jun</v>
      </c>
      <c r="AC385" s="28" t="str">
        <f t="shared" si="61"/>
        <v>2023</v>
      </c>
    </row>
    <row r="386" spans="1:29" x14ac:dyDescent="0.25">
      <c r="A386" s="4" t="s">
        <v>398</v>
      </c>
      <c r="B386" s="14">
        <v>45491</v>
      </c>
      <c r="C386" s="14">
        <v>45511</v>
      </c>
      <c r="D386" s="16">
        <f t="shared" si="53"/>
        <v>20</v>
      </c>
      <c r="E386" s="4" t="s">
        <v>649</v>
      </c>
      <c r="F386" s="4" t="s">
        <v>657</v>
      </c>
      <c r="G386" s="4" t="s">
        <v>673</v>
      </c>
      <c r="H386" s="4" t="s">
        <v>701</v>
      </c>
      <c r="I386" s="4" t="s">
        <v>707</v>
      </c>
      <c r="J386" s="4" t="s">
        <v>721</v>
      </c>
      <c r="K386" s="4" t="s">
        <v>732</v>
      </c>
      <c r="L386" s="4" t="s">
        <v>1117</v>
      </c>
      <c r="M386" s="9">
        <v>18</v>
      </c>
      <c r="N386" s="16">
        <f>ROUND(IF('Dashboard Visualization'!$U$3="",'Working Data'!$M386,'Working Data'!$M386*(100% +'Dashboard Visualization'!$U$3)),0)</f>
        <v>18</v>
      </c>
      <c r="O386" s="19">
        <v>941.35</v>
      </c>
      <c r="P386" s="20">
        <f>IF('Dashboard Visualization'!$U$2="",'Working Data'!$O386*'Working Data'!$N386,'Working Data'!$O386*'Working Data'!$N386*(100%+'Dashboard Visualization'!$U$2))</f>
        <v>16944.3</v>
      </c>
      <c r="Q386" s="19">
        <v>899.83</v>
      </c>
      <c r="R386" s="20">
        <f t="shared" si="54"/>
        <v>847.63986</v>
      </c>
      <c r="S386" s="11">
        <v>5.8000000000000003E-2</v>
      </c>
      <c r="T386" s="22">
        <f>IF('Dashboard Visualization'!$U$1="",$S386,IF(S386&gt;'Dashboard Visualization'!$U$1,'Dashboard Visualization'!$U$1,S386))</f>
        <v>5.8000000000000003E-2</v>
      </c>
      <c r="U386" s="20">
        <f t="shared" si="55"/>
        <v>14372.581466159998</v>
      </c>
      <c r="V386" s="20">
        <f t="shared" si="56"/>
        <v>-2571.7185338400013</v>
      </c>
      <c r="W386" s="22">
        <f t="shared" ref="W386:W449" si="62">IFERROR(IF(V386&lt;=0,0,V386/U386),0)</f>
        <v>0</v>
      </c>
      <c r="X386" s="28" t="str">
        <f>TEXT(B386,"MMM-YYYY")</f>
        <v>Jul-2024</v>
      </c>
      <c r="Y386" s="7" t="str">
        <f t="shared" si="57"/>
        <v>Q3-2024</v>
      </c>
      <c r="Z386" s="7" t="str">
        <f t="shared" si="58"/>
        <v>High Price</v>
      </c>
      <c r="AA386" s="7" t="str">
        <f t="shared" si="59"/>
        <v>Q3</v>
      </c>
      <c r="AB386" s="28" t="str">
        <f t="shared" si="60"/>
        <v>Jul</v>
      </c>
      <c r="AC386" s="28" t="str">
        <f t="shared" si="61"/>
        <v>2024</v>
      </c>
    </row>
    <row r="387" spans="1:29" x14ac:dyDescent="0.25">
      <c r="A387" s="4" t="s">
        <v>399</v>
      </c>
      <c r="B387" s="14">
        <v>45066</v>
      </c>
      <c r="C387" s="14">
        <v>45096</v>
      </c>
      <c r="D387" s="16">
        <f t="shared" ref="D387:D450" si="63">IFERROR(DATEDIF(B387,C387,"D"),"")</f>
        <v>30</v>
      </c>
      <c r="E387" s="4" t="s">
        <v>647</v>
      </c>
      <c r="F387" s="4" t="s">
        <v>654</v>
      </c>
      <c r="G387" s="4" t="s">
        <v>680</v>
      </c>
      <c r="H387" s="4" t="s">
        <v>703</v>
      </c>
      <c r="I387" s="4" t="s">
        <v>709</v>
      </c>
      <c r="J387" s="4" t="s">
        <v>722</v>
      </c>
      <c r="K387" s="4" t="s">
        <v>731</v>
      </c>
      <c r="L387" s="4" t="s">
        <v>1118</v>
      </c>
      <c r="M387" s="9">
        <v>31</v>
      </c>
      <c r="N387" s="16">
        <f>ROUND(IF('Dashboard Visualization'!$U$3="",'Working Data'!$M387,'Working Data'!$M387*(100% +'Dashboard Visualization'!$U$3)),0)</f>
        <v>31</v>
      </c>
      <c r="O387" s="19">
        <v>1161.2</v>
      </c>
      <c r="P387" s="20">
        <f>IF('Dashboard Visualization'!$U$2="",'Working Data'!$O387*'Working Data'!$N387,'Working Data'!$O387*'Working Data'!$N387*(100%+'Dashboard Visualization'!$U$2))</f>
        <v>35997.200000000004</v>
      </c>
      <c r="Q387" s="19">
        <v>878.73</v>
      </c>
      <c r="R387" s="20">
        <f t="shared" ref="R387:R450" si="64">(1-T387)*Q387</f>
        <v>711.77130000000011</v>
      </c>
      <c r="S387" s="11">
        <v>0.19</v>
      </c>
      <c r="T387" s="22">
        <f>IF('Dashboard Visualization'!$U$1="",$S387,IF(S387&gt;'Dashboard Visualization'!$U$1,'Dashboard Visualization'!$U$1,S387))</f>
        <v>0.19</v>
      </c>
      <c r="U387" s="20">
        <f t="shared" ref="U387:U450" si="65">IFERROR(R387*(1-T387)*N387,"-")</f>
        <v>17872.577343000004</v>
      </c>
      <c r="V387" s="20">
        <f t="shared" ref="V387:V450" si="66">IFERROR(U387-P387,"-")</f>
        <v>-18124.622657</v>
      </c>
      <c r="W387" s="22">
        <f t="shared" si="62"/>
        <v>0</v>
      </c>
      <c r="X387" s="28" t="str">
        <f>TEXT(B387,"MMM-YYYY")</f>
        <v>May-2023</v>
      </c>
      <c r="Y387" s="7" t="str">
        <f t="shared" ref="Y387:Y450" si="67">"Q" &amp; ROUNDUP(MONTH(X387)/3,0) &amp; "-" &amp; TEXT(X387,"YYYY")</f>
        <v>Q2-2023</v>
      </c>
      <c r="Z387" s="7" t="str">
        <f t="shared" ref="Z387:Z450" si="68">IF(R387&lt;QUARTILE(R:R,1), "Low Price", IF(R387&lt;QUARTILE(R:R,3), "High Price", "Medium Price"))</f>
        <v>High Price</v>
      </c>
      <c r="AA387" s="7" t="str">
        <f t="shared" ref="AA387:AA450" si="69">"Q"&amp;ROUNDUP(MONTH(X387)/3,0)</f>
        <v>Q2</v>
      </c>
      <c r="AB387" s="28" t="str">
        <f t="shared" ref="AB387:AB450" si="70">TEXT(X387,"MMM")</f>
        <v>May</v>
      </c>
      <c r="AC387" s="28" t="str">
        <f t="shared" ref="AC387:AC450" si="71">TEXT(X387,"YYYY")</f>
        <v>2023</v>
      </c>
    </row>
    <row r="388" spans="1:29" x14ac:dyDescent="0.25">
      <c r="A388" s="4" t="s">
        <v>400</v>
      </c>
      <c r="B388" s="14">
        <v>45789</v>
      </c>
      <c r="C388" s="14">
        <v>45803</v>
      </c>
      <c r="D388" s="16">
        <f t="shared" si="63"/>
        <v>14</v>
      </c>
      <c r="E388" s="4" t="s">
        <v>647</v>
      </c>
      <c r="F388" s="4" t="s">
        <v>654</v>
      </c>
      <c r="G388" s="4" t="s">
        <v>696</v>
      </c>
      <c r="H388" s="4" t="s">
        <v>701</v>
      </c>
      <c r="I388" s="4" t="s">
        <v>709</v>
      </c>
      <c r="J388" s="4" t="s">
        <v>715</v>
      </c>
      <c r="K388" s="4" t="s">
        <v>728</v>
      </c>
      <c r="L388" s="4" t="s">
        <v>1119</v>
      </c>
      <c r="M388" s="9">
        <v>18</v>
      </c>
      <c r="N388" s="16">
        <f>ROUND(IF('Dashboard Visualization'!$U$3="",'Working Data'!$M388,'Working Data'!$M388*(100% +'Dashboard Visualization'!$U$3)),0)</f>
        <v>18</v>
      </c>
      <c r="O388" s="19">
        <v>320.12</v>
      </c>
      <c r="P388" s="20">
        <f>IF('Dashboard Visualization'!$U$2="",'Working Data'!$O388*'Working Data'!$N388,'Working Data'!$O388*'Working Data'!$N388*(100%+'Dashboard Visualization'!$U$2))</f>
        <v>5762.16</v>
      </c>
      <c r="Q388" s="19">
        <v>594.41999999999996</v>
      </c>
      <c r="R388" s="20">
        <f t="shared" si="64"/>
        <v>532.60032000000001</v>
      </c>
      <c r="S388" s="11">
        <v>0.104</v>
      </c>
      <c r="T388" s="22">
        <f>IF('Dashboard Visualization'!$U$1="",$S388,IF(S388&gt;'Dashboard Visualization'!$U$1,'Dashboard Visualization'!$U$1,S388))</f>
        <v>0.104</v>
      </c>
      <c r="U388" s="20">
        <f t="shared" si="65"/>
        <v>8589.7779609600002</v>
      </c>
      <c r="V388" s="20">
        <f t="shared" si="66"/>
        <v>2827.6179609600003</v>
      </c>
      <c r="W388" s="22">
        <f t="shared" si="62"/>
        <v>0.32918405735414186</v>
      </c>
      <c r="X388" s="28" t="str">
        <f>TEXT(B388,"MMM-YYYY")</f>
        <v>May-2025</v>
      </c>
      <c r="Y388" s="7" t="str">
        <f t="shared" si="67"/>
        <v>Q2-2025</v>
      </c>
      <c r="Z388" s="7" t="str">
        <f t="shared" si="68"/>
        <v>High Price</v>
      </c>
      <c r="AA388" s="7" t="str">
        <f t="shared" si="69"/>
        <v>Q2</v>
      </c>
      <c r="AB388" s="28" t="str">
        <f t="shared" si="70"/>
        <v>May</v>
      </c>
      <c r="AC388" s="28" t="str">
        <f t="shared" si="71"/>
        <v>2025</v>
      </c>
    </row>
    <row r="389" spans="1:29" x14ac:dyDescent="0.25">
      <c r="A389" s="4" t="s">
        <v>401</v>
      </c>
      <c r="B389" s="14">
        <v>45419</v>
      </c>
      <c r="C389" s="14">
        <v>45424</v>
      </c>
      <c r="D389" s="16">
        <f t="shared" si="63"/>
        <v>5</v>
      </c>
      <c r="E389" s="4" t="s">
        <v>646</v>
      </c>
      <c r="F389" s="4" t="s">
        <v>651</v>
      </c>
      <c r="G389" s="4" t="s">
        <v>669</v>
      </c>
      <c r="H389" s="4" t="s">
        <v>703</v>
      </c>
      <c r="I389" s="4" t="s">
        <v>710</v>
      </c>
      <c r="J389" s="4" t="s">
        <v>716</v>
      </c>
      <c r="K389" s="4" t="s">
        <v>731</v>
      </c>
      <c r="L389" s="4" t="s">
        <v>1120</v>
      </c>
      <c r="M389" s="9">
        <v>14</v>
      </c>
      <c r="N389" s="16">
        <f>ROUND(IF('Dashboard Visualization'!$U$3="",'Working Data'!$M389,'Working Data'!$M389*(100% +'Dashboard Visualization'!$U$3)),0)</f>
        <v>14</v>
      </c>
      <c r="O389" s="19">
        <v>1163.99</v>
      </c>
      <c r="P389" s="20">
        <f>IF('Dashboard Visualization'!$U$2="",'Working Data'!$O389*'Working Data'!$N389,'Working Data'!$O389*'Working Data'!$N389*(100%+'Dashboard Visualization'!$U$2))</f>
        <v>16295.86</v>
      </c>
      <c r="Q389" s="19">
        <v>1617.85</v>
      </c>
      <c r="R389" s="20">
        <f t="shared" si="64"/>
        <v>1412.3830499999999</v>
      </c>
      <c r="S389" s="11">
        <v>0.127</v>
      </c>
      <c r="T389" s="22">
        <f>IF('Dashboard Visualization'!$U$1="",$S389,IF(S389&gt;'Dashboard Visualization'!$U$1,'Dashboard Visualization'!$U$1,S389))</f>
        <v>0.127</v>
      </c>
      <c r="U389" s="20">
        <f t="shared" si="65"/>
        <v>17262.145637099999</v>
      </c>
      <c r="V389" s="20">
        <f t="shared" si="66"/>
        <v>966.28563709999798</v>
      </c>
      <c r="W389" s="22">
        <f t="shared" si="62"/>
        <v>5.5977145449592661E-2</v>
      </c>
      <c r="X389" s="28" t="str">
        <f>TEXT(B389,"MMM-YYYY")</f>
        <v>May-2024</v>
      </c>
      <c r="Y389" s="7" t="str">
        <f t="shared" si="67"/>
        <v>Q2-2024</v>
      </c>
      <c r="Z389" s="7" t="str">
        <f t="shared" si="68"/>
        <v>High Price</v>
      </c>
      <c r="AA389" s="7" t="str">
        <f t="shared" si="69"/>
        <v>Q2</v>
      </c>
      <c r="AB389" s="28" t="str">
        <f t="shared" si="70"/>
        <v>May</v>
      </c>
      <c r="AC389" s="28" t="str">
        <f t="shared" si="71"/>
        <v>2024</v>
      </c>
    </row>
    <row r="390" spans="1:29" x14ac:dyDescent="0.25">
      <c r="A390" s="4" t="s">
        <v>402</v>
      </c>
      <c r="B390" s="14">
        <v>45199</v>
      </c>
      <c r="C390" s="14">
        <v>45202</v>
      </c>
      <c r="D390" s="16">
        <f t="shared" si="63"/>
        <v>3</v>
      </c>
      <c r="E390" s="4" t="s">
        <v>647</v>
      </c>
      <c r="F390" s="4" t="s">
        <v>659</v>
      </c>
      <c r="G390" s="4" t="s">
        <v>699</v>
      </c>
      <c r="H390" s="4" t="s">
        <v>703</v>
      </c>
      <c r="I390" s="4" t="s">
        <v>707</v>
      </c>
      <c r="J390" s="4" t="s">
        <v>713</v>
      </c>
      <c r="K390" s="4" t="s">
        <v>731</v>
      </c>
      <c r="L390" s="4" t="s">
        <v>1121</v>
      </c>
      <c r="M390" s="9">
        <v>17</v>
      </c>
      <c r="N390" s="16">
        <f>ROUND(IF('Dashboard Visualization'!$U$3="",'Working Data'!$M390,'Working Data'!$M390*(100% +'Dashboard Visualization'!$U$3)),0)</f>
        <v>17</v>
      </c>
      <c r="O390" s="19">
        <v>1019.36</v>
      </c>
      <c r="P390" s="20">
        <f>IF('Dashboard Visualization'!$U$2="",'Working Data'!$O390*'Working Data'!$N390,'Working Data'!$O390*'Working Data'!$N390*(100%+'Dashboard Visualization'!$U$2))</f>
        <v>17329.12</v>
      </c>
      <c r="Q390" s="19">
        <v>972.91</v>
      </c>
      <c r="R390" s="20">
        <f t="shared" si="64"/>
        <v>829.89222999999993</v>
      </c>
      <c r="S390" s="11">
        <v>0.14699999999999999</v>
      </c>
      <c r="T390" s="22">
        <f>IF('Dashboard Visualization'!$U$1="",$S390,IF(S390&gt;'Dashboard Visualization'!$U$1,'Dashboard Visualization'!$U$1,S390))</f>
        <v>0.14699999999999999</v>
      </c>
      <c r="U390" s="20">
        <f t="shared" si="65"/>
        <v>12034.267227229999</v>
      </c>
      <c r="V390" s="20">
        <f t="shared" si="66"/>
        <v>-5294.8527727700002</v>
      </c>
      <c r="W390" s="22">
        <f t="shared" si="62"/>
        <v>0</v>
      </c>
      <c r="X390" s="28" t="str">
        <f>TEXT(B390,"MMM-YYYY")</f>
        <v>Sep-2023</v>
      </c>
      <c r="Y390" s="7" t="str">
        <f t="shared" si="67"/>
        <v>Q3-2023</v>
      </c>
      <c r="Z390" s="7" t="str">
        <f t="shared" si="68"/>
        <v>High Price</v>
      </c>
      <c r="AA390" s="7" t="str">
        <f t="shared" si="69"/>
        <v>Q3</v>
      </c>
      <c r="AB390" s="28" t="str">
        <f t="shared" si="70"/>
        <v>Sep</v>
      </c>
      <c r="AC390" s="28" t="str">
        <f t="shared" si="71"/>
        <v>2023</v>
      </c>
    </row>
    <row r="391" spans="1:29" x14ac:dyDescent="0.25">
      <c r="A391" s="4" t="s">
        <v>403</v>
      </c>
      <c r="B391" s="14">
        <v>45225</v>
      </c>
      <c r="C391" s="14">
        <v>45235</v>
      </c>
      <c r="D391" s="16">
        <f t="shared" si="63"/>
        <v>10</v>
      </c>
      <c r="E391" s="4" t="s">
        <v>646</v>
      </c>
      <c r="F391" s="4" t="s">
        <v>661</v>
      </c>
      <c r="G391" s="4" t="s">
        <v>695</v>
      </c>
      <c r="H391" s="4" t="s">
        <v>703</v>
      </c>
      <c r="I391" s="4" t="s">
        <v>708</v>
      </c>
      <c r="J391" s="4" t="s">
        <v>714</v>
      </c>
      <c r="K391" s="4" t="s">
        <v>731</v>
      </c>
      <c r="L391" s="4" t="s">
        <v>1122</v>
      </c>
      <c r="M391" s="9">
        <v>11</v>
      </c>
      <c r="N391" s="16">
        <f>ROUND(IF('Dashboard Visualization'!$U$3="",'Working Data'!$M391,'Working Data'!$M391*(100% +'Dashboard Visualization'!$U$3)),0)</f>
        <v>11</v>
      </c>
      <c r="O391" s="19">
        <v>20.38</v>
      </c>
      <c r="P391" s="20">
        <f>IF('Dashboard Visualization'!$U$2="",'Working Data'!$O391*'Working Data'!$N391,'Working Data'!$O391*'Working Data'!$N391*(100%+'Dashboard Visualization'!$U$2))</f>
        <v>224.17999999999998</v>
      </c>
      <c r="Q391" s="19">
        <v>42.56</v>
      </c>
      <c r="R391" s="20">
        <f t="shared" si="64"/>
        <v>39.495680000000007</v>
      </c>
      <c r="S391" s="11">
        <v>7.1999999999999995E-2</v>
      </c>
      <c r="T391" s="22">
        <f>IF('Dashboard Visualization'!$U$1="",$S391,IF(S391&gt;'Dashboard Visualization'!$U$1,'Dashboard Visualization'!$U$1,S391))</f>
        <v>7.1999999999999995E-2</v>
      </c>
      <c r="U391" s="20">
        <f t="shared" si="65"/>
        <v>403.17190144000006</v>
      </c>
      <c r="V391" s="20">
        <f t="shared" si="66"/>
        <v>178.99190144000008</v>
      </c>
      <c r="W391" s="22">
        <f t="shared" si="62"/>
        <v>0.44395926601208741</v>
      </c>
      <c r="X391" s="28" t="str">
        <f>TEXT(B391,"MMM-YYYY")</f>
        <v>Oct-2023</v>
      </c>
      <c r="Y391" s="7" t="str">
        <f t="shared" si="67"/>
        <v>Q4-2023</v>
      </c>
      <c r="Z391" s="7" t="str">
        <f t="shared" si="68"/>
        <v>Low Price</v>
      </c>
      <c r="AA391" s="7" t="str">
        <f t="shared" si="69"/>
        <v>Q4</v>
      </c>
      <c r="AB391" s="28" t="str">
        <f t="shared" si="70"/>
        <v>Oct</v>
      </c>
      <c r="AC391" s="28" t="str">
        <f t="shared" si="71"/>
        <v>2023</v>
      </c>
    </row>
    <row r="392" spans="1:29" x14ac:dyDescent="0.25">
      <c r="A392" s="4" t="s">
        <v>404</v>
      </c>
      <c r="B392" s="14">
        <v>45823</v>
      </c>
      <c r="C392" s="14">
        <v>45838</v>
      </c>
      <c r="D392" s="16">
        <f t="shared" si="63"/>
        <v>15</v>
      </c>
      <c r="E392" s="4" t="s">
        <v>646</v>
      </c>
      <c r="F392" s="4" t="s">
        <v>661</v>
      </c>
      <c r="G392" s="4" t="s">
        <v>682</v>
      </c>
      <c r="H392" s="4" t="s">
        <v>705</v>
      </c>
      <c r="I392" s="4" t="s">
        <v>711</v>
      </c>
      <c r="J392" s="4" t="s">
        <v>712</v>
      </c>
      <c r="K392" s="4" t="s">
        <v>732</v>
      </c>
      <c r="L392" s="4" t="s">
        <v>1123</v>
      </c>
      <c r="M392" s="9">
        <v>11</v>
      </c>
      <c r="N392" s="16">
        <f>ROUND(IF('Dashboard Visualization'!$U$3="",'Working Data'!$M392,'Working Data'!$M392*(100% +'Dashboard Visualization'!$U$3)),0)</f>
        <v>11</v>
      </c>
      <c r="O392" s="19">
        <v>1487.59</v>
      </c>
      <c r="P392" s="20">
        <f>IF('Dashboard Visualization'!$U$2="",'Working Data'!$O392*'Working Data'!$N392,'Working Data'!$O392*'Working Data'!$N392*(100%+'Dashboard Visualization'!$U$2))</f>
        <v>16363.49</v>
      </c>
      <c r="Q392" s="19">
        <v>1480.83</v>
      </c>
      <c r="R392" s="20">
        <f t="shared" si="64"/>
        <v>1467.50253</v>
      </c>
      <c r="S392" s="11">
        <v>8.9999999999999993E-3</v>
      </c>
      <c r="T392" s="22">
        <f>IF('Dashboard Visualization'!$U$1="",$S392,IF(S392&gt;'Dashboard Visualization'!$U$1,'Dashboard Visualization'!$U$1,S392))</f>
        <v>8.9999999999999993E-3</v>
      </c>
      <c r="U392" s="20">
        <f t="shared" si="65"/>
        <v>15997.245079529999</v>
      </c>
      <c r="V392" s="20">
        <f t="shared" si="66"/>
        <v>-366.24492047000058</v>
      </c>
      <c r="W392" s="22">
        <f t="shared" si="62"/>
        <v>0</v>
      </c>
      <c r="X392" s="28" t="str">
        <f>TEXT(B392,"MMM-YYYY")</f>
        <v>Jun-2025</v>
      </c>
      <c r="Y392" s="7" t="str">
        <f t="shared" si="67"/>
        <v>Q2-2025</v>
      </c>
      <c r="Z392" s="7" t="str">
        <f t="shared" si="68"/>
        <v>High Price</v>
      </c>
      <c r="AA392" s="7" t="str">
        <f t="shared" si="69"/>
        <v>Q2</v>
      </c>
      <c r="AB392" s="28" t="str">
        <f t="shared" si="70"/>
        <v>Jun</v>
      </c>
      <c r="AC392" s="28" t="str">
        <f t="shared" si="71"/>
        <v>2025</v>
      </c>
    </row>
    <row r="393" spans="1:29" x14ac:dyDescent="0.25">
      <c r="A393" s="4" t="s">
        <v>405</v>
      </c>
      <c r="B393" s="14">
        <v>45514</v>
      </c>
      <c r="C393" s="14">
        <v>45542</v>
      </c>
      <c r="D393" s="16">
        <f t="shared" si="63"/>
        <v>28</v>
      </c>
      <c r="E393" s="4" t="s">
        <v>649</v>
      </c>
      <c r="F393" s="4" t="s">
        <v>657</v>
      </c>
      <c r="G393" s="4" t="s">
        <v>673</v>
      </c>
      <c r="H393" s="4" t="s">
        <v>703</v>
      </c>
      <c r="I393" s="4" t="s">
        <v>711</v>
      </c>
      <c r="J393" s="4" t="s">
        <v>721</v>
      </c>
      <c r="K393" s="4" t="s">
        <v>728</v>
      </c>
      <c r="L393" s="4" t="s">
        <v>1124</v>
      </c>
      <c r="M393" s="9">
        <v>5</v>
      </c>
      <c r="N393" s="16">
        <f>ROUND(IF('Dashboard Visualization'!$U$3="",'Working Data'!$M393,'Working Data'!$M393*(100% +'Dashboard Visualization'!$U$3)),0)</f>
        <v>5</v>
      </c>
      <c r="O393" s="19">
        <v>229.96</v>
      </c>
      <c r="P393" s="20">
        <f>IF('Dashboard Visualization'!$U$2="",'Working Data'!$O393*'Working Data'!$N393,'Working Data'!$O393*'Working Data'!$N393*(100%+'Dashboard Visualization'!$U$2))</f>
        <v>1149.8</v>
      </c>
      <c r="Q393" s="19">
        <v>564.26</v>
      </c>
      <c r="R393" s="20">
        <f t="shared" si="64"/>
        <v>505.0127</v>
      </c>
      <c r="S393" s="11">
        <v>0.105</v>
      </c>
      <c r="T393" s="22">
        <f>IF('Dashboard Visualization'!$U$1="",$S393,IF(S393&gt;'Dashboard Visualization'!$U$1,'Dashboard Visualization'!$U$1,S393))</f>
        <v>0.105</v>
      </c>
      <c r="U393" s="20">
        <f t="shared" si="65"/>
        <v>2259.9318325000004</v>
      </c>
      <c r="V393" s="20">
        <f t="shared" si="66"/>
        <v>1110.1318325000004</v>
      </c>
      <c r="W393" s="22">
        <f t="shared" si="62"/>
        <v>0.49122359202841143</v>
      </c>
      <c r="X393" s="28" t="str">
        <f>TEXT(B393,"MMM-YYYY")</f>
        <v>Aug-2024</v>
      </c>
      <c r="Y393" s="7" t="str">
        <f t="shared" si="67"/>
        <v>Q3-2024</v>
      </c>
      <c r="Z393" s="7" t="str">
        <f t="shared" si="68"/>
        <v>Low Price</v>
      </c>
      <c r="AA393" s="7" t="str">
        <f t="shared" si="69"/>
        <v>Q3</v>
      </c>
      <c r="AB393" s="28" t="str">
        <f t="shared" si="70"/>
        <v>Aug</v>
      </c>
      <c r="AC393" s="28" t="str">
        <f t="shared" si="71"/>
        <v>2024</v>
      </c>
    </row>
    <row r="394" spans="1:29" x14ac:dyDescent="0.25">
      <c r="A394" s="4" t="s">
        <v>406</v>
      </c>
      <c r="B394" s="14">
        <v>45208</v>
      </c>
      <c r="C394" s="14">
        <v>45225</v>
      </c>
      <c r="D394" s="16">
        <f t="shared" si="63"/>
        <v>17</v>
      </c>
      <c r="E394" s="4" t="s">
        <v>647</v>
      </c>
      <c r="F394" s="4" t="s">
        <v>659</v>
      </c>
      <c r="G394" s="4" t="s">
        <v>685</v>
      </c>
      <c r="H394" s="4" t="s">
        <v>704</v>
      </c>
      <c r="I394" s="4" t="s">
        <v>709</v>
      </c>
      <c r="J394" s="4" t="s">
        <v>712</v>
      </c>
      <c r="K394" s="4" t="s">
        <v>727</v>
      </c>
      <c r="L394" s="4" t="s">
        <v>1125</v>
      </c>
      <c r="M394" s="9">
        <v>35</v>
      </c>
      <c r="N394" s="16">
        <f>ROUND(IF('Dashboard Visualization'!$U$3="",'Working Data'!$M394,'Working Data'!$M394*(100% +'Dashboard Visualization'!$U$3)),0)</f>
        <v>35</v>
      </c>
      <c r="O394" s="19">
        <v>1132.03</v>
      </c>
      <c r="P394" s="20">
        <f>IF('Dashboard Visualization'!$U$2="",'Working Data'!$O394*'Working Data'!$N394,'Working Data'!$O394*'Working Data'!$N394*(100%+'Dashboard Visualization'!$U$2))</f>
        <v>39621.049999999996</v>
      </c>
      <c r="Q394" s="19">
        <v>2137.21</v>
      </c>
      <c r="R394" s="20">
        <f t="shared" si="64"/>
        <v>1374.22603</v>
      </c>
      <c r="S394" s="11">
        <v>0.35699999999999998</v>
      </c>
      <c r="T394" s="22">
        <f>IF('Dashboard Visualization'!$U$1="",$S394,IF(S394&gt;'Dashboard Visualization'!$U$1,'Dashboard Visualization'!$U$1,S394))</f>
        <v>0.35699999999999998</v>
      </c>
      <c r="U394" s="20">
        <f t="shared" si="65"/>
        <v>30926.956805149999</v>
      </c>
      <c r="V394" s="20">
        <f t="shared" si="66"/>
        <v>-8694.0931948499965</v>
      </c>
      <c r="W394" s="22">
        <f t="shared" si="62"/>
        <v>0</v>
      </c>
      <c r="X394" s="28" t="str">
        <f>TEXT(B394,"MMM-YYYY")</f>
        <v>Oct-2023</v>
      </c>
      <c r="Y394" s="7" t="str">
        <f t="shared" si="67"/>
        <v>Q4-2023</v>
      </c>
      <c r="Z394" s="7" t="str">
        <f t="shared" si="68"/>
        <v>High Price</v>
      </c>
      <c r="AA394" s="7" t="str">
        <f t="shared" si="69"/>
        <v>Q4</v>
      </c>
      <c r="AB394" s="28" t="str">
        <f t="shared" si="70"/>
        <v>Oct</v>
      </c>
      <c r="AC394" s="28" t="str">
        <f t="shared" si="71"/>
        <v>2023</v>
      </c>
    </row>
    <row r="395" spans="1:29" x14ac:dyDescent="0.25">
      <c r="A395" s="4" t="s">
        <v>407</v>
      </c>
      <c r="B395" s="14">
        <v>45360</v>
      </c>
      <c r="C395" s="14">
        <v>45377</v>
      </c>
      <c r="D395" s="16">
        <f t="shared" si="63"/>
        <v>17</v>
      </c>
      <c r="E395" s="4" t="s">
        <v>648</v>
      </c>
      <c r="F395" s="4" t="s">
        <v>660</v>
      </c>
      <c r="G395" s="4" t="s">
        <v>686</v>
      </c>
      <c r="H395" s="4" t="s">
        <v>702</v>
      </c>
      <c r="I395" s="4" t="s">
        <v>711</v>
      </c>
      <c r="J395" s="4" t="s">
        <v>714</v>
      </c>
      <c r="K395" s="4" t="s">
        <v>730</v>
      </c>
      <c r="L395" s="4" t="s">
        <v>1126</v>
      </c>
      <c r="M395" s="9">
        <v>9</v>
      </c>
      <c r="N395" s="16">
        <f>ROUND(IF('Dashboard Visualization'!$U$3="",'Working Data'!$M395,'Working Data'!$M395*(100% +'Dashboard Visualization'!$U$3)),0)</f>
        <v>9</v>
      </c>
      <c r="O395" s="19">
        <v>1137.4100000000001</v>
      </c>
      <c r="P395" s="20">
        <f>IF('Dashboard Visualization'!$U$2="",'Working Data'!$O395*'Working Data'!$N395,'Working Data'!$O395*'Working Data'!$N395*(100%+'Dashboard Visualization'!$U$2))</f>
        <v>10236.69</v>
      </c>
      <c r="Q395" s="19">
        <v>1680.93</v>
      </c>
      <c r="R395" s="20">
        <f t="shared" si="64"/>
        <v>1253.97378</v>
      </c>
      <c r="S395" s="11">
        <v>0.254</v>
      </c>
      <c r="T395" s="22">
        <f>IF('Dashboard Visualization'!$U$1="",$S395,IF(S395&gt;'Dashboard Visualization'!$U$1,'Dashboard Visualization'!$U$1,S395))</f>
        <v>0.254</v>
      </c>
      <c r="U395" s="20">
        <f t="shared" si="65"/>
        <v>8419.17995892</v>
      </c>
      <c r="V395" s="20">
        <f t="shared" si="66"/>
        <v>-1817.5100410800005</v>
      </c>
      <c r="W395" s="22">
        <f t="shared" si="62"/>
        <v>0</v>
      </c>
      <c r="X395" s="28" t="str">
        <f>TEXT(B395,"MMM-YYYY")</f>
        <v>Mar-2024</v>
      </c>
      <c r="Y395" s="7" t="str">
        <f t="shared" si="67"/>
        <v>Q1-2024</v>
      </c>
      <c r="Z395" s="7" t="str">
        <f t="shared" si="68"/>
        <v>High Price</v>
      </c>
      <c r="AA395" s="7" t="str">
        <f t="shared" si="69"/>
        <v>Q1</v>
      </c>
      <c r="AB395" s="28" t="str">
        <f t="shared" si="70"/>
        <v>Mar</v>
      </c>
      <c r="AC395" s="28" t="str">
        <f t="shared" si="71"/>
        <v>2024</v>
      </c>
    </row>
    <row r="396" spans="1:29" x14ac:dyDescent="0.25">
      <c r="A396" s="4" t="s">
        <v>408</v>
      </c>
      <c r="B396" s="14">
        <v>45075</v>
      </c>
      <c r="C396" s="14">
        <v>45097</v>
      </c>
      <c r="D396" s="16">
        <f t="shared" si="63"/>
        <v>22</v>
      </c>
      <c r="E396" s="4" t="s">
        <v>649</v>
      </c>
      <c r="F396" s="4" t="s">
        <v>658</v>
      </c>
      <c r="G396" s="4" t="s">
        <v>683</v>
      </c>
      <c r="H396" s="4" t="s">
        <v>705</v>
      </c>
      <c r="I396" s="4" t="s">
        <v>711</v>
      </c>
      <c r="J396" s="4" t="s">
        <v>723</v>
      </c>
      <c r="K396" s="4" t="s">
        <v>727</v>
      </c>
      <c r="L396" s="4" t="s">
        <v>1127</v>
      </c>
      <c r="M396" s="9">
        <v>8</v>
      </c>
      <c r="N396" s="16">
        <f>ROUND(IF('Dashboard Visualization'!$U$3="",'Working Data'!$M396,'Working Data'!$M396*(100% +'Dashboard Visualization'!$U$3)),0)</f>
        <v>8</v>
      </c>
      <c r="O396" s="19">
        <v>1295.3900000000001</v>
      </c>
      <c r="P396" s="20">
        <f>IF('Dashboard Visualization'!$U$2="",'Working Data'!$O396*'Working Data'!$N396,'Working Data'!$O396*'Working Data'!$N396*(100%+'Dashboard Visualization'!$U$2))</f>
        <v>10363.120000000001</v>
      </c>
      <c r="Q396" s="19">
        <v>2905.06</v>
      </c>
      <c r="R396" s="20">
        <f t="shared" si="64"/>
        <v>2475.11112</v>
      </c>
      <c r="S396" s="11">
        <v>0.14799999999999999</v>
      </c>
      <c r="T396" s="22">
        <f>IF('Dashboard Visualization'!$U$1="",$S396,IF(S396&gt;'Dashboard Visualization'!$U$1,'Dashboard Visualization'!$U$1,S396))</f>
        <v>0.14799999999999999</v>
      </c>
      <c r="U396" s="20">
        <f t="shared" si="65"/>
        <v>16870.35739392</v>
      </c>
      <c r="V396" s="20">
        <f t="shared" si="66"/>
        <v>6507.2373939199988</v>
      </c>
      <c r="W396" s="22">
        <f t="shared" si="62"/>
        <v>0.38572018612155651</v>
      </c>
      <c r="X396" s="28" t="str">
        <f>TEXT(B396,"MMM-YYYY")</f>
        <v>May-2023</v>
      </c>
      <c r="Y396" s="7" t="str">
        <f t="shared" si="67"/>
        <v>Q2-2023</v>
      </c>
      <c r="Z396" s="7" t="str">
        <f t="shared" si="68"/>
        <v>Medium Price</v>
      </c>
      <c r="AA396" s="7" t="str">
        <f t="shared" si="69"/>
        <v>Q2</v>
      </c>
      <c r="AB396" s="28" t="str">
        <f t="shared" si="70"/>
        <v>May</v>
      </c>
      <c r="AC396" s="28" t="str">
        <f t="shared" si="71"/>
        <v>2023</v>
      </c>
    </row>
    <row r="397" spans="1:29" x14ac:dyDescent="0.25">
      <c r="A397" s="4" t="s">
        <v>409</v>
      </c>
      <c r="B397" s="14">
        <v>45804</v>
      </c>
      <c r="C397" s="14">
        <v>45816</v>
      </c>
      <c r="D397" s="16">
        <f t="shared" si="63"/>
        <v>12</v>
      </c>
      <c r="E397" s="4" t="s">
        <v>647</v>
      </c>
      <c r="F397" s="4" t="s">
        <v>652</v>
      </c>
      <c r="G397" s="4" t="s">
        <v>666</v>
      </c>
      <c r="H397" s="4" t="s">
        <v>701</v>
      </c>
      <c r="I397" s="4" t="s">
        <v>707</v>
      </c>
      <c r="J397" s="4" t="s">
        <v>722</v>
      </c>
      <c r="K397" s="4" t="s">
        <v>733</v>
      </c>
      <c r="L397" s="4" t="s">
        <v>1128</v>
      </c>
      <c r="M397" s="9">
        <v>19</v>
      </c>
      <c r="N397" s="16">
        <f>ROUND(IF('Dashboard Visualization'!$U$3="",'Working Data'!$M397,'Working Data'!$M397*(100% +'Dashboard Visualization'!$U$3)),0)</f>
        <v>19</v>
      </c>
      <c r="O397" s="19">
        <v>653.6</v>
      </c>
      <c r="P397" s="20">
        <f>IF('Dashboard Visualization'!$U$2="",'Working Data'!$O397*'Working Data'!$N397,'Working Data'!$O397*'Working Data'!$N397*(100%+'Dashboard Visualization'!$U$2))</f>
        <v>12418.4</v>
      </c>
      <c r="Q397" s="19">
        <v>842.09</v>
      </c>
      <c r="R397" s="20">
        <f t="shared" si="64"/>
        <v>759.56518000000005</v>
      </c>
      <c r="S397" s="11">
        <v>9.8000000000000004E-2</v>
      </c>
      <c r="T397" s="22">
        <f>IF('Dashboard Visualization'!$U$1="",$S397,IF(S397&gt;'Dashboard Visualization'!$U$1,'Dashboard Visualization'!$U$1,S397))</f>
        <v>9.8000000000000004E-2</v>
      </c>
      <c r="U397" s="20">
        <f t="shared" si="65"/>
        <v>13017.428054840002</v>
      </c>
      <c r="V397" s="20">
        <f t="shared" si="66"/>
        <v>599.02805484000237</v>
      </c>
      <c r="W397" s="22">
        <f t="shared" si="62"/>
        <v>4.6017389327324E-2</v>
      </c>
      <c r="X397" s="28" t="str">
        <f>TEXT(B397,"MMM-YYYY")</f>
        <v>May-2025</v>
      </c>
      <c r="Y397" s="7" t="str">
        <f t="shared" si="67"/>
        <v>Q2-2025</v>
      </c>
      <c r="Z397" s="7" t="str">
        <f t="shared" si="68"/>
        <v>High Price</v>
      </c>
      <c r="AA397" s="7" t="str">
        <f t="shared" si="69"/>
        <v>Q2</v>
      </c>
      <c r="AB397" s="28" t="str">
        <f t="shared" si="70"/>
        <v>May</v>
      </c>
      <c r="AC397" s="28" t="str">
        <f t="shared" si="71"/>
        <v>2025</v>
      </c>
    </row>
    <row r="398" spans="1:29" x14ac:dyDescent="0.25">
      <c r="A398" s="4" t="s">
        <v>410</v>
      </c>
      <c r="B398" s="14">
        <v>45890</v>
      </c>
      <c r="C398" s="14">
        <v>45914</v>
      </c>
      <c r="D398" s="16">
        <f t="shared" si="63"/>
        <v>24</v>
      </c>
      <c r="E398" s="4" t="s">
        <v>649</v>
      </c>
      <c r="F398" s="4" t="s">
        <v>656</v>
      </c>
      <c r="G398" s="4" t="s">
        <v>671</v>
      </c>
      <c r="H398" s="4" t="s">
        <v>703</v>
      </c>
      <c r="I398" s="4" t="s">
        <v>708</v>
      </c>
      <c r="J398" s="4" t="s">
        <v>720</v>
      </c>
      <c r="K398" s="4" t="s">
        <v>732</v>
      </c>
      <c r="L398" s="4" t="s">
        <v>1129</v>
      </c>
      <c r="M398" s="9">
        <v>20</v>
      </c>
      <c r="N398" s="16">
        <f>ROUND(IF('Dashboard Visualization'!$U$3="",'Working Data'!$M398,'Working Data'!$M398*(100% +'Dashboard Visualization'!$U$3)),0)</f>
        <v>20</v>
      </c>
      <c r="O398" s="19">
        <v>1397.67</v>
      </c>
      <c r="P398" s="20">
        <f>IF('Dashboard Visualization'!$U$2="",'Working Data'!$O398*'Working Data'!$N398,'Working Data'!$O398*'Working Data'!$N398*(100%+'Dashboard Visualization'!$U$2))</f>
        <v>27953.4</v>
      </c>
      <c r="Q398" s="19">
        <v>3131.37</v>
      </c>
      <c r="R398" s="20">
        <f t="shared" si="64"/>
        <v>2808.83889</v>
      </c>
      <c r="S398" s="11">
        <v>0.10299999999999999</v>
      </c>
      <c r="T398" s="22">
        <f>IF('Dashboard Visualization'!$U$1="",$S398,IF(S398&gt;'Dashboard Visualization'!$U$1,'Dashboard Visualization'!$U$1,S398))</f>
        <v>0.10299999999999999</v>
      </c>
      <c r="U398" s="20">
        <f t="shared" si="65"/>
        <v>50390.5696866</v>
      </c>
      <c r="V398" s="20">
        <f t="shared" si="66"/>
        <v>22437.169686599998</v>
      </c>
      <c r="W398" s="22">
        <f t="shared" si="62"/>
        <v>0.44526525153706592</v>
      </c>
      <c r="X398" s="28" t="str">
        <f>TEXT(B398,"MMM-YYYY")</f>
        <v>Aug-2025</v>
      </c>
      <c r="Y398" s="7" t="str">
        <f t="shared" si="67"/>
        <v>Q3-2025</v>
      </c>
      <c r="Z398" s="7" t="str">
        <f t="shared" si="68"/>
        <v>Medium Price</v>
      </c>
      <c r="AA398" s="7" t="str">
        <f t="shared" si="69"/>
        <v>Q3</v>
      </c>
      <c r="AB398" s="28" t="str">
        <f t="shared" si="70"/>
        <v>Aug</v>
      </c>
      <c r="AC398" s="28" t="str">
        <f t="shared" si="71"/>
        <v>2025</v>
      </c>
    </row>
    <row r="399" spans="1:29" x14ac:dyDescent="0.25">
      <c r="A399" s="4" t="s">
        <v>411</v>
      </c>
      <c r="B399" s="14">
        <v>45638</v>
      </c>
      <c r="C399" s="14">
        <v>45646</v>
      </c>
      <c r="D399" s="16">
        <f t="shared" si="63"/>
        <v>8</v>
      </c>
      <c r="E399" s="4" t="s">
        <v>647</v>
      </c>
      <c r="F399" s="4" t="s">
        <v>652</v>
      </c>
      <c r="G399" s="4" t="s">
        <v>689</v>
      </c>
      <c r="H399" s="4" t="s">
        <v>701</v>
      </c>
      <c r="I399" s="4" t="s">
        <v>707</v>
      </c>
      <c r="J399" s="4" t="s">
        <v>717</v>
      </c>
      <c r="K399" s="4" t="s">
        <v>731</v>
      </c>
      <c r="L399" s="4" t="s">
        <v>1130</v>
      </c>
      <c r="M399" s="9">
        <v>17</v>
      </c>
      <c r="N399" s="16">
        <f>ROUND(IF('Dashboard Visualization'!$U$3="",'Working Data'!$M399,'Working Data'!$M399*(100% +'Dashboard Visualization'!$U$3)),0)</f>
        <v>17</v>
      </c>
      <c r="O399" s="19">
        <v>1202.47</v>
      </c>
      <c r="P399" s="20">
        <f>IF('Dashboard Visualization'!$U$2="",'Working Data'!$O399*'Working Data'!$N399,'Working Data'!$O399*'Working Data'!$N399*(100%+'Dashboard Visualization'!$U$2))</f>
        <v>20441.990000000002</v>
      </c>
      <c r="Q399" s="19">
        <v>1444.72</v>
      </c>
      <c r="R399" s="20">
        <f t="shared" si="64"/>
        <v>1096.5424800000001</v>
      </c>
      <c r="S399" s="11">
        <v>0.24099999999999999</v>
      </c>
      <c r="T399" s="22">
        <f>IF('Dashboard Visualization'!$U$1="",$S399,IF(S399&gt;'Dashboard Visualization'!$U$1,'Dashboard Visualization'!$U$1,S399))</f>
        <v>0.24099999999999999</v>
      </c>
      <c r="U399" s="20">
        <f t="shared" si="65"/>
        <v>14148.687619440001</v>
      </c>
      <c r="V399" s="20">
        <f t="shared" si="66"/>
        <v>-6293.3023805600005</v>
      </c>
      <c r="W399" s="22">
        <f t="shared" si="62"/>
        <v>0</v>
      </c>
      <c r="X399" s="28" t="str">
        <f>TEXT(B399,"MMM-YYYY")</f>
        <v>Dec-2024</v>
      </c>
      <c r="Y399" s="7" t="str">
        <f t="shared" si="67"/>
        <v>Q4-2024</v>
      </c>
      <c r="Z399" s="7" t="str">
        <f t="shared" si="68"/>
        <v>High Price</v>
      </c>
      <c r="AA399" s="7" t="str">
        <f t="shared" si="69"/>
        <v>Q4</v>
      </c>
      <c r="AB399" s="28" t="str">
        <f t="shared" si="70"/>
        <v>Dec</v>
      </c>
      <c r="AC399" s="28" t="str">
        <f t="shared" si="71"/>
        <v>2024</v>
      </c>
    </row>
    <row r="400" spans="1:29" x14ac:dyDescent="0.25">
      <c r="A400" s="4" t="s">
        <v>412</v>
      </c>
      <c r="B400" s="14">
        <v>45914</v>
      </c>
      <c r="C400" s="14">
        <v>45923</v>
      </c>
      <c r="D400" s="16">
        <f t="shared" si="63"/>
        <v>9</v>
      </c>
      <c r="E400" s="4" t="s">
        <v>646</v>
      </c>
      <c r="F400" s="4" t="s">
        <v>661</v>
      </c>
      <c r="G400" s="4" t="s">
        <v>687</v>
      </c>
      <c r="H400" s="4" t="s">
        <v>703</v>
      </c>
      <c r="I400" s="4" t="s">
        <v>708</v>
      </c>
      <c r="J400" s="4" t="s">
        <v>726</v>
      </c>
      <c r="K400" s="4" t="s">
        <v>727</v>
      </c>
      <c r="L400" s="4" t="s">
        <v>1131</v>
      </c>
      <c r="M400" s="9">
        <v>5</v>
      </c>
      <c r="N400" s="16">
        <f>ROUND(IF('Dashboard Visualization'!$U$3="",'Working Data'!$M400,'Working Data'!$M400*(100% +'Dashboard Visualization'!$U$3)),0)</f>
        <v>5</v>
      </c>
      <c r="O400" s="19">
        <v>1310.3</v>
      </c>
      <c r="P400" s="20">
        <f>IF('Dashboard Visualization'!$U$2="",'Working Data'!$O400*'Working Data'!$N400,'Working Data'!$O400*'Working Data'!$N400*(100%+'Dashboard Visualization'!$U$2))</f>
        <v>6551.5</v>
      </c>
      <c r="Q400" s="19">
        <v>2875.8</v>
      </c>
      <c r="R400" s="20">
        <f t="shared" si="64"/>
        <v>2637.1086000000005</v>
      </c>
      <c r="S400" s="11">
        <v>8.3000000000000004E-2</v>
      </c>
      <c r="T400" s="22">
        <f>IF('Dashboard Visualization'!$U$1="",$S400,IF(S400&gt;'Dashboard Visualization'!$U$1,'Dashboard Visualization'!$U$1,S400))</f>
        <v>8.3000000000000004E-2</v>
      </c>
      <c r="U400" s="20">
        <f t="shared" si="65"/>
        <v>12091.142931000002</v>
      </c>
      <c r="V400" s="20">
        <f t="shared" si="66"/>
        <v>5539.6429310000021</v>
      </c>
      <c r="W400" s="22">
        <f t="shared" si="62"/>
        <v>0.45815709586867354</v>
      </c>
      <c r="X400" s="28" t="str">
        <f>TEXT(B400,"MMM-YYYY")</f>
        <v>Sep-2025</v>
      </c>
      <c r="Y400" s="7" t="str">
        <f t="shared" si="67"/>
        <v>Q3-2025</v>
      </c>
      <c r="Z400" s="7" t="str">
        <f t="shared" si="68"/>
        <v>Medium Price</v>
      </c>
      <c r="AA400" s="7" t="str">
        <f t="shared" si="69"/>
        <v>Q3</v>
      </c>
      <c r="AB400" s="28" t="str">
        <f t="shared" si="70"/>
        <v>Sep</v>
      </c>
      <c r="AC400" s="28" t="str">
        <f t="shared" si="71"/>
        <v>2025</v>
      </c>
    </row>
    <row r="401" spans="1:29" x14ac:dyDescent="0.25">
      <c r="A401" s="4" t="s">
        <v>413</v>
      </c>
      <c r="B401" s="14">
        <v>45541</v>
      </c>
      <c r="C401" s="14">
        <v>45569</v>
      </c>
      <c r="D401" s="16">
        <f t="shared" si="63"/>
        <v>28</v>
      </c>
      <c r="E401" s="4" t="s">
        <v>646</v>
      </c>
      <c r="F401" s="4" t="s">
        <v>661</v>
      </c>
      <c r="G401" s="4" t="s">
        <v>695</v>
      </c>
      <c r="H401" s="4" t="s">
        <v>701</v>
      </c>
      <c r="I401" s="4" t="s">
        <v>709</v>
      </c>
      <c r="J401" s="4" t="s">
        <v>726</v>
      </c>
      <c r="K401" s="4" t="s">
        <v>732</v>
      </c>
      <c r="L401" s="4" t="s">
        <v>1132</v>
      </c>
      <c r="M401" s="9">
        <v>9</v>
      </c>
      <c r="N401" s="16">
        <f>ROUND(IF('Dashboard Visualization'!$U$3="",'Working Data'!$M401,'Working Data'!$M401*(100% +'Dashboard Visualization'!$U$3)),0)</f>
        <v>9</v>
      </c>
      <c r="O401" s="19">
        <v>1174.17</v>
      </c>
      <c r="P401" s="20">
        <f>IF('Dashboard Visualization'!$U$2="",'Working Data'!$O401*'Working Data'!$N401,'Working Data'!$O401*'Working Data'!$N401*(100%+'Dashboard Visualization'!$U$2))</f>
        <v>10567.53</v>
      </c>
      <c r="Q401" s="19">
        <v>1641.61</v>
      </c>
      <c r="R401" s="20">
        <f t="shared" si="64"/>
        <v>1441.33358</v>
      </c>
      <c r="S401" s="11">
        <v>0.122</v>
      </c>
      <c r="T401" s="22">
        <f>IF('Dashboard Visualization'!$U$1="",$S401,IF(S401&gt;'Dashboard Visualization'!$U$1,'Dashboard Visualization'!$U$1,S401))</f>
        <v>0.122</v>
      </c>
      <c r="U401" s="20">
        <f t="shared" si="65"/>
        <v>11389.417949159999</v>
      </c>
      <c r="V401" s="20">
        <f t="shared" si="66"/>
        <v>821.88794915999824</v>
      </c>
      <c r="W401" s="22">
        <f t="shared" si="62"/>
        <v>7.2162418907510087E-2</v>
      </c>
      <c r="X401" s="28" t="str">
        <f>TEXT(B401,"MMM-YYYY")</f>
        <v>Sep-2024</v>
      </c>
      <c r="Y401" s="7" t="str">
        <f t="shared" si="67"/>
        <v>Q3-2024</v>
      </c>
      <c r="Z401" s="7" t="str">
        <f t="shared" si="68"/>
        <v>High Price</v>
      </c>
      <c r="AA401" s="7" t="str">
        <f t="shared" si="69"/>
        <v>Q3</v>
      </c>
      <c r="AB401" s="28" t="str">
        <f t="shared" si="70"/>
        <v>Sep</v>
      </c>
      <c r="AC401" s="28" t="str">
        <f t="shared" si="71"/>
        <v>2024</v>
      </c>
    </row>
    <row r="402" spans="1:29" x14ac:dyDescent="0.25">
      <c r="A402" s="4" t="s">
        <v>414</v>
      </c>
      <c r="B402" s="14">
        <v>45759</v>
      </c>
      <c r="C402" s="14">
        <v>45777</v>
      </c>
      <c r="D402" s="16">
        <f t="shared" si="63"/>
        <v>18</v>
      </c>
      <c r="E402" s="4" t="s">
        <v>646</v>
      </c>
      <c r="F402" s="4" t="s">
        <v>650</v>
      </c>
      <c r="G402" s="4" t="s">
        <v>662</v>
      </c>
      <c r="H402" s="4" t="s">
        <v>701</v>
      </c>
      <c r="I402" s="4" t="s">
        <v>709</v>
      </c>
      <c r="J402" s="4" t="s">
        <v>721</v>
      </c>
      <c r="K402" s="4" t="s">
        <v>729</v>
      </c>
      <c r="L402" s="4" t="s">
        <v>1133</v>
      </c>
      <c r="M402" s="9">
        <v>14</v>
      </c>
      <c r="N402" s="16">
        <f>ROUND(IF('Dashboard Visualization'!$U$3="",'Working Data'!$M402,'Working Data'!$M402*(100% +'Dashboard Visualization'!$U$3)),0)</f>
        <v>14</v>
      </c>
      <c r="O402" s="19">
        <v>1119.04</v>
      </c>
      <c r="P402" s="20">
        <f>IF('Dashboard Visualization'!$U$2="",'Working Data'!$O402*'Working Data'!$N402,'Working Data'!$O402*'Working Data'!$N402*(100%+'Dashboard Visualization'!$U$2))</f>
        <v>15666.56</v>
      </c>
      <c r="Q402" s="19">
        <v>1299.02</v>
      </c>
      <c r="R402" s="20">
        <f t="shared" si="64"/>
        <v>1266.5445</v>
      </c>
      <c r="S402" s="11">
        <v>2.5000000000000001E-2</v>
      </c>
      <c r="T402" s="22">
        <f>IF('Dashboard Visualization'!$U$1="",$S402,IF(S402&gt;'Dashboard Visualization'!$U$1,'Dashboard Visualization'!$U$1,S402))</f>
        <v>2.5000000000000001E-2</v>
      </c>
      <c r="U402" s="20">
        <f t="shared" si="65"/>
        <v>17288.332425000001</v>
      </c>
      <c r="V402" s="20">
        <f t="shared" si="66"/>
        <v>1621.772425000001</v>
      </c>
      <c r="W402" s="22">
        <f t="shared" si="62"/>
        <v>9.3807336944471145E-2</v>
      </c>
      <c r="X402" s="28" t="str">
        <f>TEXT(B402,"MMM-YYYY")</f>
        <v>Apr-2025</v>
      </c>
      <c r="Y402" s="7" t="str">
        <f t="shared" si="67"/>
        <v>Q2-2025</v>
      </c>
      <c r="Z402" s="7" t="str">
        <f t="shared" si="68"/>
        <v>High Price</v>
      </c>
      <c r="AA402" s="7" t="str">
        <f t="shared" si="69"/>
        <v>Q2</v>
      </c>
      <c r="AB402" s="28" t="str">
        <f t="shared" si="70"/>
        <v>Apr</v>
      </c>
      <c r="AC402" s="28" t="str">
        <f t="shared" si="71"/>
        <v>2025</v>
      </c>
    </row>
    <row r="403" spans="1:29" x14ac:dyDescent="0.25">
      <c r="A403" s="4" t="s">
        <v>415</v>
      </c>
      <c r="B403" s="14">
        <v>45516</v>
      </c>
      <c r="C403" s="14">
        <v>45519</v>
      </c>
      <c r="D403" s="16">
        <f t="shared" si="63"/>
        <v>3</v>
      </c>
      <c r="E403" s="4" t="s">
        <v>648</v>
      </c>
      <c r="F403" s="4" t="s">
        <v>660</v>
      </c>
      <c r="G403" s="4" t="s">
        <v>677</v>
      </c>
      <c r="H403" s="4" t="s">
        <v>701</v>
      </c>
      <c r="I403" s="4" t="s">
        <v>709</v>
      </c>
      <c r="J403" s="4" t="s">
        <v>726</v>
      </c>
      <c r="K403" s="4" t="s">
        <v>728</v>
      </c>
      <c r="L403" s="4" t="s">
        <v>1134</v>
      </c>
      <c r="M403" s="9">
        <v>19</v>
      </c>
      <c r="N403" s="16">
        <f>ROUND(IF('Dashboard Visualization'!$U$3="",'Working Data'!$M403,'Working Data'!$M403*(100% +'Dashboard Visualization'!$U$3)),0)</f>
        <v>19</v>
      </c>
      <c r="O403" s="19">
        <v>850.7</v>
      </c>
      <c r="P403" s="20">
        <f>IF('Dashboard Visualization'!$U$2="",'Working Data'!$O403*'Working Data'!$N403,'Working Data'!$O403*'Working Data'!$N403*(100%+'Dashboard Visualization'!$U$2))</f>
        <v>16163.300000000001</v>
      </c>
      <c r="Q403" s="19">
        <v>1118.56</v>
      </c>
      <c r="R403" s="20">
        <f t="shared" si="64"/>
        <v>917.2192</v>
      </c>
      <c r="S403" s="11">
        <v>0.18</v>
      </c>
      <c r="T403" s="22">
        <f>IF('Dashboard Visualization'!$U$1="",$S403,IF(S403&gt;'Dashboard Visualization'!$U$1,'Dashboard Visualization'!$U$1,S403))</f>
        <v>0.18</v>
      </c>
      <c r="U403" s="20">
        <f t="shared" si="65"/>
        <v>14290.275136000002</v>
      </c>
      <c r="V403" s="20">
        <f t="shared" si="66"/>
        <v>-1873.0248639999991</v>
      </c>
      <c r="W403" s="22">
        <f t="shared" si="62"/>
        <v>0</v>
      </c>
      <c r="X403" s="28" t="str">
        <f>TEXT(B403,"MMM-YYYY")</f>
        <v>Aug-2024</v>
      </c>
      <c r="Y403" s="7" t="str">
        <f t="shared" si="67"/>
        <v>Q3-2024</v>
      </c>
      <c r="Z403" s="7" t="str">
        <f t="shared" si="68"/>
        <v>High Price</v>
      </c>
      <c r="AA403" s="7" t="str">
        <f t="shared" si="69"/>
        <v>Q3</v>
      </c>
      <c r="AB403" s="28" t="str">
        <f t="shared" si="70"/>
        <v>Aug</v>
      </c>
      <c r="AC403" s="28" t="str">
        <f t="shared" si="71"/>
        <v>2024</v>
      </c>
    </row>
    <row r="404" spans="1:29" x14ac:dyDescent="0.25">
      <c r="A404" s="4" t="s">
        <v>416</v>
      </c>
      <c r="B404" s="14">
        <v>45601</v>
      </c>
      <c r="C404" s="14">
        <v>45604</v>
      </c>
      <c r="D404" s="16">
        <f t="shared" si="63"/>
        <v>3</v>
      </c>
      <c r="E404" s="4" t="s">
        <v>648</v>
      </c>
      <c r="F404" s="4" t="s">
        <v>653</v>
      </c>
      <c r="G404" s="4" t="s">
        <v>667</v>
      </c>
      <c r="H404" s="4" t="s">
        <v>702</v>
      </c>
      <c r="I404" s="4" t="s">
        <v>709</v>
      </c>
      <c r="J404" s="4" t="s">
        <v>719</v>
      </c>
      <c r="K404" s="4" t="s">
        <v>727</v>
      </c>
      <c r="L404" s="4" t="s">
        <v>1135</v>
      </c>
      <c r="M404" s="9">
        <v>16</v>
      </c>
      <c r="N404" s="16">
        <f>ROUND(IF('Dashboard Visualization'!$U$3="",'Working Data'!$M404,'Working Data'!$M404*(100% +'Dashboard Visualization'!$U$3)),0)</f>
        <v>16</v>
      </c>
      <c r="O404" s="19">
        <v>1020.4</v>
      </c>
      <c r="P404" s="20">
        <f>IF('Dashboard Visualization'!$U$2="",'Working Data'!$O404*'Working Data'!$N404,'Working Data'!$O404*'Working Data'!$N404*(100%+'Dashboard Visualization'!$U$2))</f>
        <v>16326.4</v>
      </c>
      <c r="Q404" s="19">
        <v>1184.71</v>
      </c>
      <c r="R404" s="20">
        <f t="shared" si="64"/>
        <v>1059.1307400000001</v>
      </c>
      <c r="S404" s="11">
        <v>0.106</v>
      </c>
      <c r="T404" s="22">
        <f>IF('Dashboard Visualization'!$U$1="",$S404,IF(S404&gt;'Dashboard Visualization'!$U$1,'Dashboard Visualization'!$U$1,S404))</f>
        <v>0.106</v>
      </c>
      <c r="U404" s="20">
        <f t="shared" si="65"/>
        <v>15149.806104960002</v>
      </c>
      <c r="V404" s="20">
        <f t="shared" si="66"/>
        <v>-1176.5938950399977</v>
      </c>
      <c r="W404" s="22">
        <f t="shared" si="62"/>
        <v>0</v>
      </c>
      <c r="X404" s="28" t="str">
        <f>TEXT(B404,"MMM-YYYY")</f>
        <v>Nov-2024</v>
      </c>
      <c r="Y404" s="7" t="str">
        <f t="shared" si="67"/>
        <v>Q4-2024</v>
      </c>
      <c r="Z404" s="7" t="str">
        <f t="shared" si="68"/>
        <v>High Price</v>
      </c>
      <c r="AA404" s="7" t="str">
        <f t="shared" si="69"/>
        <v>Q4</v>
      </c>
      <c r="AB404" s="28" t="str">
        <f t="shared" si="70"/>
        <v>Nov</v>
      </c>
      <c r="AC404" s="28" t="str">
        <f t="shared" si="71"/>
        <v>2024</v>
      </c>
    </row>
    <row r="405" spans="1:29" x14ac:dyDescent="0.25">
      <c r="A405" s="4" t="s">
        <v>417</v>
      </c>
      <c r="B405" s="14">
        <v>45497</v>
      </c>
      <c r="C405" s="14">
        <v>45512</v>
      </c>
      <c r="D405" s="16">
        <f t="shared" si="63"/>
        <v>15</v>
      </c>
      <c r="E405" s="4" t="s">
        <v>649</v>
      </c>
      <c r="F405" s="4" t="s">
        <v>657</v>
      </c>
      <c r="G405" s="4" t="s">
        <v>673</v>
      </c>
      <c r="H405" s="4" t="s">
        <v>706</v>
      </c>
      <c r="I405" s="4" t="s">
        <v>709</v>
      </c>
      <c r="J405" s="4" t="s">
        <v>722</v>
      </c>
      <c r="K405" s="4" t="s">
        <v>731</v>
      </c>
      <c r="L405" s="4" t="s">
        <v>1136</v>
      </c>
      <c r="M405" s="9">
        <v>5</v>
      </c>
      <c r="N405" s="16">
        <f>ROUND(IF('Dashboard Visualization'!$U$3="",'Working Data'!$M405,'Working Data'!$M405*(100% +'Dashboard Visualization'!$U$3)),0)</f>
        <v>5</v>
      </c>
      <c r="O405" s="19">
        <v>501.5</v>
      </c>
      <c r="P405" s="20">
        <f>IF('Dashboard Visualization'!$U$2="",'Working Data'!$O405*'Working Data'!$N405,'Working Data'!$O405*'Working Data'!$N405*(100%+'Dashboard Visualization'!$U$2))</f>
        <v>2507.5</v>
      </c>
      <c r="Q405" s="19">
        <v>1201.47</v>
      </c>
      <c r="R405" s="20">
        <f t="shared" si="64"/>
        <v>1050.0847799999999</v>
      </c>
      <c r="S405" s="11">
        <v>0.126</v>
      </c>
      <c r="T405" s="22">
        <f>IF('Dashboard Visualization'!$U$1="",$S405,IF(S405&gt;'Dashboard Visualization'!$U$1,'Dashboard Visualization'!$U$1,S405))</f>
        <v>0.126</v>
      </c>
      <c r="U405" s="20">
        <f t="shared" si="65"/>
        <v>4588.8704885999996</v>
      </c>
      <c r="V405" s="20">
        <f t="shared" si="66"/>
        <v>2081.3704885999996</v>
      </c>
      <c r="W405" s="22">
        <f t="shared" si="62"/>
        <v>0.453569237521671</v>
      </c>
      <c r="X405" s="28" t="str">
        <f>TEXT(B405,"MMM-YYYY")</f>
        <v>Jul-2024</v>
      </c>
      <c r="Y405" s="7" t="str">
        <f t="shared" si="67"/>
        <v>Q3-2024</v>
      </c>
      <c r="Z405" s="7" t="str">
        <f t="shared" si="68"/>
        <v>High Price</v>
      </c>
      <c r="AA405" s="7" t="str">
        <f t="shared" si="69"/>
        <v>Q3</v>
      </c>
      <c r="AB405" s="28" t="str">
        <f t="shared" si="70"/>
        <v>Jul</v>
      </c>
      <c r="AC405" s="28" t="str">
        <f t="shared" si="71"/>
        <v>2024</v>
      </c>
    </row>
    <row r="406" spans="1:29" x14ac:dyDescent="0.25">
      <c r="A406" s="4" t="s">
        <v>418</v>
      </c>
      <c r="B406" s="14">
        <v>45677</v>
      </c>
      <c r="C406" s="14">
        <v>45691</v>
      </c>
      <c r="D406" s="16">
        <f t="shared" si="63"/>
        <v>14</v>
      </c>
      <c r="E406" s="4" t="s">
        <v>648</v>
      </c>
      <c r="F406" s="4" t="s">
        <v>655</v>
      </c>
      <c r="G406" s="4" t="s">
        <v>672</v>
      </c>
      <c r="H406" s="4" t="s">
        <v>706</v>
      </c>
      <c r="I406" s="4" t="s">
        <v>709</v>
      </c>
      <c r="J406" s="4" t="s">
        <v>721</v>
      </c>
      <c r="K406" s="4" t="s">
        <v>727</v>
      </c>
      <c r="L406" s="4" t="s">
        <v>1137</v>
      </c>
      <c r="M406" s="9">
        <v>10</v>
      </c>
      <c r="N406" s="16">
        <f>ROUND(IF('Dashboard Visualization'!$U$3="",'Working Data'!$M406,'Working Data'!$M406*(100% +'Dashboard Visualization'!$U$3)),0)</f>
        <v>10</v>
      </c>
      <c r="O406" s="19">
        <v>974.11</v>
      </c>
      <c r="P406" s="20">
        <f>IF('Dashboard Visualization'!$U$2="",'Working Data'!$O406*'Working Data'!$N406,'Working Data'!$O406*'Working Data'!$N406*(100%+'Dashboard Visualization'!$U$2))</f>
        <v>9741.1</v>
      </c>
      <c r="Q406" s="19">
        <v>880.99</v>
      </c>
      <c r="R406" s="20">
        <f t="shared" si="64"/>
        <v>783.20011</v>
      </c>
      <c r="S406" s="11">
        <v>0.111</v>
      </c>
      <c r="T406" s="22">
        <f>IF('Dashboard Visualization'!$U$1="",$S406,IF(S406&gt;'Dashboard Visualization'!$U$1,'Dashboard Visualization'!$U$1,S406))</f>
        <v>0.111</v>
      </c>
      <c r="U406" s="20">
        <f t="shared" si="65"/>
        <v>6962.6489778999994</v>
      </c>
      <c r="V406" s="20">
        <f t="shared" si="66"/>
        <v>-2778.451022100001</v>
      </c>
      <c r="W406" s="22">
        <f t="shared" si="62"/>
        <v>0</v>
      </c>
      <c r="X406" s="28" t="str">
        <f>TEXT(B406,"MMM-YYYY")</f>
        <v>Jan-2025</v>
      </c>
      <c r="Y406" s="7" t="str">
        <f t="shared" si="67"/>
        <v>Q1-2025</v>
      </c>
      <c r="Z406" s="7" t="str">
        <f t="shared" si="68"/>
        <v>High Price</v>
      </c>
      <c r="AA406" s="7" t="str">
        <f t="shared" si="69"/>
        <v>Q1</v>
      </c>
      <c r="AB406" s="28" t="str">
        <f t="shared" si="70"/>
        <v>Jan</v>
      </c>
      <c r="AC406" s="28" t="str">
        <f t="shared" si="71"/>
        <v>2025</v>
      </c>
    </row>
    <row r="407" spans="1:29" x14ac:dyDescent="0.25">
      <c r="A407" s="4" t="s">
        <v>419</v>
      </c>
      <c r="B407" s="14">
        <v>44991</v>
      </c>
      <c r="C407" s="14">
        <v>45020</v>
      </c>
      <c r="D407" s="16">
        <f t="shared" si="63"/>
        <v>29</v>
      </c>
      <c r="E407" s="4" t="s">
        <v>647</v>
      </c>
      <c r="F407" s="4" t="s">
        <v>659</v>
      </c>
      <c r="G407" s="4" t="s">
        <v>699</v>
      </c>
      <c r="H407" s="4" t="s">
        <v>705</v>
      </c>
      <c r="I407" s="4" t="s">
        <v>711</v>
      </c>
      <c r="J407" s="4" t="s">
        <v>712</v>
      </c>
      <c r="K407" s="4" t="s">
        <v>732</v>
      </c>
      <c r="L407" s="4" t="s">
        <v>1138</v>
      </c>
      <c r="M407" s="9">
        <v>7</v>
      </c>
      <c r="N407" s="16">
        <f>ROUND(IF('Dashboard Visualization'!$U$3="",'Working Data'!$M407,'Working Data'!$M407*(100% +'Dashboard Visualization'!$U$3)),0)</f>
        <v>7</v>
      </c>
      <c r="O407" s="19">
        <v>1126.29</v>
      </c>
      <c r="P407" s="20">
        <f>IF('Dashboard Visualization'!$U$2="",'Working Data'!$O407*'Working Data'!$N407,'Working Data'!$O407*'Working Data'!$N407*(100%+'Dashboard Visualization'!$U$2))</f>
        <v>7884.03</v>
      </c>
      <c r="Q407" s="19">
        <v>2050.87</v>
      </c>
      <c r="R407" s="20">
        <f t="shared" si="64"/>
        <v>1919.6143199999997</v>
      </c>
      <c r="S407" s="11">
        <v>6.4000000000000001E-2</v>
      </c>
      <c r="T407" s="22">
        <f>IF('Dashboard Visualization'!$U$1="",$S407,IF(S407&gt;'Dashboard Visualization'!$U$1,'Dashboard Visualization'!$U$1,S407))</f>
        <v>6.4000000000000001E-2</v>
      </c>
      <c r="U407" s="20">
        <f t="shared" si="65"/>
        <v>12577.313024639998</v>
      </c>
      <c r="V407" s="20">
        <f t="shared" si="66"/>
        <v>4693.2830246399981</v>
      </c>
      <c r="W407" s="22">
        <f t="shared" si="62"/>
        <v>0.37315466470823044</v>
      </c>
      <c r="X407" s="28" t="str">
        <f>TEXT(B407,"MMM-YYYY")</f>
        <v>Mar-2023</v>
      </c>
      <c r="Y407" s="7" t="str">
        <f t="shared" si="67"/>
        <v>Q1-2023</v>
      </c>
      <c r="Z407" s="7" t="str">
        <f t="shared" si="68"/>
        <v>Medium Price</v>
      </c>
      <c r="AA407" s="7" t="str">
        <f t="shared" si="69"/>
        <v>Q1</v>
      </c>
      <c r="AB407" s="28" t="str">
        <f t="shared" si="70"/>
        <v>Mar</v>
      </c>
      <c r="AC407" s="28" t="str">
        <f t="shared" si="71"/>
        <v>2023</v>
      </c>
    </row>
    <row r="408" spans="1:29" x14ac:dyDescent="0.25">
      <c r="A408" s="4" t="s">
        <v>420</v>
      </c>
      <c r="B408" s="14">
        <v>45646</v>
      </c>
      <c r="C408" s="14">
        <v>45671</v>
      </c>
      <c r="D408" s="16">
        <f t="shared" si="63"/>
        <v>25</v>
      </c>
      <c r="E408" s="4" t="s">
        <v>647</v>
      </c>
      <c r="F408" s="4" t="s">
        <v>654</v>
      </c>
      <c r="G408" s="4" t="s">
        <v>680</v>
      </c>
      <c r="H408" s="4" t="s">
        <v>705</v>
      </c>
      <c r="I408" s="4" t="s">
        <v>707</v>
      </c>
      <c r="J408" s="4" t="s">
        <v>724</v>
      </c>
      <c r="K408" s="4" t="s">
        <v>728</v>
      </c>
      <c r="L408" s="4" t="s">
        <v>1139</v>
      </c>
      <c r="M408" s="9">
        <v>14</v>
      </c>
      <c r="N408" s="16">
        <f>ROUND(IF('Dashboard Visualization'!$U$3="",'Working Data'!$M408,'Working Data'!$M408*(100% +'Dashboard Visualization'!$U$3)),0)</f>
        <v>14</v>
      </c>
      <c r="O408" s="19">
        <v>1361.34</v>
      </c>
      <c r="P408" s="20">
        <f>IF('Dashboard Visualization'!$U$2="",'Working Data'!$O408*'Working Data'!$N408,'Working Data'!$O408*'Working Data'!$N408*(100%+'Dashboard Visualization'!$U$2))</f>
        <v>19058.759999999998</v>
      </c>
      <c r="Q408" s="19">
        <v>1737.9</v>
      </c>
      <c r="R408" s="20">
        <f t="shared" si="64"/>
        <v>1604.0817000000002</v>
      </c>
      <c r="S408" s="11">
        <v>7.6999999999999999E-2</v>
      </c>
      <c r="T408" s="22">
        <f>IF('Dashboard Visualization'!$U$1="",$S408,IF(S408&gt;'Dashboard Visualization'!$U$1,'Dashboard Visualization'!$U$1,S408))</f>
        <v>7.6999999999999999E-2</v>
      </c>
      <c r="U408" s="20">
        <f t="shared" si="65"/>
        <v>20727.943727400005</v>
      </c>
      <c r="V408" s="20">
        <f t="shared" si="66"/>
        <v>1669.1837274000063</v>
      </c>
      <c r="W408" s="22">
        <f t="shared" si="62"/>
        <v>8.0528186941839955E-2</v>
      </c>
      <c r="X408" s="28" t="str">
        <f>TEXT(B408,"MMM-YYYY")</f>
        <v>Dec-2024</v>
      </c>
      <c r="Y408" s="7" t="str">
        <f t="shared" si="67"/>
        <v>Q4-2024</v>
      </c>
      <c r="Z408" s="7" t="str">
        <f t="shared" si="68"/>
        <v>High Price</v>
      </c>
      <c r="AA408" s="7" t="str">
        <f t="shared" si="69"/>
        <v>Q4</v>
      </c>
      <c r="AB408" s="28" t="str">
        <f t="shared" si="70"/>
        <v>Dec</v>
      </c>
      <c r="AC408" s="28" t="str">
        <f t="shared" si="71"/>
        <v>2024</v>
      </c>
    </row>
    <row r="409" spans="1:29" x14ac:dyDescent="0.25">
      <c r="A409" s="4" t="s">
        <v>421</v>
      </c>
      <c r="B409" s="14">
        <v>45709</v>
      </c>
      <c r="C409" s="14">
        <v>45737</v>
      </c>
      <c r="D409" s="16">
        <f t="shared" si="63"/>
        <v>28</v>
      </c>
      <c r="E409" s="4" t="s">
        <v>646</v>
      </c>
      <c r="F409" s="4" t="s">
        <v>651</v>
      </c>
      <c r="G409" s="4" t="s">
        <v>669</v>
      </c>
      <c r="H409" s="4" t="s">
        <v>706</v>
      </c>
      <c r="I409" s="4" t="s">
        <v>709</v>
      </c>
      <c r="J409" s="4" t="s">
        <v>714</v>
      </c>
      <c r="K409" s="4" t="s">
        <v>730</v>
      </c>
      <c r="L409" s="4" t="s">
        <v>1140</v>
      </c>
      <c r="M409" s="9">
        <v>18</v>
      </c>
      <c r="N409" s="16">
        <f>ROUND(IF('Dashboard Visualization'!$U$3="",'Working Data'!$M409,'Working Data'!$M409*(100% +'Dashboard Visualization'!$U$3)),0)</f>
        <v>18</v>
      </c>
      <c r="O409" s="19">
        <v>1437.39</v>
      </c>
      <c r="P409" s="20">
        <f>IF('Dashboard Visualization'!$U$2="",'Working Data'!$O409*'Working Data'!$N409,'Working Data'!$O409*'Working Data'!$N409*(100%+'Dashboard Visualization'!$U$2))</f>
        <v>25873.02</v>
      </c>
      <c r="Q409" s="19">
        <v>1388.31</v>
      </c>
      <c r="R409" s="20">
        <f t="shared" si="64"/>
        <v>1196.7232199999999</v>
      </c>
      <c r="S409" s="11">
        <v>0.13800000000000001</v>
      </c>
      <c r="T409" s="22">
        <f>IF('Dashboard Visualization'!$U$1="",$S409,IF(S409&gt;'Dashboard Visualization'!$U$1,'Dashboard Visualization'!$U$1,S409))</f>
        <v>0.13800000000000001</v>
      </c>
      <c r="U409" s="20">
        <f t="shared" si="65"/>
        <v>18568.357481519997</v>
      </c>
      <c r="V409" s="20">
        <f t="shared" si="66"/>
        <v>-7304.6625184800032</v>
      </c>
      <c r="W409" s="22">
        <f t="shared" si="62"/>
        <v>0</v>
      </c>
      <c r="X409" s="28" t="str">
        <f>TEXT(B409,"MMM-YYYY")</f>
        <v>Feb-2025</v>
      </c>
      <c r="Y409" s="7" t="str">
        <f t="shared" si="67"/>
        <v>Q1-2025</v>
      </c>
      <c r="Z409" s="7" t="str">
        <f t="shared" si="68"/>
        <v>High Price</v>
      </c>
      <c r="AA409" s="7" t="str">
        <f t="shared" si="69"/>
        <v>Q1</v>
      </c>
      <c r="AB409" s="28" t="str">
        <f t="shared" si="70"/>
        <v>Feb</v>
      </c>
      <c r="AC409" s="28" t="str">
        <f t="shared" si="71"/>
        <v>2025</v>
      </c>
    </row>
    <row r="410" spans="1:29" x14ac:dyDescent="0.25">
      <c r="A410" s="4" t="s">
        <v>422</v>
      </c>
      <c r="B410" s="14">
        <v>45724</v>
      </c>
      <c r="C410" s="14">
        <v>45731</v>
      </c>
      <c r="D410" s="16">
        <f t="shared" si="63"/>
        <v>7</v>
      </c>
      <c r="E410" s="4" t="s">
        <v>647</v>
      </c>
      <c r="F410" s="4" t="s">
        <v>654</v>
      </c>
      <c r="G410" s="4" t="s">
        <v>668</v>
      </c>
      <c r="H410" s="4" t="s">
        <v>701</v>
      </c>
      <c r="I410" s="4" t="s">
        <v>710</v>
      </c>
      <c r="J410" s="4" t="s">
        <v>723</v>
      </c>
      <c r="K410" s="4" t="s">
        <v>731</v>
      </c>
      <c r="L410" s="4" t="s">
        <v>1141</v>
      </c>
      <c r="M410" s="9">
        <v>11</v>
      </c>
      <c r="N410" s="16">
        <f>ROUND(IF('Dashboard Visualization'!$U$3="",'Working Data'!$M410,'Working Data'!$M410*(100% +'Dashboard Visualization'!$U$3)),0)</f>
        <v>11</v>
      </c>
      <c r="O410" s="19">
        <v>475.66</v>
      </c>
      <c r="P410" s="20">
        <f>IF('Dashboard Visualization'!$U$2="",'Working Data'!$O410*'Working Data'!$N410,'Working Data'!$O410*'Working Data'!$N410*(100%+'Dashboard Visualization'!$U$2))</f>
        <v>5232.26</v>
      </c>
      <c r="Q410" s="19">
        <v>529.14</v>
      </c>
      <c r="R410" s="20">
        <f t="shared" si="64"/>
        <v>425.42856</v>
      </c>
      <c r="S410" s="11">
        <v>0.19600000000000001</v>
      </c>
      <c r="T410" s="22">
        <f>IF('Dashboard Visualization'!$U$1="",$S410,IF(S410&gt;'Dashboard Visualization'!$U$1,'Dashboard Visualization'!$U$1,S410))</f>
        <v>0.19600000000000001</v>
      </c>
      <c r="U410" s="20">
        <f t="shared" si="65"/>
        <v>3762.4901846399998</v>
      </c>
      <c r="V410" s="20">
        <f t="shared" si="66"/>
        <v>-1469.7698153600004</v>
      </c>
      <c r="W410" s="22">
        <f t="shared" si="62"/>
        <v>0</v>
      </c>
      <c r="X410" s="28" t="str">
        <f>TEXT(B410,"MMM-YYYY")</f>
        <v>Mar-2025</v>
      </c>
      <c r="Y410" s="7" t="str">
        <f t="shared" si="67"/>
        <v>Q1-2025</v>
      </c>
      <c r="Z410" s="7" t="str">
        <f t="shared" si="68"/>
        <v>Low Price</v>
      </c>
      <c r="AA410" s="7" t="str">
        <f t="shared" si="69"/>
        <v>Q1</v>
      </c>
      <c r="AB410" s="28" t="str">
        <f t="shared" si="70"/>
        <v>Mar</v>
      </c>
      <c r="AC410" s="28" t="str">
        <f t="shared" si="71"/>
        <v>2025</v>
      </c>
    </row>
    <row r="411" spans="1:29" x14ac:dyDescent="0.25">
      <c r="A411" s="4" t="s">
        <v>423</v>
      </c>
      <c r="B411" s="14">
        <v>45276</v>
      </c>
      <c r="C411" s="14">
        <v>45279</v>
      </c>
      <c r="D411" s="16">
        <f t="shared" si="63"/>
        <v>3</v>
      </c>
      <c r="E411" s="4" t="s">
        <v>647</v>
      </c>
      <c r="F411" s="4" t="s">
        <v>659</v>
      </c>
      <c r="G411" s="4" t="s">
        <v>699</v>
      </c>
      <c r="H411" s="4" t="s">
        <v>702</v>
      </c>
      <c r="I411" s="4" t="s">
        <v>707</v>
      </c>
      <c r="J411" s="4" t="s">
        <v>720</v>
      </c>
      <c r="K411" s="4" t="s">
        <v>733</v>
      </c>
      <c r="L411" s="4" t="s">
        <v>1142</v>
      </c>
      <c r="M411" s="9">
        <v>12</v>
      </c>
      <c r="N411" s="16">
        <f>ROUND(IF('Dashboard Visualization'!$U$3="",'Working Data'!$M411,'Working Data'!$M411*(100% +'Dashboard Visualization'!$U$3)),0)</f>
        <v>12</v>
      </c>
      <c r="O411" s="19">
        <v>1415.05</v>
      </c>
      <c r="P411" s="20">
        <f>IF('Dashboard Visualization'!$U$2="",'Working Data'!$O411*'Working Data'!$N411,'Working Data'!$O411*'Working Data'!$N411*(100%+'Dashboard Visualization'!$U$2))</f>
        <v>16980.599999999999</v>
      </c>
      <c r="Q411" s="19">
        <v>1972.38</v>
      </c>
      <c r="R411" s="20">
        <f t="shared" si="64"/>
        <v>1972.38</v>
      </c>
      <c r="S411" s="11">
        <v>0</v>
      </c>
      <c r="T411" s="22">
        <f>IF('Dashboard Visualization'!$U$1="",$S411,IF(S411&gt;'Dashboard Visualization'!$U$1,'Dashboard Visualization'!$U$1,S411))</f>
        <v>0</v>
      </c>
      <c r="U411" s="20">
        <f t="shared" si="65"/>
        <v>23668.560000000001</v>
      </c>
      <c r="V411" s="20">
        <f t="shared" si="66"/>
        <v>6687.9600000000028</v>
      </c>
      <c r="W411" s="22">
        <f t="shared" si="62"/>
        <v>0.28256725377462771</v>
      </c>
      <c r="X411" s="28" t="str">
        <f>TEXT(B411,"MMM-YYYY")</f>
        <v>Dec-2023</v>
      </c>
      <c r="Y411" s="7" t="str">
        <f t="shared" si="67"/>
        <v>Q4-2023</v>
      </c>
      <c r="Z411" s="7" t="str">
        <f t="shared" si="68"/>
        <v>Medium Price</v>
      </c>
      <c r="AA411" s="7" t="str">
        <f t="shared" si="69"/>
        <v>Q4</v>
      </c>
      <c r="AB411" s="28" t="str">
        <f t="shared" si="70"/>
        <v>Dec</v>
      </c>
      <c r="AC411" s="28" t="str">
        <f t="shared" si="71"/>
        <v>2023</v>
      </c>
    </row>
    <row r="412" spans="1:29" x14ac:dyDescent="0.25">
      <c r="A412" s="4" t="s">
        <v>424</v>
      </c>
      <c r="B412" s="14">
        <v>45534</v>
      </c>
      <c r="C412" s="14">
        <v>45540</v>
      </c>
      <c r="D412" s="16">
        <f t="shared" si="63"/>
        <v>6</v>
      </c>
      <c r="E412" s="4" t="s">
        <v>647</v>
      </c>
      <c r="F412" s="4" t="s">
        <v>652</v>
      </c>
      <c r="G412" s="4" t="s">
        <v>694</v>
      </c>
      <c r="H412" s="4" t="s">
        <v>702</v>
      </c>
      <c r="I412" s="4" t="s">
        <v>708</v>
      </c>
      <c r="J412" s="4" t="s">
        <v>725</v>
      </c>
      <c r="K412" s="4" t="s">
        <v>731</v>
      </c>
      <c r="L412" s="4" t="s">
        <v>1143</v>
      </c>
      <c r="M412" s="9">
        <v>8</v>
      </c>
      <c r="N412" s="16">
        <f>ROUND(IF('Dashboard Visualization'!$U$3="",'Working Data'!$M412,'Working Data'!$M412*(100% +'Dashboard Visualization'!$U$3)),0)</f>
        <v>8</v>
      </c>
      <c r="O412" s="19">
        <v>466.16</v>
      </c>
      <c r="P412" s="20">
        <f>IF('Dashboard Visualization'!$U$2="",'Working Data'!$O412*'Working Data'!$N412,'Working Data'!$O412*'Working Data'!$N412*(100%+'Dashboard Visualization'!$U$2))</f>
        <v>3729.28</v>
      </c>
      <c r="Q412" s="19">
        <v>876.81</v>
      </c>
      <c r="R412" s="20">
        <f t="shared" si="64"/>
        <v>665.49878999999999</v>
      </c>
      <c r="S412" s="11">
        <v>0.24099999999999999</v>
      </c>
      <c r="T412" s="22">
        <f>IF('Dashboard Visualization'!$U$1="",$S412,IF(S412&gt;'Dashboard Visualization'!$U$1,'Dashboard Visualization'!$U$1,S412))</f>
        <v>0.24099999999999999</v>
      </c>
      <c r="U412" s="20">
        <f t="shared" si="65"/>
        <v>4040.9086528799999</v>
      </c>
      <c r="V412" s="20">
        <f t="shared" si="66"/>
        <v>311.62865287999966</v>
      </c>
      <c r="W412" s="22">
        <f t="shared" si="62"/>
        <v>7.7118460140864237E-2</v>
      </c>
      <c r="X412" s="28" t="str">
        <f>TEXT(B412,"MMM-YYYY")</f>
        <v>Aug-2024</v>
      </c>
      <c r="Y412" s="7" t="str">
        <f t="shared" si="67"/>
        <v>Q3-2024</v>
      </c>
      <c r="Z412" s="7" t="str">
        <f t="shared" si="68"/>
        <v>High Price</v>
      </c>
      <c r="AA412" s="7" t="str">
        <f t="shared" si="69"/>
        <v>Q3</v>
      </c>
      <c r="AB412" s="28" t="str">
        <f t="shared" si="70"/>
        <v>Aug</v>
      </c>
      <c r="AC412" s="28" t="str">
        <f t="shared" si="71"/>
        <v>2024</v>
      </c>
    </row>
    <row r="413" spans="1:29" x14ac:dyDescent="0.25">
      <c r="A413" s="4" t="s">
        <v>425</v>
      </c>
      <c r="B413" s="14">
        <v>45430</v>
      </c>
      <c r="C413" s="14">
        <v>45433</v>
      </c>
      <c r="D413" s="16">
        <f t="shared" si="63"/>
        <v>3</v>
      </c>
      <c r="E413" s="4" t="s">
        <v>649</v>
      </c>
      <c r="F413" s="4" t="s">
        <v>657</v>
      </c>
      <c r="G413" s="4" t="s">
        <v>673</v>
      </c>
      <c r="H413" s="4" t="s">
        <v>703</v>
      </c>
      <c r="I413" s="4" t="s">
        <v>709</v>
      </c>
      <c r="J413" s="4" t="s">
        <v>726</v>
      </c>
      <c r="K413" s="4" t="s">
        <v>728</v>
      </c>
      <c r="L413" s="4" t="s">
        <v>1144</v>
      </c>
      <c r="M413" s="9">
        <v>11</v>
      </c>
      <c r="N413" s="16">
        <f>ROUND(IF('Dashboard Visualization'!$U$3="",'Working Data'!$M413,'Working Data'!$M413*(100% +'Dashboard Visualization'!$U$3)),0)</f>
        <v>11</v>
      </c>
      <c r="O413" s="19">
        <v>663.66</v>
      </c>
      <c r="P413" s="20">
        <f>IF('Dashboard Visualization'!$U$2="",'Working Data'!$O413*'Working Data'!$N413,'Working Data'!$O413*'Working Data'!$N413*(100%+'Dashboard Visualization'!$U$2))</f>
        <v>7300.2599999999993</v>
      </c>
      <c r="Q413" s="19">
        <v>824.26</v>
      </c>
      <c r="R413" s="20">
        <f t="shared" si="64"/>
        <v>627.26185999999996</v>
      </c>
      <c r="S413" s="11">
        <v>0.23899999999999999</v>
      </c>
      <c r="T413" s="22">
        <f>IF('Dashboard Visualization'!$U$1="",$S413,IF(S413&gt;'Dashboard Visualization'!$U$1,'Dashboard Visualization'!$U$1,S413))</f>
        <v>0.23899999999999999</v>
      </c>
      <c r="U413" s="20">
        <f t="shared" si="65"/>
        <v>5250.8090300599997</v>
      </c>
      <c r="V413" s="20">
        <f t="shared" si="66"/>
        <v>-2049.4509699399996</v>
      </c>
      <c r="W413" s="22">
        <f t="shared" si="62"/>
        <v>0</v>
      </c>
      <c r="X413" s="28" t="str">
        <f>TEXT(B413,"MMM-YYYY")</f>
        <v>May-2024</v>
      </c>
      <c r="Y413" s="7" t="str">
        <f t="shared" si="67"/>
        <v>Q2-2024</v>
      </c>
      <c r="Z413" s="7" t="str">
        <f t="shared" si="68"/>
        <v>High Price</v>
      </c>
      <c r="AA413" s="7" t="str">
        <f t="shared" si="69"/>
        <v>Q2</v>
      </c>
      <c r="AB413" s="28" t="str">
        <f t="shared" si="70"/>
        <v>May</v>
      </c>
      <c r="AC413" s="28" t="str">
        <f t="shared" si="71"/>
        <v>2024</v>
      </c>
    </row>
    <row r="414" spans="1:29" x14ac:dyDescent="0.25">
      <c r="A414" s="4" t="s">
        <v>426</v>
      </c>
      <c r="B414" s="14">
        <v>45002</v>
      </c>
      <c r="C414" s="14">
        <v>45022</v>
      </c>
      <c r="D414" s="16">
        <f t="shared" si="63"/>
        <v>20</v>
      </c>
      <c r="E414" s="4" t="s">
        <v>649</v>
      </c>
      <c r="F414" s="4" t="s">
        <v>656</v>
      </c>
      <c r="G414" s="4" t="s">
        <v>684</v>
      </c>
      <c r="H414" s="4" t="s">
        <v>704</v>
      </c>
      <c r="I414" s="4" t="s">
        <v>707</v>
      </c>
      <c r="J414" s="4" t="s">
        <v>719</v>
      </c>
      <c r="K414" s="4" t="s">
        <v>730</v>
      </c>
      <c r="L414" s="4" t="s">
        <v>1145</v>
      </c>
      <c r="M414" s="9">
        <v>2</v>
      </c>
      <c r="N414" s="16">
        <f>ROUND(IF('Dashboard Visualization'!$U$3="",'Working Data'!$M414,'Working Data'!$M414*(100% +'Dashboard Visualization'!$U$3)),0)</f>
        <v>2</v>
      </c>
      <c r="O414" s="19">
        <v>692.18</v>
      </c>
      <c r="P414" s="20">
        <f>IF('Dashboard Visualization'!$U$2="",'Working Data'!$O414*'Working Data'!$N414,'Working Data'!$O414*'Working Data'!$N414*(100%+'Dashboard Visualization'!$U$2))</f>
        <v>1384.36</v>
      </c>
      <c r="Q414" s="19">
        <v>1159.3499999999999</v>
      </c>
      <c r="R414" s="20">
        <f t="shared" si="64"/>
        <v>1029.5028</v>
      </c>
      <c r="S414" s="11">
        <v>0.112</v>
      </c>
      <c r="T414" s="22">
        <f>IF('Dashboard Visualization'!$U$1="",$S414,IF(S414&gt;'Dashboard Visualization'!$U$1,'Dashboard Visualization'!$U$1,S414))</f>
        <v>0.112</v>
      </c>
      <c r="U414" s="20">
        <f t="shared" si="65"/>
        <v>1828.3969728</v>
      </c>
      <c r="V414" s="20">
        <f t="shared" si="66"/>
        <v>444.03697280000006</v>
      </c>
      <c r="W414" s="22">
        <f t="shared" si="62"/>
        <v>0.24285588928754545</v>
      </c>
      <c r="X414" s="28" t="str">
        <f>TEXT(B414,"MMM-YYYY")</f>
        <v>Mar-2023</v>
      </c>
      <c r="Y414" s="7" t="str">
        <f t="shared" si="67"/>
        <v>Q1-2023</v>
      </c>
      <c r="Z414" s="7" t="str">
        <f t="shared" si="68"/>
        <v>High Price</v>
      </c>
      <c r="AA414" s="7" t="str">
        <f t="shared" si="69"/>
        <v>Q1</v>
      </c>
      <c r="AB414" s="28" t="str">
        <f t="shared" si="70"/>
        <v>Mar</v>
      </c>
      <c r="AC414" s="28" t="str">
        <f t="shared" si="71"/>
        <v>2023</v>
      </c>
    </row>
    <row r="415" spans="1:29" x14ac:dyDescent="0.25">
      <c r="A415" s="4" t="s">
        <v>427</v>
      </c>
      <c r="B415" s="14">
        <v>45163</v>
      </c>
      <c r="C415" s="14">
        <v>45185</v>
      </c>
      <c r="D415" s="16">
        <f t="shared" si="63"/>
        <v>22</v>
      </c>
      <c r="E415" s="4" t="s">
        <v>646</v>
      </c>
      <c r="F415" s="4" t="s">
        <v>651</v>
      </c>
      <c r="G415" s="4" t="s">
        <v>669</v>
      </c>
      <c r="H415" s="4" t="s">
        <v>701</v>
      </c>
      <c r="I415" s="4" t="s">
        <v>709</v>
      </c>
      <c r="J415" s="4" t="s">
        <v>716</v>
      </c>
      <c r="K415" s="4" t="s">
        <v>730</v>
      </c>
      <c r="L415" s="4" t="s">
        <v>1146</v>
      </c>
      <c r="M415" s="9">
        <v>7</v>
      </c>
      <c r="N415" s="16">
        <f>ROUND(IF('Dashboard Visualization'!$U$3="",'Working Data'!$M415,'Working Data'!$M415*(100% +'Dashboard Visualization'!$U$3)),0)</f>
        <v>7</v>
      </c>
      <c r="O415" s="19">
        <v>1196.83</v>
      </c>
      <c r="P415" s="20">
        <f>IF('Dashboard Visualization'!$U$2="",'Working Data'!$O415*'Working Data'!$N415,'Working Data'!$O415*'Working Data'!$N415*(100%+'Dashboard Visualization'!$U$2))</f>
        <v>8377.81</v>
      </c>
      <c r="Q415" s="19">
        <v>2513.5100000000002</v>
      </c>
      <c r="R415" s="20">
        <f t="shared" si="64"/>
        <v>2304.8886700000003</v>
      </c>
      <c r="S415" s="11">
        <v>8.3000000000000004E-2</v>
      </c>
      <c r="T415" s="22">
        <f>IF('Dashboard Visualization'!$U$1="",$S415,IF(S415&gt;'Dashboard Visualization'!$U$1,'Dashboard Visualization'!$U$1,S415))</f>
        <v>8.3000000000000004E-2</v>
      </c>
      <c r="U415" s="20">
        <f t="shared" si="65"/>
        <v>14795.080372730004</v>
      </c>
      <c r="V415" s="20">
        <f t="shared" si="66"/>
        <v>6417.270372730005</v>
      </c>
      <c r="W415" s="22">
        <f t="shared" si="62"/>
        <v>0.43374352900158547</v>
      </c>
      <c r="X415" s="28" t="str">
        <f>TEXT(B415,"MMM-YYYY")</f>
        <v>Aug-2023</v>
      </c>
      <c r="Y415" s="7" t="str">
        <f t="shared" si="67"/>
        <v>Q3-2023</v>
      </c>
      <c r="Z415" s="7" t="str">
        <f t="shared" si="68"/>
        <v>Medium Price</v>
      </c>
      <c r="AA415" s="7" t="str">
        <f t="shared" si="69"/>
        <v>Q3</v>
      </c>
      <c r="AB415" s="28" t="str">
        <f t="shared" si="70"/>
        <v>Aug</v>
      </c>
      <c r="AC415" s="28" t="str">
        <f t="shared" si="71"/>
        <v>2023</v>
      </c>
    </row>
    <row r="416" spans="1:29" x14ac:dyDescent="0.25">
      <c r="A416" s="4" t="s">
        <v>428</v>
      </c>
      <c r="B416" s="14">
        <v>45449</v>
      </c>
      <c r="C416" s="14">
        <v>45467</v>
      </c>
      <c r="D416" s="16">
        <f t="shared" si="63"/>
        <v>18</v>
      </c>
      <c r="E416" s="4" t="s">
        <v>647</v>
      </c>
      <c r="F416" s="4" t="s">
        <v>654</v>
      </c>
      <c r="G416" s="4" t="s">
        <v>668</v>
      </c>
      <c r="H416" s="4" t="s">
        <v>705</v>
      </c>
      <c r="I416" s="4" t="s">
        <v>711</v>
      </c>
      <c r="J416" s="4" t="s">
        <v>722</v>
      </c>
      <c r="K416" s="4" t="s">
        <v>729</v>
      </c>
      <c r="L416" s="4" t="s">
        <v>1147</v>
      </c>
      <c r="M416" s="9">
        <v>11</v>
      </c>
      <c r="N416" s="16">
        <f>ROUND(IF('Dashboard Visualization'!$U$3="",'Working Data'!$M416,'Working Data'!$M416*(100% +'Dashboard Visualization'!$U$3)),0)</f>
        <v>11</v>
      </c>
      <c r="O416" s="19">
        <v>1253.25</v>
      </c>
      <c r="P416" s="20">
        <f>IF('Dashboard Visualization'!$U$2="",'Working Data'!$O416*'Working Data'!$N416,'Working Data'!$O416*'Working Data'!$N416*(100%+'Dashboard Visualization'!$U$2))</f>
        <v>13785.75</v>
      </c>
      <c r="Q416" s="19">
        <v>3087.13</v>
      </c>
      <c r="R416" s="20">
        <f t="shared" si="64"/>
        <v>2864.8566400000004</v>
      </c>
      <c r="S416" s="11">
        <v>7.1999999999999995E-2</v>
      </c>
      <c r="T416" s="22">
        <f>IF('Dashboard Visualization'!$U$1="",$S416,IF(S416&gt;'Dashboard Visualization'!$U$1,'Dashboard Visualization'!$U$1,S416))</f>
        <v>7.1999999999999995E-2</v>
      </c>
      <c r="U416" s="20">
        <f t="shared" si="65"/>
        <v>29244.456581120008</v>
      </c>
      <c r="V416" s="20">
        <f t="shared" si="66"/>
        <v>15458.706581120008</v>
      </c>
      <c r="W416" s="22">
        <f t="shared" si="62"/>
        <v>0.52860296918972427</v>
      </c>
      <c r="X416" s="28" t="str">
        <f>TEXT(B416,"MMM-YYYY")</f>
        <v>Jun-2024</v>
      </c>
      <c r="Y416" s="7" t="str">
        <f t="shared" si="67"/>
        <v>Q2-2024</v>
      </c>
      <c r="Z416" s="7" t="str">
        <f t="shared" si="68"/>
        <v>Medium Price</v>
      </c>
      <c r="AA416" s="7" t="str">
        <f t="shared" si="69"/>
        <v>Q2</v>
      </c>
      <c r="AB416" s="28" t="str">
        <f t="shared" si="70"/>
        <v>Jun</v>
      </c>
      <c r="AC416" s="28" t="str">
        <f t="shared" si="71"/>
        <v>2024</v>
      </c>
    </row>
    <row r="417" spans="1:29" x14ac:dyDescent="0.25">
      <c r="A417" s="4" t="s">
        <v>429</v>
      </c>
      <c r="B417" s="14">
        <v>45167</v>
      </c>
      <c r="C417" s="14">
        <v>45182</v>
      </c>
      <c r="D417" s="16">
        <f t="shared" si="63"/>
        <v>15</v>
      </c>
      <c r="E417" s="4" t="s">
        <v>648</v>
      </c>
      <c r="F417" s="4" t="s">
        <v>653</v>
      </c>
      <c r="G417" s="4" t="s">
        <v>688</v>
      </c>
      <c r="H417" s="4" t="s">
        <v>705</v>
      </c>
      <c r="I417" s="4" t="s">
        <v>709</v>
      </c>
      <c r="J417" s="4" t="s">
        <v>719</v>
      </c>
      <c r="K417" s="4" t="s">
        <v>728</v>
      </c>
      <c r="L417" s="4" t="s">
        <v>1148</v>
      </c>
      <c r="M417" s="9">
        <v>7</v>
      </c>
      <c r="N417" s="16">
        <f>ROUND(IF('Dashboard Visualization'!$U$3="",'Working Data'!$M417,'Working Data'!$M417*(100% +'Dashboard Visualization'!$U$3)),0)</f>
        <v>7</v>
      </c>
      <c r="O417" s="19">
        <v>1287.6400000000001</v>
      </c>
      <c r="P417" s="20">
        <f>IF('Dashboard Visualization'!$U$2="",'Working Data'!$O417*'Working Data'!$N417,'Working Data'!$O417*'Working Data'!$N417*(100%+'Dashboard Visualization'!$U$2))</f>
        <v>9013.4800000000014</v>
      </c>
      <c r="Q417" s="19">
        <v>2717.15</v>
      </c>
      <c r="R417" s="20">
        <f t="shared" si="64"/>
        <v>2630.2012</v>
      </c>
      <c r="S417" s="11">
        <v>3.2000000000000001E-2</v>
      </c>
      <c r="T417" s="22">
        <f>IF('Dashboard Visualization'!$U$1="",$S417,IF(S417&gt;'Dashboard Visualization'!$U$1,'Dashboard Visualization'!$U$1,S417))</f>
        <v>3.2000000000000001E-2</v>
      </c>
      <c r="U417" s="20">
        <f t="shared" si="65"/>
        <v>17822.243331199999</v>
      </c>
      <c r="V417" s="20">
        <f t="shared" si="66"/>
        <v>8808.763331199998</v>
      </c>
      <c r="W417" s="22">
        <f t="shared" si="62"/>
        <v>0.49425670873762501</v>
      </c>
      <c r="X417" s="28" t="str">
        <f>TEXT(B417,"MMM-YYYY")</f>
        <v>Aug-2023</v>
      </c>
      <c r="Y417" s="7" t="str">
        <f t="shared" si="67"/>
        <v>Q3-2023</v>
      </c>
      <c r="Z417" s="7" t="str">
        <f t="shared" si="68"/>
        <v>Medium Price</v>
      </c>
      <c r="AA417" s="7" t="str">
        <f t="shared" si="69"/>
        <v>Q3</v>
      </c>
      <c r="AB417" s="28" t="str">
        <f t="shared" si="70"/>
        <v>Aug</v>
      </c>
      <c r="AC417" s="28" t="str">
        <f t="shared" si="71"/>
        <v>2023</v>
      </c>
    </row>
    <row r="418" spans="1:29" x14ac:dyDescent="0.25">
      <c r="A418" s="4" t="s">
        <v>430</v>
      </c>
      <c r="B418" s="14">
        <v>45626</v>
      </c>
      <c r="C418" s="14">
        <v>45636</v>
      </c>
      <c r="D418" s="16">
        <f t="shared" si="63"/>
        <v>10</v>
      </c>
      <c r="E418" s="4" t="s">
        <v>647</v>
      </c>
      <c r="F418" s="4" t="s">
        <v>654</v>
      </c>
      <c r="G418" s="4" t="s">
        <v>696</v>
      </c>
      <c r="H418" s="4" t="s">
        <v>705</v>
      </c>
      <c r="I418" s="4" t="s">
        <v>707</v>
      </c>
      <c r="J418" s="4" t="s">
        <v>721</v>
      </c>
      <c r="K418" s="4" t="s">
        <v>733</v>
      </c>
      <c r="L418" s="4" t="s">
        <v>1149</v>
      </c>
      <c r="M418" s="9">
        <v>16</v>
      </c>
      <c r="N418" s="16">
        <f>ROUND(IF('Dashboard Visualization'!$U$3="",'Working Data'!$M418,'Working Data'!$M418*(100% +'Dashboard Visualization'!$U$3)),0)</f>
        <v>16</v>
      </c>
      <c r="O418" s="19">
        <v>851.49</v>
      </c>
      <c r="P418" s="20">
        <f>IF('Dashboard Visualization'!$U$2="",'Working Data'!$O418*'Working Data'!$N418,'Working Data'!$O418*'Working Data'!$N418*(100%+'Dashboard Visualization'!$U$2))</f>
        <v>13623.84</v>
      </c>
      <c r="Q418" s="19">
        <v>901.79</v>
      </c>
      <c r="R418" s="20">
        <f t="shared" si="64"/>
        <v>680.85145</v>
      </c>
      <c r="S418" s="11">
        <v>0.245</v>
      </c>
      <c r="T418" s="22">
        <f>IF('Dashboard Visualization'!$U$1="",$S418,IF(S418&gt;'Dashboard Visualization'!$U$1,'Dashboard Visualization'!$U$1,S418))</f>
        <v>0.245</v>
      </c>
      <c r="U418" s="20">
        <f t="shared" si="65"/>
        <v>8224.6855159999996</v>
      </c>
      <c r="V418" s="20">
        <f t="shared" si="66"/>
        <v>-5399.1544840000006</v>
      </c>
      <c r="W418" s="22">
        <f t="shared" si="62"/>
        <v>0</v>
      </c>
      <c r="X418" s="28" t="str">
        <f>TEXT(B418,"MMM-YYYY")</f>
        <v>Nov-2024</v>
      </c>
      <c r="Y418" s="7" t="str">
        <f t="shared" si="67"/>
        <v>Q4-2024</v>
      </c>
      <c r="Z418" s="7" t="str">
        <f t="shared" si="68"/>
        <v>High Price</v>
      </c>
      <c r="AA418" s="7" t="str">
        <f t="shared" si="69"/>
        <v>Q4</v>
      </c>
      <c r="AB418" s="28" t="str">
        <f t="shared" si="70"/>
        <v>Nov</v>
      </c>
      <c r="AC418" s="28" t="str">
        <f t="shared" si="71"/>
        <v>2024</v>
      </c>
    </row>
    <row r="419" spans="1:29" x14ac:dyDescent="0.25">
      <c r="A419" s="4" t="s">
        <v>431</v>
      </c>
      <c r="B419" s="14">
        <v>45813</v>
      </c>
      <c r="C419" s="14">
        <v>45822</v>
      </c>
      <c r="D419" s="16">
        <f t="shared" si="63"/>
        <v>9</v>
      </c>
      <c r="E419" s="4" t="s">
        <v>647</v>
      </c>
      <c r="F419" s="4" t="s">
        <v>654</v>
      </c>
      <c r="G419" s="4" t="s">
        <v>680</v>
      </c>
      <c r="H419" s="4" t="s">
        <v>703</v>
      </c>
      <c r="I419" s="4" t="s">
        <v>707</v>
      </c>
      <c r="J419" s="4" t="s">
        <v>720</v>
      </c>
      <c r="K419" s="4" t="s">
        <v>733</v>
      </c>
      <c r="L419" s="4" t="s">
        <v>1150</v>
      </c>
      <c r="M419" s="9">
        <v>11</v>
      </c>
      <c r="N419" s="16">
        <f>ROUND(IF('Dashboard Visualization'!$U$3="",'Working Data'!$M419,'Working Data'!$M419*(100% +'Dashboard Visualization'!$U$3)),0)</f>
        <v>11</v>
      </c>
      <c r="O419" s="19">
        <v>618.69000000000005</v>
      </c>
      <c r="P419" s="20">
        <f>IF('Dashboard Visualization'!$U$2="",'Working Data'!$O419*'Working Data'!$N419,'Working Data'!$O419*'Working Data'!$N419*(100%+'Dashboard Visualization'!$U$2))</f>
        <v>6805.59</v>
      </c>
      <c r="Q419" s="19">
        <v>796.15</v>
      </c>
      <c r="R419" s="20">
        <f t="shared" si="64"/>
        <v>724.49649999999997</v>
      </c>
      <c r="S419" s="11">
        <v>0.09</v>
      </c>
      <c r="T419" s="22">
        <f>IF('Dashboard Visualization'!$U$1="",$S419,IF(S419&gt;'Dashboard Visualization'!$U$1,'Dashboard Visualization'!$U$1,S419))</f>
        <v>0.09</v>
      </c>
      <c r="U419" s="20">
        <f t="shared" si="65"/>
        <v>7252.209965</v>
      </c>
      <c r="V419" s="20">
        <f t="shared" si="66"/>
        <v>446.61996499999987</v>
      </c>
      <c r="W419" s="22">
        <f t="shared" si="62"/>
        <v>6.1583981593947117E-2</v>
      </c>
      <c r="X419" s="28" t="str">
        <f>TEXT(B419,"MMM-YYYY")</f>
        <v>Jun-2025</v>
      </c>
      <c r="Y419" s="7" t="str">
        <f t="shared" si="67"/>
        <v>Q2-2025</v>
      </c>
      <c r="Z419" s="7" t="str">
        <f t="shared" si="68"/>
        <v>High Price</v>
      </c>
      <c r="AA419" s="7" t="str">
        <f t="shared" si="69"/>
        <v>Q2</v>
      </c>
      <c r="AB419" s="28" t="str">
        <f t="shared" si="70"/>
        <v>Jun</v>
      </c>
      <c r="AC419" s="28" t="str">
        <f t="shared" si="71"/>
        <v>2025</v>
      </c>
    </row>
    <row r="420" spans="1:29" x14ac:dyDescent="0.25">
      <c r="A420" s="4" t="s">
        <v>432</v>
      </c>
      <c r="B420" s="14">
        <v>45730</v>
      </c>
      <c r="C420" s="14">
        <v>45755</v>
      </c>
      <c r="D420" s="16">
        <f t="shared" si="63"/>
        <v>25</v>
      </c>
      <c r="E420" s="4" t="s">
        <v>647</v>
      </c>
      <c r="F420" s="4" t="s">
        <v>659</v>
      </c>
      <c r="G420" s="12" t="s">
        <v>1430</v>
      </c>
      <c r="H420" s="4" t="s">
        <v>701</v>
      </c>
      <c r="I420" s="4" t="s">
        <v>710</v>
      </c>
      <c r="J420" s="4" t="s">
        <v>726</v>
      </c>
      <c r="K420" s="4" t="s">
        <v>728</v>
      </c>
      <c r="L420" s="4" t="s">
        <v>1151</v>
      </c>
      <c r="M420" s="9">
        <v>6</v>
      </c>
      <c r="N420" s="16">
        <f>ROUND(IF('Dashboard Visualization'!$U$3="",'Working Data'!$M420,'Working Data'!$M420*(100% +'Dashboard Visualization'!$U$3)),0)</f>
        <v>6</v>
      </c>
      <c r="O420" s="19">
        <v>80.59</v>
      </c>
      <c r="P420" s="20">
        <f>IF('Dashboard Visualization'!$U$2="",'Working Data'!$O420*'Working Data'!$N420,'Working Data'!$O420*'Working Data'!$N420*(100%+'Dashboard Visualization'!$U$2))</f>
        <v>483.54</v>
      </c>
      <c r="Q420" s="19">
        <v>157.82</v>
      </c>
      <c r="R420" s="20">
        <f t="shared" si="64"/>
        <v>123.57306</v>
      </c>
      <c r="S420" s="11">
        <v>0.217</v>
      </c>
      <c r="T420" s="22">
        <f>IF('Dashboard Visualization'!$U$1="",$S420,IF(S420&gt;'Dashboard Visualization'!$U$1,'Dashboard Visualization'!$U$1,S420))</f>
        <v>0.217</v>
      </c>
      <c r="U420" s="20">
        <f t="shared" si="65"/>
        <v>580.54623588000004</v>
      </c>
      <c r="V420" s="20">
        <f t="shared" si="66"/>
        <v>97.00623588000002</v>
      </c>
      <c r="W420" s="22">
        <f t="shared" si="62"/>
        <v>0.16709476331881926</v>
      </c>
      <c r="X420" s="28" t="str">
        <f>TEXT(B420,"MMM-YYYY")</f>
        <v>Mar-2025</v>
      </c>
      <c r="Y420" s="7" t="str">
        <f t="shared" si="67"/>
        <v>Q1-2025</v>
      </c>
      <c r="Z420" s="7" t="str">
        <f t="shared" si="68"/>
        <v>Low Price</v>
      </c>
      <c r="AA420" s="7" t="str">
        <f t="shared" si="69"/>
        <v>Q1</v>
      </c>
      <c r="AB420" s="28" t="str">
        <f t="shared" si="70"/>
        <v>Mar</v>
      </c>
      <c r="AC420" s="28" t="str">
        <f t="shared" si="71"/>
        <v>2025</v>
      </c>
    </row>
    <row r="421" spans="1:29" x14ac:dyDescent="0.25">
      <c r="A421" s="4" t="s">
        <v>433</v>
      </c>
      <c r="B421" s="14">
        <v>45307</v>
      </c>
      <c r="C421" s="14">
        <v>45333</v>
      </c>
      <c r="D421" s="16">
        <f t="shared" si="63"/>
        <v>26</v>
      </c>
      <c r="E421" s="4" t="s">
        <v>649</v>
      </c>
      <c r="F421" s="4" t="s">
        <v>656</v>
      </c>
      <c r="G421" s="4" t="s">
        <v>698</v>
      </c>
      <c r="H421" s="4" t="s">
        <v>703</v>
      </c>
      <c r="I421" s="4" t="s">
        <v>710</v>
      </c>
      <c r="J421" s="4" t="s">
        <v>718</v>
      </c>
      <c r="K421" s="4" t="s">
        <v>732</v>
      </c>
      <c r="L421" s="4" t="s">
        <v>1152</v>
      </c>
      <c r="M421" s="9">
        <v>15</v>
      </c>
      <c r="N421" s="16">
        <f>ROUND(IF('Dashboard Visualization'!$U$3="",'Working Data'!$M421,'Working Data'!$M421*(100% +'Dashboard Visualization'!$U$3)),0)</f>
        <v>15</v>
      </c>
      <c r="O421" s="19">
        <v>504.93</v>
      </c>
      <c r="P421" s="20">
        <f>IF('Dashboard Visualization'!$U$2="",'Working Data'!$O421*'Working Data'!$N421,'Working Data'!$O421*'Working Data'!$N421*(100%+'Dashboard Visualization'!$U$2))</f>
        <v>7573.95</v>
      </c>
      <c r="Q421" s="19">
        <v>819.06</v>
      </c>
      <c r="R421" s="20">
        <f t="shared" si="64"/>
        <v>633.95244000000002</v>
      </c>
      <c r="S421" s="11">
        <v>0.22600000000000001</v>
      </c>
      <c r="T421" s="22">
        <f>IF('Dashboard Visualization'!$U$1="",$S421,IF(S421&gt;'Dashboard Visualization'!$U$1,'Dashboard Visualization'!$U$1,S421))</f>
        <v>0.22600000000000001</v>
      </c>
      <c r="U421" s="20">
        <f t="shared" si="65"/>
        <v>7360.1878284000013</v>
      </c>
      <c r="V421" s="20">
        <f t="shared" si="66"/>
        <v>-213.76217159999851</v>
      </c>
      <c r="W421" s="22">
        <f t="shared" si="62"/>
        <v>0</v>
      </c>
      <c r="X421" s="28" t="str">
        <f>TEXT(B421,"MMM-YYYY")</f>
        <v>Jan-2024</v>
      </c>
      <c r="Y421" s="7" t="str">
        <f t="shared" si="67"/>
        <v>Q1-2024</v>
      </c>
      <c r="Z421" s="7" t="str">
        <f t="shared" si="68"/>
        <v>High Price</v>
      </c>
      <c r="AA421" s="7" t="str">
        <f t="shared" si="69"/>
        <v>Q1</v>
      </c>
      <c r="AB421" s="28" t="str">
        <f t="shared" si="70"/>
        <v>Jan</v>
      </c>
      <c r="AC421" s="28" t="str">
        <f t="shared" si="71"/>
        <v>2024</v>
      </c>
    </row>
    <row r="422" spans="1:29" x14ac:dyDescent="0.25">
      <c r="A422" s="4" t="s">
        <v>434</v>
      </c>
      <c r="B422" s="14">
        <v>45211</v>
      </c>
      <c r="C422" s="14">
        <v>45228</v>
      </c>
      <c r="D422" s="16">
        <f t="shared" si="63"/>
        <v>17</v>
      </c>
      <c r="E422" s="4" t="s">
        <v>647</v>
      </c>
      <c r="F422" s="4" t="s">
        <v>652</v>
      </c>
      <c r="G422" s="4" t="s">
        <v>694</v>
      </c>
      <c r="H422" s="4" t="s">
        <v>703</v>
      </c>
      <c r="I422" s="4" t="s">
        <v>711</v>
      </c>
      <c r="J422" s="4" t="s">
        <v>722</v>
      </c>
      <c r="K422" s="4" t="s">
        <v>730</v>
      </c>
      <c r="L422" s="4" t="s">
        <v>1153</v>
      </c>
      <c r="M422" s="9">
        <v>10</v>
      </c>
      <c r="N422" s="16">
        <f>ROUND(IF('Dashboard Visualization'!$U$3="",'Working Data'!$M422,'Working Data'!$M422*(100% +'Dashboard Visualization'!$U$3)),0)</f>
        <v>10</v>
      </c>
      <c r="O422" s="19">
        <v>1102.19</v>
      </c>
      <c r="P422" s="20">
        <f>IF('Dashboard Visualization'!$U$2="",'Working Data'!$O422*'Working Data'!$N422,'Working Data'!$O422*'Working Data'!$N422*(100%+'Dashboard Visualization'!$U$2))</f>
        <v>11021.900000000001</v>
      </c>
      <c r="Q422" s="19">
        <v>1711.16</v>
      </c>
      <c r="R422" s="20">
        <f t="shared" si="64"/>
        <v>1452.77484</v>
      </c>
      <c r="S422" s="11">
        <v>0.151</v>
      </c>
      <c r="T422" s="22">
        <f>IF('Dashboard Visualization'!$U$1="",$S422,IF(S422&gt;'Dashboard Visualization'!$U$1,'Dashboard Visualization'!$U$1,S422))</f>
        <v>0.151</v>
      </c>
      <c r="U422" s="20">
        <f t="shared" si="65"/>
        <v>12334.0583916</v>
      </c>
      <c r="V422" s="20">
        <f t="shared" si="66"/>
        <v>1312.1583915999981</v>
      </c>
      <c r="W422" s="22">
        <f t="shared" si="62"/>
        <v>0.10638496672706138</v>
      </c>
      <c r="X422" s="28" t="str">
        <f>TEXT(B422,"MMM-YYYY")</f>
        <v>Oct-2023</v>
      </c>
      <c r="Y422" s="7" t="str">
        <f t="shared" si="67"/>
        <v>Q4-2023</v>
      </c>
      <c r="Z422" s="7" t="str">
        <f t="shared" si="68"/>
        <v>High Price</v>
      </c>
      <c r="AA422" s="7" t="str">
        <f t="shared" si="69"/>
        <v>Q4</v>
      </c>
      <c r="AB422" s="28" t="str">
        <f t="shared" si="70"/>
        <v>Oct</v>
      </c>
      <c r="AC422" s="28" t="str">
        <f t="shared" si="71"/>
        <v>2023</v>
      </c>
    </row>
    <row r="423" spans="1:29" x14ac:dyDescent="0.25">
      <c r="A423" s="4" t="s">
        <v>435</v>
      </c>
      <c r="B423" s="14">
        <v>45713</v>
      </c>
      <c r="C423" s="14">
        <v>45733</v>
      </c>
      <c r="D423" s="16">
        <f t="shared" si="63"/>
        <v>20</v>
      </c>
      <c r="E423" s="4" t="s">
        <v>648</v>
      </c>
      <c r="F423" s="4" t="s">
        <v>660</v>
      </c>
      <c r="G423" s="4" t="s">
        <v>686</v>
      </c>
      <c r="H423" s="4" t="s">
        <v>703</v>
      </c>
      <c r="I423" s="4" t="s">
        <v>709</v>
      </c>
      <c r="J423" s="4" t="s">
        <v>722</v>
      </c>
      <c r="K423" s="4" t="s">
        <v>730</v>
      </c>
      <c r="L423" s="4" t="s">
        <v>1154</v>
      </c>
      <c r="M423" s="9">
        <v>6</v>
      </c>
      <c r="N423" s="16">
        <f>ROUND(IF('Dashboard Visualization'!$U$3="",'Working Data'!$M423,'Working Data'!$M423*(100% +'Dashboard Visualization'!$U$3)),0)</f>
        <v>6</v>
      </c>
      <c r="O423" s="19">
        <v>1205.26</v>
      </c>
      <c r="P423" s="20">
        <f>IF('Dashboard Visualization'!$U$2="",'Working Data'!$O423*'Working Data'!$N423,'Working Data'!$O423*'Working Data'!$N423*(100%+'Dashboard Visualization'!$U$2))</f>
        <v>7231.5599999999995</v>
      </c>
      <c r="Q423" s="19">
        <v>1696.35</v>
      </c>
      <c r="R423" s="20">
        <f t="shared" si="64"/>
        <v>1664.1193499999999</v>
      </c>
      <c r="S423" s="11">
        <v>1.9E-2</v>
      </c>
      <c r="T423" s="22">
        <f>IF('Dashboard Visualization'!$U$1="",$S423,IF(S423&gt;'Dashboard Visualization'!$U$1,'Dashboard Visualization'!$U$1,S423))</f>
        <v>1.9E-2</v>
      </c>
      <c r="U423" s="20">
        <f t="shared" si="65"/>
        <v>9795.0064941000001</v>
      </c>
      <c r="V423" s="20">
        <f t="shared" si="66"/>
        <v>2563.4464941000006</v>
      </c>
      <c r="W423" s="22">
        <f t="shared" si="62"/>
        <v>0.26170952470976783</v>
      </c>
      <c r="X423" s="28" t="str">
        <f>TEXT(B423,"MMM-YYYY")</f>
        <v>Feb-2025</v>
      </c>
      <c r="Y423" s="7" t="str">
        <f t="shared" si="67"/>
        <v>Q1-2025</v>
      </c>
      <c r="Z423" s="7" t="str">
        <f t="shared" si="68"/>
        <v>High Price</v>
      </c>
      <c r="AA423" s="7" t="str">
        <f t="shared" si="69"/>
        <v>Q1</v>
      </c>
      <c r="AB423" s="28" t="str">
        <f t="shared" si="70"/>
        <v>Feb</v>
      </c>
      <c r="AC423" s="28" t="str">
        <f t="shared" si="71"/>
        <v>2025</v>
      </c>
    </row>
    <row r="424" spans="1:29" x14ac:dyDescent="0.25">
      <c r="A424" s="4" t="s">
        <v>436</v>
      </c>
      <c r="B424" s="14">
        <v>45841</v>
      </c>
      <c r="C424" s="14">
        <v>45844</v>
      </c>
      <c r="D424" s="16">
        <f t="shared" si="63"/>
        <v>3</v>
      </c>
      <c r="E424" s="4" t="s">
        <v>646</v>
      </c>
      <c r="F424" s="4" t="s">
        <v>651</v>
      </c>
      <c r="G424" s="4" t="s">
        <v>665</v>
      </c>
      <c r="H424" s="4" t="s">
        <v>704</v>
      </c>
      <c r="I424" s="4" t="s">
        <v>708</v>
      </c>
      <c r="J424" s="12" t="s">
        <v>1430</v>
      </c>
      <c r="K424" s="4" t="s">
        <v>731</v>
      </c>
      <c r="L424" s="4" t="s">
        <v>1155</v>
      </c>
      <c r="M424" s="9">
        <v>42</v>
      </c>
      <c r="N424" s="16">
        <f>ROUND(IF('Dashboard Visualization'!$U$3="",'Working Data'!$M424,'Working Data'!$M424*(100% +'Dashboard Visualization'!$U$3)),0)</f>
        <v>42</v>
      </c>
      <c r="O424" s="19">
        <v>1313.3</v>
      </c>
      <c r="P424" s="20">
        <f>IF('Dashboard Visualization'!$U$2="",'Working Data'!$O424*'Working Data'!$N424,'Working Data'!$O424*'Working Data'!$N424*(100%+'Dashboard Visualization'!$U$2))</f>
        <v>55158.6</v>
      </c>
      <c r="Q424" s="19">
        <v>2884.34</v>
      </c>
      <c r="R424" s="20">
        <f t="shared" si="64"/>
        <v>2431.4986199999998</v>
      </c>
      <c r="S424" s="11">
        <v>0.157</v>
      </c>
      <c r="T424" s="22">
        <f>IF('Dashboard Visualization'!$U$1="",$S424,IF(S424&gt;'Dashboard Visualization'!$U$1,'Dashboard Visualization'!$U$1,S424))</f>
        <v>0.157</v>
      </c>
      <c r="U424" s="20">
        <f t="shared" si="65"/>
        <v>86089.640139719981</v>
      </c>
      <c r="V424" s="20">
        <f t="shared" si="66"/>
        <v>30931.040139719982</v>
      </c>
      <c r="W424" s="22">
        <f t="shared" si="62"/>
        <v>0.35928876098819978</v>
      </c>
      <c r="X424" s="28" t="str">
        <f>TEXT(B424,"MMM-YYYY")</f>
        <v>Jul-2025</v>
      </c>
      <c r="Y424" s="7" t="str">
        <f t="shared" si="67"/>
        <v>Q3-2025</v>
      </c>
      <c r="Z424" s="7" t="str">
        <f t="shared" si="68"/>
        <v>Medium Price</v>
      </c>
      <c r="AA424" s="7" t="str">
        <f t="shared" si="69"/>
        <v>Q3</v>
      </c>
      <c r="AB424" s="28" t="str">
        <f t="shared" si="70"/>
        <v>Jul</v>
      </c>
      <c r="AC424" s="28" t="str">
        <f t="shared" si="71"/>
        <v>2025</v>
      </c>
    </row>
    <row r="425" spans="1:29" x14ac:dyDescent="0.25">
      <c r="A425" s="4" t="s">
        <v>437</v>
      </c>
      <c r="B425" s="14">
        <v>45915</v>
      </c>
      <c r="C425" s="14">
        <v>45925</v>
      </c>
      <c r="D425" s="16">
        <f t="shared" si="63"/>
        <v>10</v>
      </c>
      <c r="E425" s="4" t="s">
        <v>647</v>
      </c>
      <c r="F425" s="4" t="s">
        <v>654</v>
      </c>
      <c r="G425" s="4" t="s">
        <v>680</v>
      </c>
      <c r="H425" s="4" t="s">
        <v>704</v>
      </c>
      <c r="I425" s="4" t="s">
        <v>707</v>
      </c>
      <c r="J425" s="4" t="s">
        <v>720</v>
      </c>
      <c r="K425" s="4" t="s">
        <v>730</v>
      </c>
      <c r="L425" s="4" t="s">
        <v>1156</v>
      </c>
      <c r="M425" s="9">
        <v>24</v>
      </c>
      <c r="N425" s="16">
        <f>ROUND(IF('Dashboard Visualization'!$U$3="",'Working Data'!$M425,'Working Data'!$M425*(100% +'Dashboard Visualization'!$U$3)),0)</f>
        <v>24</v>
      </c>
      <c r="O425" s="19">
        <v>1488.91</v>
      </c>
      <c r="P425" s="20">
        <f>IF('Dashboard Visualization'!$U$2="",'Working Data'!$O425*'Working Data'!$N425,'Working Data'!$O425*'Working Data'!$N425*(100%+'Dashboard Visualization'!$U$2))</f>
        <v>35733.840000000004</v>
      </c>
      <c r="Q425" s="19">
        <v>1483.74</v>
      </c>
      <c r="R425" s="20">
        <f t="shared" si="64"/>
        <v>1234.4716799999999</v>
      </c>
      <c r="S425" s="11">
        <v>0.16800000000000001</v>
      </c>
      <c r="T425" s="22">
        <f>IF('Dashboard Visualization'!$U$1="",$S425,IF(S425&gt;'Dashboard Visualization'!$U$1,'Dashboard Visualization'!$U$1,S425))</f>
        <v>0.16800000000000001</v>
      </c>
      <c r="U425" s="20">
        <f t="shared" si="65"/>
        <v>24649.930506239994</v>
      </c>
      <c r="V425" s="20">
        <f t="shared" si="66"/>
        <v>-11083.909493760009</v>
      </c>
      <c r="W425" s="22">
        <f t="shared" si="62"/>
        <v>0</v>
      </c>
      <c r="X425" s="28" t="str">
        <f>TEXT(B425,"MMM-YYYY")</f>
        <v>Sep-2025</v>
      </c>
      <c r="Y425" s="7" t="str">
        <f t="shared" si="67"/>
        <v>Q3-2025</v>
      </c>
      <c r="Z425" s="7" t="str">
        <f t="shared" si="68"/>
        <v>High Price</v>
      </c>
      <c r="AA425" s="7" t="str">
        <f t="shared" si="69"/>
        <v>Q3</v>
      </c>
      <c r="AB425" s="28" t="str">
        <f t="shared" si="70"/>
        <v>Sep</v>
      </c>
      <c r="AC425" s="28" t="str">
        <f t="shared" si="71"/>
        <v>2025</v>
      </c>
    </row>
    <row r="426" spans="1:29" x14ac:dyDescent="0.25">
      <c r="A426" s="4" t="s">
        <v>438</v>
      </c>
      <c r="B426" s="14">
        <v>45341</v>
      </c>
      <c r="C426" s="14">
        <v>45357</v>
      </c>
      <c r="D426" s="16">
        <f t="shared" si="63"/>
        <v>16</v>
      </c>
      <c r="E426" s="4" t="s">
        <v>647</v>
      </c>
      <c r="F426" s="4" t="s">
        <v>659</v>
      </c>
      <c r="G426" s="4" t="s">
        <v>699</v>
      </c>
      <c r="H426" s="4" t="s">
        <v>702</v>
      </c>
      <c r="I426" s="4" t="s">
        <v>709</v>
      </c>
      <c r="J426" s="4" t="s">
        <v>719</v>
      </c>
      <c r="K426" s="4" t="s">
        <v>728</v>
      </c>
      <c r="L426" s="4" t="s">
        <v>1157</v>
      </c>
      <c r="M426" s="9">
        <v>24</v>
      </c>
      <c r="N426" s="16">
        <f>ROUND(IF('Dashboard Visualization'!$U$3="",'Working Data'!$M426,'Working Data'!$M426*(100% +'Dashboard Visualization'!$U$3)),0)</f>
        <v>24</v>
      </c>
      <c r="O426" s="19">
        <v>1477.84</v>
      </c>
      <c r="P426" s="20">
        <f>IF('Dashboard Visualization'!$U$2="",'Working Data'!$O426*'Working Data'!$N426,'Working Data'!$O426*'Working Data'!$N426*(100%+'Dashboard Visualization'!$U$2))</f>
        <v>35468.159999999996</v>
      </c>
      <c r="Q426" s="19">
        <v>3197.47</v>
      </c>
      <c r="R426" s="20">
        <f t="shared" si="64"/>
        <v>2420.48479</v>
      </c>
      <c r="S426" s="11">
        <v>0.24299999999999999</v>
      </c>
      <c r="T426" s="22">
        <f>IF('Dashboard Visualization'!$U$1="",$S426,IF(S426&gt;'Dashboard Visualization'!$U$1,'Dashboard Visualization'!$U$1,S426))</f>
        <v>0.24299999999999999</v>
      </c>
      <c r="U426" s="20">
        <f t="shared" si="65"/>
        <v>43975.367664719997</v>
      </c>
      <c r="V426" s="20">
        <f t="shared" si="66"/>
        <v>8507.207664720001</v>
      </c>
      <c r="W426" s="22">
        <f t="shared" si="62"/>
        <v>0.19345392924469068</v>
      </c>
      <c r="X426" s="28" t="str">
        <f>TEXT(B426,"MMM-YYYY")</f>
        <v>Feb-2024</v>
      </c>
      <c r="Y426" s="7" t="str">
        <f t="shared" si="67"/>
        <v>Q1-2024</v>
      </c>
      <c r="Z426" s="7" t="str">
        <f t="shared" si="68"/>
        <v>Medium Price</v>
      </c>
      <c r="AA426" s="7" t="str">
        <f t="shared" si="69"/>
        <v>Q1</v>
      </c>
      <c r="AB426" s="28" t="str">
        <f t="shared" si="70"/>
        <v>Feb</v>
      </c>
      <c r="AC426" s="28" t="str">
        <f t="shared" si="71"/>
        <v>2024</v>
      </c>
    </row>
    <row r="427" spans="1:29" x14ac:dyDescent="0.25">
      <c r="A427" s="4" t="s">
        <v>439</v>
      </c>
      <c r="B427" s="14">
        <v>45349</v>
      </c>
      <c r="C427" s="14">
        <v>45377</v>
      </c>
      <c r="D427" s="16">
        <f t="shared" si="63"/>
        <v>28</v>
      </c>
      <c r="E427" s="4" t="s">
        <v>647</v>
      </c>
      <c r="F427" s="4" t="s">
        <v>654</v>
      </c>
      <c r="G427" s="4" t="s">
        <v>691</v>
      </c>
      <c r="H427" s="4" t="s">
        <v>702</v>
      </c>
      <c r="I427" s="4" t="s">
        <v>709</v>
      </c>
      <c r="J427" s="4" t="s">
        <v>715</v>
      </c>
      <c r="K427" s="4" t="s">
        <v>731</v>
      </c>
      <c r="L427" s="4" t="s">
        <v>1158</v>
      </c>
      <c r="M427" s="9">
        <v>8</v>
      </c>
      <c r="N427" s="16">
        <f>ROUND(IF('Dashboard Visualization'!$U$3="",'Working Data'!$M427,'Working Data'!$M427*(100% +'Dashboard Visualization'!$U$3)),0)</f>
        <v>8</v>
      </c>
      <c r="O427" s="19">
        <v>1035.19</v>
      </c>
      <c r="P427" s="20">
        <f>IF('Dashboard Visualization'!$U$2="",'Working Data'!$O427*'Working Data'!$N427,'Working Data'!$O427*'Working Data'!$N427*(100%+'Dashboard Visualization'!$U$2))</f>
        <v>8281.52</v>
      </c>
      <c r="Q427" s="19">
        <v>2322.6999999999998</v>
      </c>
      <c r="R427" s="20">
        <f t="shared" si="64"/>
        <v>1920.8728999999998</v>
      </c>
      <c r="S427" s="11">
        <v>0.17299999999999999</v>
      </c>
      <c r="T427" s="22">
        <f>IF('Dashboard Visualization'!$U$1="",$S427,IF(S427&gt;'Dashboard Visualization'!$U$1,'Dashboard Visualization'!$U$1,S427))</f>
        <v>0.17299999999999999</v>
      </c>
      <c r="U427" s="20">
        <f t="shared" si="65"/>
        <v>12708.495106399998</v>
      </c>
      <c r="V427" s="20">
        <f t="shared" si="66"/>
        <v>4426.9751063999975</v>
      </c>
      <c r="W427" s="22">
        <f t="shared" si="62"/>
        <v>0.34834770516381386</v>
      </c>
      <c r="X427" s="28" t="str">
        <f>TEXT(B427,"MMM-YYYY")</f>
        <v>Feb-2024</v>
      </c>
      <c r="Y427" s="7" t="str">
        <f t="shared" si="67"/>
        <v>Q1-2024</v>
      </c>
      <c r="Z427" s="7" t="str">
        <f t="shared" si="68"/>
        <v>Medium Price</v>
      </c>
      <c r="AA427" s="7" t="str">
        <f t="shared" si="69"/>
        <v>Q1</v>
      </c>
      <c r="AB427" s="28" t="str">
        <f t="shared" si="70"/>
        <v>Feb</v>
      </c>
      <c r="AC427" s="28" t="str">
        <f t="shared" si="71"/>
        <v>2024</v>
      </c>
    </row>
    <row r="428" spans="1:29" x14ac:dyDescent="0.25">
      <c r="A428" s="4" t="s">
        <v>440</v>
      </c>
      <c r="B428" s="14">
        <v>45897</v>
      </c>
      <c r="C428" s="14">
        <v>45905</v>
      </c>
      <c r="D428" s="16">
        <f t="shared" si="63"/>
        <v>8</v>
      </c>
      <c r="E428" s="4" t="s">
        <v>646</v>
      </c>
      <c r="F428" s="4" t="s">
        <v>651</v>
      </c>
      <c r="G428" s="4" t="s">
        <v>663</v>
      </c>
      <c r="H428" s="4" t="s">
        <v>705</v>
      </c>
      <c r="I428" s="4" t="s">
        <v>709</v>
      </c>
      <c r="J428" s="4" t="s">
        <v>718</v>
      </c>
      <c r="K428" s="4" t="s">
        <v>731</v>
      </c>
      <c r="L428" s="4" t="s">
        <v>1159</v>
      </c>
      <c r="M428" s="9">
        <v>21</v>
      </c>
      <c r="N428" s="16">
        <f>ROUND(IF('Dashboard Visualization'!$U$3="",'Working Data'!$M428,'Working Data'!$M428*(100% +'Dashboard Visualization'!$U$3)),0)</f>
        <v>21</v>
      </c>
      <c r="O428" s="19">
        <v>1271.0999999999999</v>
      </c>
      <c r="P428" s="20">
        <f>IF('Dashboard Visualization'!$U$2="",'Working Data'!$O428*'Working Data'!$N428,'Working Data'!$O428*'Working Data'!$N428*(100%+'Dashboard Visualization'!$U$2))</f>
        <v>26693.1</v>
      </c>
      <c r="Q428" s="19">
        <v>1932.42</v>
      </c>
      <c r="R428" s="20">
        <f t="shared" si="64"/>
        <v>1449.3150000000001</v>
      </c>
      <c r="S428" s="11">
        <v>0.25</v>
      </c>
      <c r="T428" s="22">
        <f>IF('Dashboard Visualization'!$U$1="",$S428,IF(S428&gt;'Dashboard Visualization'!$U$1,'Dashboard Visualization'!$U$1,S428))</f>
        <v>0.25</v>
      </c>
      <c r="U428" s="20">
        <f t="shared" si="65"/>
        <v>22826.71125</v>
      </c>
      <c r="V428" s="20">
        <f t="shared" si="66"/>
        <v>-3866.3887499999983</v>
      </c>
      <c r="W428" s="22">
        <f t="shared" si="62"/>
        <v>0</v>
      </c>
      <c r="X428" s="28" t="str">
        <f>TEXT(B428,"MMM-YYYY")</f>
        <v>Aug-2025</v>
      </c>
      <c r="Y428" s="7" t="str">
        <f t="shared" si="67"/>
        <v>Q3-2025</v>
      </c>
      <c r="Z428" s="7" t="str">
        <f t="shared" si="68"/>
        <v>High Price</v>
      </c>
      <c r="AA428" s="7" t="str">
        <f t="shared" si="69"/>
        <v>Q3</v>
      </c>
      <c r="AB428" s="28" t="str">
        <f t="shared" si="70"/>
        <v>Aug</v>
      </c>
      <c r="AC428" s="28" t="str">
        <f t="shared" si="71"/>
        <v>2025</v>
      </c>
    </row>
    <row r="429" spans="1:29" x14ac:dyDescent="0.25">
      <c r="A429" s="4" t="s">
        <v>441</v>
      </c>
      <c r="B429" s="14">
        <v>45522</v>
      </c>
      <c r="C429" s="14">
        <v>45547</v>
      </c>
      <c r="D429" s="16">
        <f t="shared" si="63"/>
        <v>25</v>
      </c>
      <c r="E429" s="4" t="s">
        <v>647</v>
      </c>
      <c r="F429" s="4" t="s">
        <v>654</v>
      </c>
      <c r="G429" s="4" t="s">
        <v>691</v>
      </c>
      <c r="H429" s="4" t="s">
        <v>704</v>
      </c>
      <c r="I429" s="4" t="s">
        <v>709</v>
      </c>
      <c r="J429" s="4" t="s">
        <v>712</v>
      </c>
      <c r="K429" s="4" t="s">
        <v>730</v>
      </c>
      <c r="L429" s="4" t="s">
        <v>1160</v>
      </c>
      <c r="M429" s="9">
        <v>18</v>
      </c>
      <c r="N429" s="16">
        <f>ROUND(IF('Dashboard Visualization'!$U$3="",'Working Data'!$M429,'Working Data'!$M429*(100% +'Dashboard Visualization'!$U$3)),0)</f>
        <v>18</v>
      </c>
      <c r="O429" s="19">
        <v>1154.03</v>
      </c>
      <c r="P429" s="20">
        <f>IF('Dashboard Visualization'!$U$2="",'Working Data'!$O429*'Working Data'!$N429,'Working Data'!$O429*'Working Data'!$N429*(100%+'Dashboard Visualization'!$U$2))</f>
        <v>20772.54</v>
      </c>
      <c r="Q429" s="19">
        <v>1590.36</v>
      </c>
      <c r="R429" s="20">
        <f t="shared" si="64"/>
        <v>1090.98696</v>
      </c>
      <c r="S429" s="11">
        <v>0.314</v>
      </c>
      <c r="T429" s="22">
        <f>IF('Dashboard Visualization'!$U$1="",$S429,IF(S429&gt;'Dashboard Visualization'!$U$1,'Dashboard Visualization'!$U$1,S429))</f>
        <v>0.314</v>
      </c>
      <c r="U429" s="20">
        <f t="shared" si="65"/>
        <v>13471.506982079998</v>
      </c>
      <c r="V429" s="20">
        <f t="shared" si="66"/>
        <v>-7301.0330179200027</v>
      </c>
      <c r="W429" s="22">
        <f t="shared" si="62"/>
        <v>0</v>
      </c>
      <c r="X429" s="28" t="str">
        <f>TEXT(B429,"MMM-YYYY")</f>
        <v>Aug-2024</v>
      </c>
      <c r="Y429" s="7" t="str">
        <f t="shared" si="67"/>
        <v>Q3-2024</v>
      </c>
      <c r="Z429" s="7" t="str">
        <f t="shared" si="68"/>
        <v>High Price</v>
      </c>
      <c r="AA429" s="7" t="str">
        <f t="shared" si="69"/>
        <v>Q3</v>
      </c>
      <c r="AB429" s="28" t="str">
        <f t="shared" si="70"/>
        <v>Aug</v>
      </c>
      <c r="AC429" s="28" t="str">
        <f t="shared" si="71"/>
        <v>2024</v>
      </c>
    </row>
    <row r="430" spans="1:29" x14ac:dyDescent="0.25">
      <c r="A430" s="4" t="s">
        <v>442</v>
      </c>
      <c r="B430" s="14">
        <v>45347</v>
      </c>
      <c r="C430" s="14">
        <v>45360</v>
      </c>
      <c r="D430" s="16">
        <f t="shared" si="63"/>
        <v>13</v>
      </c>
      <c r="E430" s="4" t="s">
        <v>649</v>
      </c>
      <c r="F430" s="4" t="s">
        <v>657</v>
      </c>
      <c r="G430" s="4" t="s">
        <v>673</v>
      </c>
      <c r="H430" s="4" t="s">
        <v>705</v>
      </c>
      <c r="I430" s="4" t="s">
        <v>710</v>
      </c>
      <c r="J430" s="4" t="s">
        <v>718</v>
      </c>
      <c r="K430" s="4" t="s">
        <v>732</v>
      </c>
      <c r="L430" s="4" t="s">
        <v>1161</v>
      </c>
      <c r="M430" s="9">
        <v>34</v>
      </c>
      <c r="N430" s="16">
        <f>ROUND(IF('Dashboard Visualization'!$U$3="",'Working Data'!$M430,'Working Data'!$M430*(100% +'Dashboard Visualization'!$U$3)),0)</f>
        <v>34</v>
      </c>
      <c r="O430" s="19">
        <v>322.44</v>
      </c>
      <c r="P430" s="20">
        <f>IF('Dashboard Visualization'!$U$2="",'Working Data'!$O430*'Working Data'!$N430,'Working Data'!$O430*'Working Data'!$N430*(100%+'Dashboard Visualization'!$U$2))</f>
        <v>10962.96</v>
      </c>
      <c r="Q430" s="19">
        <v>395.61</v>
      </c>
      <c r="R430" s="20">
        <f t="shared" si="64"/>
        <v>395.61</v>
      </c>
      <c r="S430" s="11">
        <v>0</v>
      </c>
      <c r="T430" s="22">
        <f>IF('Dashboard Visualization'!$U$1="",$S430,IF(S430&gt;'Dashboard Visualization'!$U$1,'Dashboard Visualization'!$U$1,S430))</f>
        <v>0</v>
      </c>
      <c r="U430" s="20">
        <f t="shared" si="65"/>
        <v>13450.74</v>
      </c>
      <c r="V430" s="20">
        <f t="shared" si="66"/>
        <v>2487.7800000000007</v>
      </c>
      <c r="W430" s="22">
        <f t="shared" si="62"/>
        <v>0.18495487980586947</v>
      </c>
      <c r="X430" s="28" t="str">
        <f>TEXT(B430,"MMM-YYYY")</f>
        <v>Feb-2024</v>
      </c>
      <c r="Y430" s="7" t="str">
        <f t="shared" si="67"/>
        <v>Q1-2024</v>
      </c>
      <c r="Z430" s="7" t="str">
        <f t="shared" si="68"/>
        <v>Low Price</v>
      </c>
      <c r="AA430" s="7" t="str">
        <f t="shared" si="69"/>
        <v>Q1</v>
      </c>
      <c r="AB430" s="28" t="str">
        <f t="shared" si="70"/>
        <v>Feb</v>
      </c>
      <c r="AC430" s="28" t="str">
        <f t="shared" si="71"/>
        <v>2024</v>
      </c>
    </row>
    <row r="431" spans="1:29" x14ac:dyDescent="0.25">
      <c r="A431" s="4" t="s">
        <v>443</v>
      </c>
      <c r="B431" s="14">
        <v>45784</v>
      </c>
      <c r="C431" s="14">
        <v>45790</v>
      </c>
      <c r="D431" s="16">
        <f t="shared" si="63"/>
        <v>6</v>
      </c>
      <c r="E431" s="4" t="s">
        <v>647</v>
      </c>
      <c r="F431" s="4" t="s">
        <v>654</v>
      </c>
      <c r="G431" s="4" t="s">
        <v>668</v>
      </c>
      <c r="H431" s="4" t="s">
        <v>706</v>
      </c>
      <c r="I431" s="4" t="s">
        <v>711</v>
      </c>
      <c r="J431" s="4" t="s">
        <v>713</v>
      </c>
      <c r="K431" s="4" t="s">
        <v>730</v>
      </c>
      <c r="L431" s="4" t="s">
        <v>1162</v>
      </c>
      <c r="M431" s="9">
        <v>24</v>
      </c>
      <c r="N431" s="16">
        <f>ROUND(IF('Dashboard Visualization'!$U$3="",'Working Data'!$M431,'Working Data'!$M431*(100% +'Dashboard Visualization'!$U$3)),0)</f>
        <v>24</v>
      </c>
      <c r="O431" s="19">
        <v>935.98</v>
      </c>
      <c r="P431" s="20">
        <f>IF('Dashboard Visualization'!$U$2="",'Working Data'!$O431*'Working Data'!$N431,'Working Data'!$O431*'Working Data'!$N431*(100%+'Dashboard Visualization'!$U$2))</f>
        <v>22463.52</v>
      </c>
      <c r="Q431" s="19">
        <v>2077.69</v>
      </c>
      <c r="R431" s="20">
        <f t="shared" si="64"/>
        <v>1714.0942499999999</v>
      </c>
      <c r="S431" s="11">
        <v>0.17499999999999999</v>
      </c>
      <c r="T431" s="22">
        <f>IF('Dashboard Visualization'!$U$1="",$S431,IF(S431&gt;'Dashboard Visualization'!$U$1,'Dashboard Visualization'!$U$1,S431))</f>
        <v>0.17499999999999999</v>
      </c>
      <c r="U431" s="20">
        <f t="shared" si="65"/>
        <v>33939.066149999991</v>
      </c>
      <c r="V431" s="20">
        <f t="shared" si="66"/>
        <v>11475.546149999991</v>
      </c>
      <c r="W431" s="22">
        <f t="shared" si="62"/>
        <v>0.33812203610086644</v>
      </c>
      <c r="X431" s="28" t="str">
        <f>TEXT(B431,"MMM-YYYY")</f>
        <v>May-2025</v>
      </c>
      <c r="Y431" s="7" t="str">
        <f t="shared" si="67"/>
        <v>Q2-2025</v>
      </c>
      <c r="Z431" s="7" t="str">
        <f t="shared" si="68"/>
        <v>Medium Price</v>
      </c>
      <c r="AA431" s="7" t="str">
        <f t="shared" si="69"/>
        <v>Q2</v>
      </c>
      <c r="AB431" s="28" t="str">
        <f t="shared" si="70"/>
        <v>May</v>
      </c>
      <c r="AC431" s="28" t="str">
        <f t="shared" si="71"/>
        <v>2025</v>
      </c>
    </row>
    <row r="432" spans="1:29" x14ac:dyDescent="0.25">
      <c r="A432" s="4" t="s">
        <v>444</v>
      </c>
      <c r="B432" s="14">
        <v>45597</v>
      </c>
      <c r="C432" s="14">
        <v>45608</v>
      </c>
      <c r="D432" s="16">
        <f t="shared" si="63"/>
        <v>11</v>
      </c>
      <c r="E432" s="4" t="s">
        <v>649</v>
      </c>
      <c r="F432" s="4" t="s">
        <v>656</v>
      </c>
      <c r="G432" s="4" t="s">
        <v>698</v>
      </c>
      <c r="H432" s="4" t="s">
        <v>704</v>
      </c>
      <c r="I432" s="4" t="s">
        <v>708</v>
      </c>
      <c r="J432" s="4" t="s">
        <v>717</v>
      </c>
      <c r="K432" s="4" t="s">
        <v>728</v>
      </c>
      <c r="L432" s="4" t="s">
        <v>1163</v>
      </c>
      <c r="M432" s="9">
        <v>11</v>
      </c>
      <c r="N432" s="16">
        <f>ROUND(IF('Dashboard Visualization'!$U$3="",'Working Data'!$M432,'Working Data'!$M432*(100% +'Dashboard Visualization'!$U$3)),0)</f>
        <v>11</v>
      </c>
      <c r="O432" s="19">
        <v>599.84</v>
      </c>
      <c r="P432" s="20">
        <f>IF('Dashboard Visualization'!$U$2="",'Working Data'!$O432*'Working Data'!$N432,'Working Data'!$O432*'Working Data'!$N432*(100%+'Dashboard Visualization'!$U$2))</f>
        <v>6598.2400000000007</v>
      </c>
      <c r="Q432" s="19">
        <v>1330.85</v>
      </c>
      <c r="R432" s="20">
        <f t="shared" si="64"/>
        <v>1177.80225</v>
      </c>
      <c r="S432" s="11">
        <v>0.115</v>
      </c>
      <c r="T432" s="22">
        <f>IF('Dashboard Visualization'!$U$1="",$S432,IF(S432&gt;'Dashboard Visualization'!$U$1,'Dashboard Visualization'!$U$1,S432))</f>
        <v>0.115</v>
      </c>
      <c r="U432" s="20">
        <f t="shared" si="65"/>
        <v>11465.904903750001</v>
      </c>
      <c r="V432" s="20">
        <f t="shared" si="66"/>
        <v>4867.6649037500001</v>
      </c>
      <c r="W432" s="22">
        <f t="shared" si="62"/>
        <v>0.42453386318928893</v>
      </c>
      <c r="X432" s="28" t="str">
        <f>TEXT(B432,"MMM-YYYY")</f>
        <v>Nov-2024</v>
      </c>
      <c r="Y432" s="7" t="str">
        <f t="shared" si="67"/>
        <v>Q4-2024</v>
      </c>
      <c r="Z432" s="7" t="str">
        <f t="shared" si="68"/>
        <v>High Price</v>
      </c>
      <c r="AA432" s="7" t="str">
        <f t="shared" si="69"/>
        <v>Q4</v>
      </c>
      <c r="AB432" s="28" t="str">
        <f t="shared" si="70"/>
        <v>Nov</v>
      </c>
      <c r="AC432" s="28" t="str">
        <f t="shared" si="71"/>
        <v>2024</v>
      </c>
    </row>
    <row r="433" spans="1:29" x14ac:dyDescent="0.25">
      <c r="A433" s="4" t="s">
        <v>445</v>
      </c>
      <c r="B433" s="14">
        <v>45654</v>
      </c>
      <c r="C433" s="14">
        <v>45665</v>
      </c>
      <c r="D433" s="16">
        <f t="shared" si="63"/>
        <v>11</v>
      </c>
      <c r="E433" s="4" t="s">
        <v>647</v>
      </c>
      <c r="F433" s="4" t="s">
        <v>659</v>
      </c>
      <c r="G433" s="4" t="s">
        <v>676</v>
      </c>
      <c r="H433" s="4" t="s">
        <v>706</v>
      </c>
      <c r="I433" s="4" t="s">
        <v>708</v>
      </c>
      <c r="J433" s="4" t="s">
        <v>723</v>
      </c>
      <c r="K433" s="4" t="s">
        <v>731</v>
      </c>
      <c r="L433" s="4" t="s">
        <v>1164</v>
      </c>
      <c r="M433" s="9">
        <v>21</v>
      </c>
      <c r="N433" s="16">
        <f>ROUND(IF('Dashboard Visualization'!$U$3="",'Working Data'!$M433,'Working Data'!$M433*(100% +'Dashboard Visualization'!$U$3)),0)</f>
        <v>21</v>
      </c>
      <c r="O433" s="19">
        <v>1201.31</v>
      </c>
      <c r="P433" s="20">
        <f>IF('Dashboard Visualization'!$U$2="",'Working Data'!$O433*'Working Data'!$N433,'Working Data'!$O433*'Working Data'!$N433*(100%+'Dashboard Visualization'!$U$2))</f>
        <v>25227.51</v>
      </c>
      <c r="Q433" s="19">
        <v>2764.65</v>
      </c>
      <c r="R433" s="20">
        <f t="shared" si="64"/>
        <v>2764.65</v>
      </c>
      <c r="S433" s="11">
        <v>0</v>
      </c>
      <c r="T433" s="22">
        <f>IF('Dashboard Visualization'!$U$1="",$S433,IF(S433&gt;'Dashboard Visualization'!$U$1,'Dashboard Visualization'!$U$1,S433))</f>
        <v>0</v>
      </c>
      <c r="U433" s="20">
        <f t="shared" si="65"/>
        <v>58057.65</v>
      </c>
      <c r="V433" s="20">
        <f t="shared" si="66"/>
        <v>32830.14</v>
      </c>
      <c r="W433" s="22">
        <f t="shared" si="62"/>
        <v>0.56547483406579491</v>
      </c>
      <c r="X433" s="28" t="str">
        <f>TEXT(B433,"MMM-YYYY")</f>
        <v>Dec-2024</v>
      </c>
      <c r="Y433" s="7" t="str">
        <f t="shared" si="67"/>
        <v>Q4-2024</v>
      </c>
      <c r="Z433" s="7" t="str">
        <f t="shared" si="68"/>
        <v>Medium Price</v>
      </c>
      <c r="AA433" s="7" t="str">
        <f t="shared" si="69"/>
        <v>Q4</v>
      </c>
      <c r="AB433" s="28" t="str">
        <f t="shared" si="70"/>
        <v>Dec</v>
      </c>
      <c r="AC433" s="28" t="str">
        <f t="shared" si="71"/>
        <v>2024</v>
      </c>
    </row>
    <row r="434" spans="1:29" x14ac:dyDescent="0.25">
      <c r="A434" s="4" t="s">
        <v>446</v>
      </c>
      <c r="B434" s="14">
        <v>45220</v>
      </c>
      <c r="C434" s="14">
        <v>45220</v>
      </c>
      <c r="D434" s="16">
        <f t="shared" si="63"/>
        <v>0</v>
      </c>
      <c r="E434" s="4" t="s">
        <v>649</v>
      </c>
      <c r="F434" s="4" t="s">
        <v>658</v>
      </c>
      <c r="G434" s="4" t="s">
        <v>693</v>
      </c>
      <c r="H434" s="4" t="s">
        <v>706</v>
      </c>
      <c r="I434" s="4" t="s">
        <v>710</v>
      </c>
      <c r="J434" s="4" t="s">
        <v>713</v>
      </c>
      <c r="K434" s="4" t="s">
        <v>732</v>
      </c>
      <c r="L434" s="4" t="s">
        <v>1165</v>
      </c>
      <c r="M434" s="9">
        <v>10</v>
      </c>
      <c r="N434" s="16">
        <f>ROUND(IF('Dashboard Visualization'!$U$3="",'Working Data'!$M434,'Working Data'!$M434*(100% +'Dashboard Visualization'!$U$3)),0)</f>
        <v>10</v>
      </c>
      <c r="O434" s="19">
        <v>384.19</v>
      </c>
      <c r="P434" s="20">
        <f>IF('Dashboard Visualization'!$U$2="",'Working Data'!$O434*'Working Data'!$N434,'Working Data'!$O434*'Working Data'!$N434*(100%+'Dashboard Visualization'!$U$2))</f>
        <v>3841.9</v>
      </c>
      <c r="Q434" s="19">
        <v>278.35000000000002</v>
      </c>
      <c r="R434" s="20">
        <f t="shared" si="64"/>
        <v>262.76240000000001</v>
      </c>
      <c r="S434" s="11">
        <v>5.6000000000000001E-2</v>
      </c>
      <c r="T434" s="22">
        <f>IF('Dashboard Visualization'!$U$1="",$S434,IF(S434&gt;'Dashboard Visualization'!$U$1,'Dashboard Visualization'!$U$1,S434))</f>
        <v>5.6000000000000001E-2</v>
      </c>
      <c r="U434" s="20">
        <f t="shared" si="65"/>
        <v>2480.4770560000002</v>
      </c>
      <c r="V434" s="20">
        <f t="shared" si="66"/>
        <v>-1361.4229439999999</v>
      </c>
      <c r="W434" s="22">
        <f t="shared" si="62"/>
        <v>0</v>
      </c>
      <c r="X434" s="28" t="str">
        <f>TEXT(B434,"MMM-YYYY")</f>
        <v>Oct-2023</v>
      </c>
      <c r="Y434" s="7" t="str">
        <f t="shared" si="67"/>
        <v>Q4-2023</v>
      </c>
      <c r="Z434" s="7" t="str">
        <f t="shared" si="68"/>
        <v>Low Price</v>
      </c>
      <c r="AA434" s="7" t="str">
        <f t="shared" si="69"/>
        <v>Q4</v>
      </c>
      <c r="AB434" s="28" t="str">
        <f t="shared" si="70"/>
        <v>Oct</v>
      </c>
      <c r="AC434" s="28" t="str">
        <f t="shared" si="71"/>
        <v>2023</v>
      </c>
    </row>
    <row r="435" spans="1:29" x14ac:dyDescent="0.25">
      <c r="A435" s="4" t="s">
        <v>447</v>
      </c>
      <c r="B435" s="14">
        <v>45636</v>
      </c>
      <c r="C435" s="14">
        <v>45645</v>
      </c>
      <c r="D435" s="16">
        <f t="shared" si="63"/>
        <v>9</v>
      </c>
      <c r="E435" s="4" t="s">
        <v>646</v>
      </c>
      <c r="F435" s="4" t="s">
        <v>651</v>
      </c>
      <c r="G435" s="4" t="s">
        <v>665</v>
      </c>
      <c r="H435" s="4" t="s">
        <v>701</v>
      </c>
      <c r="I435" s="4" t="s">
        <v>707</v>
      </c>
      <c r="J435" s="4" t="s">
        <v>719</v>
      </c>
      <c r="K435" s="4" t="s">
        <v>732</v>
      </c>
      <c r="L435" s="4" t="s">
        <v>1166</v>
      </c>
      <c r="M435" s="9">
        <v>14</v>
      </c>
      <c r="N435" s="16">
        <f>ROUND(IF('Dashboard Visualization'!$U$3="",'Working Data'!$M435,'Working Data'!$M435*(100% +'Dashboard Visualization'!$U$3)),0)</f>
        <v>14</v>
      </c>
      <c r="O435" s="19">
        <v>488.68</v>
      </c>
      <c r="P435" s="20">
        <f>IF('Dashboard Visualization'!$U$2="",'Working Data'!$O435*'Working Data'!$N435,'Working Data'!$O435*'Working Data'!$N435*(100%+'Dashboard Visualization'!$U$2))</f>
        <v>6841.52</v>
      </c>
      <c r="Q435" s="19">
        <v>984.36</v>
      </c>
      <c r="R435" s="20">
        <f t="shared" si="64"/>
        <v>926.28276000000005</v>
      </c>
      <c r="S435" s="11">
        <v>5.8999999999999997E-2</v>
      </c>
      <c r="T435" s="22">
        <f>IF('Dashboard Visualization'!$U$1="",$S435,IF(S435&gt;'Dashboard Visualization'!$U$1,'Dashboard Visualization'!$U$1,S435))</f>
        <v>5.8999999999999997E-2</v>
      </c>
      <c r="U435" s="20">
        <f t="shared" si="65"/>
        <v>12202.849080240001</v>
      </c>
      <c r="V435" s="20">
        <f t="shared" si="66"/>
        <v>5361.3290802400006</v>
      </c>
      <c r="W435" s="22">
        <f t="shared" si="62"/>
        <v>0.43935060123963737</v>
      </c>
      <c r="X435" s="28" t="str">
        <f>TEXT(B435,"MMM-YYYY")</f>
        <v>Dec-2024</v>
      </c>
      <c r="Y435" s="7" t="str">
        <f t="shared" si="67"/>
        <v>Q4-2024</v>
      </c>
      <c r="Z435" s="7" t="str">
        <f t="shared" si="68"/>
        <v>High Price</v>
      </c>
      <c r="AA435" s="7" t="str">
        <f t="shared" si="69"/>
        <v>Q4</v>
      </c>
      <c r="AB435" s="28" t="str">
        <f t="shared" si="70"/>
        <v>Dec</v>
      </c>
      <c r="AC435" s="28" t="str">
        <f t="shared" si="71"/>
        <v>2024</v>
      </c>
    </row>
    <row r="436" spans="1:29" x14ac:dyDescent="0.25">
      <c r="A436" s="4" t="s">
        <v>448</v>
      </c>
      <c r="B436" s="14">
        <v>45542</v>
      </c>
      <c r="C436" s="14">
        <v>45553</v>
      </c>
      <c r="D436" s="16">
        <f t="shared" si="63"/>
        <v>11</v>
      </c>
      <c r="E436" s="4" t="s">
        <v>647</v>
      </c>
      <c r="F436" s="4" t="s">
        <v>659</v>
      </c>
      <c r="G436" s="4" t="s">
        <v>699</v>
      </c>
      <c r="H436" s="4" t="s">
        <v>704</v>
      </c>
      <c r="I436" s="4" t="s">
        <v>710</v>
      </c>
      <c r="J436" s="4" t="s">
        <v>719</v>
      </c>
      <c r="K436" s="4" t="s">
        <v>729</v>
      </c>
      <c r="L436" s="4" t="s">
        <v>1167</v>
      </c>
      <c r="M436" s="9">
        <v>13</v>
      </c>
      <c r="N436" s="16">
        <f>ROUND(IF('Dashboard Visualization'!$U$3="",'Working Data'!$M436,'Working Data'!$M436*(100% +'Dashboard Visualization'!$U$3)),0)</f>
        <v>13</v>
      </c>
      <c r="O436" s="19">
        <v>181.74</v>
      </c>
      <c r="P436" s="20">
        <f>IF('Dashboard Visualization'!$U$2="",'Working Data'!$O436*'Working Data'!$N436,'Working Data'!$O436*'Working Data'!$N436*(100%+'Dashboard Visualization'!$U$2))</f>
        <v>2362.62</v>
      </c>
      <c r="Q436" s="19">
        <v>190.84</v>
      </c>
      <c r="R436" s="20">
        <f t="shared" si="64"/>
        <v>150.00024000000002</v>
      </c>
      <c r="S436" s="11">
        <v>0.214</v>
      </c>
      <c r="T436" s="22">
        <f>IF('Dashboard Visualization'!$U$1="",$S436,IF(S436&gt;'Dashboard Visualization'!$U$1,'Dashboard Visualization'!$U$1,S436))</f>
        <v>0.214</v>
      </c>
      <c r="U436" s="20">
        <f t="shared" si="65"/>
        <v>1532.7024523200002</v>
      </c>
      <c r="V436" s="20">
        <f t="shared" si="66"/>
        <v>-829.91754767999964</v>
      </c>
      <c r="W436" s="22">
        <f t="shared" si="62"/>
        <v>0</v>
      </c>
      <c r="X436" s="28" t="str">
        <f>TEXT(B436,"MMM-YYYY")</f>
        <v>Sep-2024</v>
      </c>
      <c r="Y436" s="7" t="str">
        <f t="shared" si="67"/>
        <v>Q3-2024</v>
      </c>
      <c r="Z436" s="7" t="str">
        <f t="shared" si="68"/>
        <v>Low Price</v>
      </c>
      <c r="AA436" s="7" t="str">
        <f t="shared" si="69"/>
        <v>Q3</v>
      </c>
      <c r="AB436" s="28" t="str">
        <f t="shared" si="70"/>
        <v>Sep</v>
      </c>
      <c r="AC436" s="28" t="str">
        <f t="shared" si="71"/>
        <v>2024</v>
      </c>
    </row>
    <row r="437" spans="1:29" x14ac:dyDescent="0.25">
      <c r="A437" s="4" t="s">
        <v>449</v>
      </c>
      <c r="B437" s="14">
        <v>45217</v>
      </c>
      <c r="C437" s="14">
        <v>45219</v>
      </c>
      <c r="D437" s="16">
        <f t="shared" si="63"/>
        <v>2</v>
      </c>
      <c r="E437" s="4" t="s">
        <v>646</v>
      </c>
      <c r="F437" s="4" t="s">
        <v>650</v>
      </c>
      <c r="G437" s="4" t="s">
        <v>662</v>
      </c>
      <c r="H437" s="4" t="s">
        <v>704</v>
      </c>
      <c r="I437" s="4" t="s">
        <v>707</v>
      </c>
      <c r="J437" s="4" t="s">
        <v>713</v>
      </c>
      <c r="K437" s="4" t="s">
        <v>730</v>
      </c>
      <c r="L437" s="4" t="s">
        <v>1168</v>
      </c>
      <c r="M437" s="9">
        <v>30</v>
      </c>
      <c r="N437" s="16">
        <f>ROUND(IF('Dashboard Visualization'!$U$3="",'Working Data'!$M437,'Working Data'!$M437*(100% +'Dashboard Visualization'!$U$3)),0)</f>
        <v>30</v>
      </c>
      <c r="O437" s="19">
        <v>774.12</v>
      </c>
      <c r="P437" s="20">
        <f>IF('Dashboard Visualization'!$U$2="",'Working Data'!$O437*'Working Data'!$N437,'Working Data'!$O437*'Working Data'!$N437*(100%+'Dashboard Visualization'!$U$2))</f>
        <v>23223.599999999999</v>
      </c>
      <c r="Q437" s="19">
        <v>908.3</v>
      </c>
      <c r="R437" s="20">
        <f t="shared" si="64"/>
        <v>908.3</v>
      </c>
      <c r="S437" s="11">
        <v>0</v>
      </c>
      <c r="T437" s="22">
        <f>IF('Dashboard Visualization'!$U$1="",$S437,IF(S437&gt;'Dashboard Visualization'!$U$1,'Dashboard Visualization'!$U$1,S437))</f>
        <v>0</v>
      </c>
      <c r="U437" s="20">
        <f t="shared" si="65"/>
        <v>27249</v>
      </c>
      <c r="V437" s="20">
        <f t="shared" si="66"/>
        <v>4025.4000000000015</v>
      </c>
      <c r="W437" s="22">
        <f t="shared" si="62"/>
        <v>0.14772652207420461</v>
      </c>
      <c r="X437" s="28" t="str">
        <f>TEXT(B437,"MMM-YYYY")</f>
        <v>Oct-2023</v>
      </c>
      <c r="Y437" s="7" t="str">
        <f t="shared" si="67"/>
        <v>Q4-2023</v>
      </c>
      <c r="Z437" s="7" t="str">
        <f t="shared" si="68"/>
        <v>High Price</v>
      </c>
      <c r="AA437" s="7" t="str">
        <f t="shared" si="69"/>
        <v>Q4</v>
      </c>
      <c r="AB437" s="28" t="str">
        <f t="shared" si="70"/>
        <v>Oct</v>
      </c>
      <c r="AC437" s="28" t="str">
        <f t="shared" si="71"/>
        <v>2023</v>
      </c>
    </row>
    <row r="438" spans="1:29" x14ac:dyDescent="0.25">
      <c r="A438" s="4" t="s">
        <v>450</v>
      </c>
      <c r="B438" s="14">
        <v>45650</v>
      </c>
      <c r="C438" s="14">
        <v>45670</v>
      </c>
      <c r="D438" s="16">
        <f t="shared" si="63"/>
        <v>20</v>
      </c>
      <c r="E438" s="4" t="s">
        <v>647</v>
      </c>
      <c r="F438" s="4" t="s">
        <v>654</v>
      </c>
      <c r="G438" s="4" t="s">
        <v>668</v>
      </c>
      <c r="H438" s="4" t="s">
        <v>701</v>
      </c>
      <c r="I438" s="4" t="s">
        <v>709</v>
      </c>
      <c r="J438" s="4" t="s">
        <v>726</v>
      </c>
      <c r="K438" s="4" t="s">
        <v>729</v>
      </c>
      <c r="L438" s="4" t="s">
        <v>1169</v>
      </c>
      <c r="M438" s="9">
        <v>22</v>
      </c>
      <c r="N438" s="16">
        <f>ROUND(IF('Dashboard Visualization'!$U$3="",'Working Data'!$M438,'Working Data'!$M438*(100% +'Dashboard Visualization'!$U$3)),0)</f>
        <v>22</v>
      </c>
      <c r="O438" s="19">
        <v>126.15</v>
      </c>
      <c r="P438" s="20">
        <f>IF('Dashboard Visualization'!$U$2="",'Working Data'!$O438*'Working Data'!$N438,'Working Data'!$O438*'Working Data'!$N438*(100%+'Dashboard Visualization'!$U$2))</f>
        <v>2775.3</v>
      </c>
      <c r="Q438" s="19">
        <v>284.23</v>
      </c>
      <c r="R438" s="20">
        <f t="shared" si="64"/>
        <v>252.11201000000003</v>
      </c>
      <c r="S438" s="11">
        <v>0.113</v>
      </c>
      <c r="T438" s="22">
        <f>IF('Dashboard Visualization'!$U$1="",$S438,IF(S438&gt;'Dashboard Visualization'!$U$1,'Dashboard Visualization'!$U$1,S438))</f>
        <v>0.113</v>
      </c>
      <c r="U438" s="20">
        <f t="shared" si="65"/>
        <v>4919.7137631400001</v>
      </c>
      <c r="V438" s="20">
        <f t="shared" si="66"/>
        <v>2144.4137631399999</v>
      </c>
      <c r="W438" s="22">
        <f t="shared" si="62"/>
        <v>0.43588181475243609</v>
      </c>
      <c r="X438" s="28" t="str">
        <f>TEXT(B438,"MMM-YYYY")</f>
        <v>Dec-2024</v>
      </c>
      <c r="Y438" s="7" t="str">
        <f t="shared" si="67"/>
        <v>Q4-2024</v>
      </c>
      <c r="Z438" s="7" t="str">
        <f t="shared" si="68"/>
        <v>Low Price</v>
      </c>
      <c r="AA438" s="7" t="str">
        <f t="shared" si="69"/>
        <v>Q4</v>
      </c>
      <c r="AB438" s="28" t="str">
        <f t="shared" si="70"/>
        <v>Dec</v>
      </c>
      <c r="AC438" s="28" t="str">
        <f t="shared" si="71"/>
        <v>2024</v>
      </c>
    </row>
    <row r="439" spans="1:29" x14ac:dyDescent="0.25">
      <c r="A439" s="4" t="s">
        <v>451</v>
      </c>
      <c r="B439" s="14">
        <v>45037</v>
      </c>
      <c r="C439" s="14">
        <v>45035</v>
      </c>
      <c r="D439" s="16" t="str">
        <f t="shared" si="63"/>
        <v/>
      </c>
      <c r="E439" s="4" t="s">
        <v>647</v>
      </c>
      <c r="F439" s="4" t="s">
        <v>652</v>
      </c>
      <c r="G439" s="4" t="s">
        <v>694</v>
      </c>
      <c r="H439" s="4" t="s">
        <v>705</v>
      </c>
      <c r="I439" s="4" t="s">
        <v>711</v>
      </c>
      <c r="J439" s="4" t="s">
        <v>724</v>
      </c>
      <c r="K439" s="4" t="s">
        <v>727</v>
      </c>
      <c r="L439" s="4" t="s">
        <v>1170</v>
      </c>
      <c r="M439" s="9">
        <v>7</v>
      </c>
      <c r="N439" s="16">
        <f>ROUND(IF('Dashboard Visualization'!$U$3="",'Working Data'!$M439,'Working Data'!$M439*(100% +'Dashboard Visualization'!$U$3)),0)</f>
        <v>7</v>
      </c>
      <c r="O439" s="19">
        <v>607.04</v>
      </c>
      <c r="P439" s="20">
        <f>IF('Dashboard Visualization'!$U$2="",'Working Data'!$O439*'Working Data'!$N439,'Working Data'!$O439*'Working Data'!$N439*(100%+'Dashboard Visualization'!$U$2))</f>
        <v>4249.28</v>
      </c>
      <c r="Q439" s="19">
        <v>1229.3399999999999</v>
      </c>
      <c r="R439" s="20">
        <f t="shared" si="64"/>
        <v>1048.6270199999999</v>
      </c>
      <c r="S439" s="11">
        <v>0.14699999999999999</v>
      </c>
      <c r="T439" s="22">
        <f>IF('Dashboard Visualization'!$U$1="",$S439,IF(S439&gt;'Dashboard Visualization'!$U$1,'Dashboard Visualization'!$U$1,S439))</f>
        <v>0.14699999999999999</v>
      </c>
      <c r="U439" s="20">
        <f t="shared" si="65"/>
        <v>6261.3519364199992</v>
      </c>
      <c r="V439" s="20">
        <f t="shared" si="66"/>
        <v>2012.0719364199995</v>
      </c>
      <c r="W439" s="22">
        <f t="shared" si="62"/>
        <v>0.32134784258276738</v>
      </c>
      <c r="X439" s="28" t="str">
        <f>TEXT(B439,"MMM-YYYY")</f>
        <v>Apr-2023</v>
      </c>
      <c r="Y439" s="7" t="str">
        <f t="shared" si="67"/>
        <v>Q2-2023</v>
      </c>
      <c r="Z439" s="7" t="str">
        <f t="shared" si="68"/>
        <v>High Price</v>
      </c>
      <c r="AA439" s="7" t="str">
        <f t="shared" si="69"/>
        <v>Q2</v>
      </c>
      <c r="AB439" s="28" t="str">
        <f t="shared" si="70"/>
        <v>Apr</v>
      </c>
      <c r="AC439" s="28" t="str">
        <f t="shared" si="71"/>
        <v>2023</v>
      </c>
    </row>
    <row r="440" spans="1:29" x14ac:dyDescent="0.25">
      <c r="A440" s="4" t="s">
        <v>452</v>
      </c>
      <c r="B440" s="14">
        <v>45290</v>
      </c>
      <c r="C440" s="14">
        <v>45299</v>
      </c>
      <c r="D440" s="16">
        <f t="shared" si="63"/>
        <v>9</v>
      </c>
      <c r="E440" s="4" t="s">
        <v>649</v>
      </c>
      <c r="F440" s="4" t="s">
        <v>657</v>
      </c>
      <c r="G440" s="4" t="s">
        <v>673</v>
      </c>
      <c r="H440" s="4" t="s">
        <v>704</v>
      </c>
      <c r="I440" s="4" t="s">
        <v>709</v>
      </c>
      <c r="J440" s="4" t="s">
        <v>716</v>
      </c>
      <c r="K440" s="4" t="s">
        <v>733</v>
      </c>
      <c r="L440" s="4" t="s">
        <v>1171</v>
      </c>
      <c r="M440" s="9">
        <v>24</v>
      </c>
      <c r="N440" s="16">
        <f>ROUND(IF('Dashboard Visualization'!$U$3="",'Working Data'!$M440,'Working Data'!$M440*(100% +'Dashboard Visualization'!$U$3)),0)</f>
        <v>24</v>
      </c>
      <c r="O440" s="19">
        <v>861.1</v>
      </c>
      <c r="P440" s="20">
        <f>IF('Dashboard Visualization'!$U$2="",'Working Data'!$O440*'Working Data'!$N440,'Working Data'!$O440*'Working Data'!$N440*(100%+'Dashboard Visualization'!$U$2))</f>
        <v>20666.400000000001</v>
      </c>
      <c r="Q440" s="19">
        <v>1224.72</v>
      </c>
      <c r="R440" s="20">
        <f t="shared" si="64"/>
        <v>1011.6187200000001</v>
      </c>
      <c r="S440" s="11">
        <v>0.17399999999999999</v>
      </c>
      <c r="T440" s="22">
        <f>IF('Dashboard Visualization'!$U$1="",$S440,IF(S440&gt;'Dashboard Visualization'!$U$1,'Dashboard Visualization'!$U$1,S440))</f>
        <v>0.17399999999999999</v>
      </c>
      <c r="U440" s="20">
        <f t="shared" si="65"/>
        <v>20054.329505280002</v>
      </c>
      <c r="V440" s="20">
        <f t="shared" si="66"/>
        <v>-612.07049471999926</v>
      </c>
      <c r="W440" s="22">
        <f t="shared" si="62"/>
        <v>0</v>
      </c>
      <c r="X440" s="28" t="str">
        <f>TEXT(B440,"MMM-YYYY")</f>
        <v>Dec-2023</v>
      </c>
      <c r="Y440" s="7" t="str">
        <f t="shared" si="67"/>
        <v>Q4-2023</v>
      </c>
      <c r="Z440" s="7" t="str">
        <f t="shared" si="68"/>
        <v>High Price</v>
      </c>
      <c r="AA440" s="7" t="str">
        <f t="shared" si="69"/>
        <v>Q4</v>
      </c>
      <c r="AB440" s="28" t="str">
        <f t="shared" si="70"/>
        <v>Dec</v>
      </c>
      <c r="AC440" s="28" t="str">
        <f t="shared" si="71"/>
        <v>2023</v>
      </c>
    </row>
    <row r="441" spans="1:29" x14ac:dyDescent="0.25">
      <c r="A441" s="4" t="s">
        <v>453</v>
      </c>
      <c r="B441" s="14">
        <v>44978</v>
      </c>
      <c r="C441" s="14">
        <v>44997</v>
      </c>
      <c r="D441" s="16">
        <f t="shared" si="63"/>
        <v>19</v>
      </c>
      <c r="E441" s="4" t="s">
        <v>646</v>
      </c>
      <c r="F441" s="4" t="s">
        <v>650</v>
      </c>
      <c r="G441" s="4" t="s">
        <v>678</v>
      </c>
      <c r="H441" s="4" t="s">
        <v>701</v>
      </c>
      <c r="I441" s="4" t="s">
        <v>708</v>
      </c>
      <c r="J441" s="4" t="s">
        <v>721</v>
      </c>
      <c r="K441" s="4" t="s">
        <v>729</v>
      </c>
      <c r="L441" s="4" t="s">
        <v>1172</v>
      </c>
      <c r="M441" s="9">
        <v>6</v>
      </c>
      <c r="N441" s="16">
        <f>ROUND(IF('Dashboard Visualization'!$U$3="",'Working Data'!$M441,'Working Data'!$M441*(100% +'Dashboard Visualization'!$U$3)),0)</f>
        <v>6</v>
      </c>
      <c r="O441" s="19">
        <v>352.65</v>
      </c>
      <c r="P441" s="20">
        <f>IF('Dashboard Visualization'!$U$2="",'Working Data'!$O441*'Working Data'!$N441,'Working Data'!$O441*'Working Data'!$N441*(100%+'Dashboard Visualization'!$U$2))</f>
        <v>2115.8999999999996</v>
      </c>
      <c r="Q441" s="19">
        <v>485.86</v>
      </c>
      <c r="R441" s="20">
        <f t="shared" si="64"/>
        <v>465.93973999999997</v>
      </c>
      <c r="S441" s="11">
        <v>4.1000000000000002E-2</v>
      </c>
      <c r="T441" s="22">
        <f>IF('Dashboard Visualization'!$U$1="",$S441,IF(S441&gt;'Dashboard Visualization'!$U$1,'Dashboard Visualization'!$U$1,S441))</f>
        <v>4.1000000000000002E-2</v>
      </c>
      <c r="U441" s="20">
        <f t="shared" si="65"/>
        <v>2681.0172639599996</v>
      </c>
      <c r="V441" s="20">
        <f t="shared" si="66"/>
        <v>565.11726395999995</v>
      </c>
      <c r="W441" s="22">
        <f t="shared" si="62"/>
        <v>0.21078464191808033</v>
      </c>
      <c r="X441" s="28" t="str">
        <f>TEXT(B441,"MMM-YYYY")</f>
        <v>Feb-2023</v>
      </c>
      <c r="Y441" s="7" t="str">
        <f t="shared" si="67"/>
        <v>Q1-2023</v>
      </c>
      <c r="Z441" s="7" t="str">
        <f t="shared" si="68"/>
        <v>Low Price</v>
      </c>
      <c r="AA441" s="7" t="str">
        <f t="shared" si="69"/>
        <v>Q1</v>
      </c>
      <c r="AB441" s="28" t="str">
        <f t="shared" si="70"/>
        <v>Feb</v>
      </c>
      <c r="AC441" s="28" t="str">
        <f t="shared" si="71"/>
        <v>2023</v>
      </c>
    </row>
    <row r="442" spans="1:29" x14ac:dyDescent="0.25">
      <c r="A442" s="4" t="s">
        <v>454</v>
      </c>
      <c r="B442" s="14">
        <v>45063</v>
      </c>
      <c r="C442" s="14">
        <v>45080</v>
      </c>
      <c r="D442" s="16">
        <f t="shared" si="63"/>
        <v>17</v>
      </c>
      <c r="E442" s="4" t="s">
        <v>647</v>
      </c>
      <c r="F442" s="4" t="s">
        <v>659</v>
      </c>
      <c r="G442" s="4" t="s">
        <v>699</v>
      </c>
      <c r="H442" s="4" t="s">
        <v>703</v>
      </c>
      <c r="I442" s="4" t="s">
        <v>710</v>
      </c>
      <c r="J442" s="4" t="s">
        <v>724</v>
      </c>
      <c r="K442" s="4" t="s">
        <v>728</v>
      </c>
      <c r="L442" s="4" t="s">
        <v>1173</v>
      </c>
      <c r="M442" s="9">
        <v>11</v>
      </c>
      <c r="N442" s="16">
        <f>ROUND(IF('Dashboard Visualization'!$U$3="",'Working Data'!$M442,'Working Data'!$M442*(100% +'Dashboard Visualization'!$U$3)),0)</f>
        <v>11</v>
      </c>
      <c r="O442" s="19">
        <v>979.59</v>
      </c>
      <c r="P442" s="20">
        <f>IF('Dashboard Visualization'!$U$2="",'Working Data'!$O442*'Working Data'!$N442,'Working Data'!$O442*'Working Data'!$N442*(100%+'Dashboard Visualization'!$U$2))</f>
        <v>10775.49</v>
      </c>
      <c r="Q442" s="19">
        <v>2210.94</v>
      </c>
      <c r="R442" s="20">
        <f t="shared" si="64"/>
        <v>1879.299</v>
      </c>
      <c r="S442" s="11">
        <v>0.15</v>
      </c>
      <c r="T442" s="22">
        <f>IF('Dashboard Visualization'!$U$1="",$S442,IF(S442&gt;'Dashboard Visualization'!$U$1,'Dashboard Visualization'!$U$1,S442))</f>
        <v>0.15</v>
      </c>
      <c r="U442" s="20">
        <f t="shared" si="65"/>
        <v>17571.445649999998</v>
      </c>
      <c r="V442" s="20">
        <f t="shared" si="66"/>
        <v>6795.9556499999981</v>
      </c>
      <c r="W442" s="22">
        <f t="shared" si="62"/>
        <v>0.38676132774539235</v>
      </c>
      <c r="X442" s="28" t="str">
        <f>TEXT(B442,"MMM-YYYY")</f>
        <v>May-2023</v>
      </c>
      <c r="Y442" s="7" t="str">
        <f t="shared" si="67"/>
        <v>Q2-2023</v>
      </c>
      <c r="Z442" s="7" t="str">
        <f t="shared" si="68"/>
        <v>Medium Price</v>
      </c>
      <c r="AA442" s="7" t="str">
        <f t="shared" si="69"/>
        <v>Q2</v>
      </c>
      <c r="AB442" s="28" t="str">
        <f t="shared" si="70"/>
        <v>May</v>
      </c>
      <c r="AC442" s="28" t="str">
        <f t="shared" si="71"/>
        <v>2023</v>
      </c>
    </row>
    <row r="443" spans="1:29" x14ac:dyDescent="0.25">
      <c r="A443" s="4" t="s">
        <v>455</v>
      </c>
      <c r="B443" s="14">
        <v>45374</v>
      </c>
      <c r="C443" s="14">
        <v>45377</v>
      </c>
      <c r="D443" s="16">
        <f t="shared" si="63"/>
        <v>3</v>
      </c>
      <c r="E443" s="4" t="s">
        <v>647</v>
      </c>
      <c r="F443" s="4" t="s">
        <v>654</v>
      </c>
      <c r="G443" s="4" t="s">
        <v>668</v>
      </c>
      <c r="H443" s="4" t="s">
        <v>702</v>
      </c>
      <c r="I443" s="4" t="s">
        <v>711</v>
      </c>
      <c r="J443" s="4" t="s">
        <v>715</v>
      </c>
      <c r="K443" s="4" t="s">
        <v>730</v>
      </c>
      <c r="L443" s="4" t="s">
        <v>1174</v>
      </c>
      <c r="M443" s="9">
        <v>26</v>
      </c>
      <c r="N443" s="16">
        <f>ROUND(IF('Dashboard Visualization'!$U$3="",'Working Data'!$M443,'Working Data'!$M443*(100% +'Dashboard Visualization'!$U$3)),0)</f>
        <v>26</v>
      </c>
      <c r="O443" s="19">
        <v>382.21</v>
      </c>
      <c r="P443" s="20">
        <f>IF('Dashboard Visualization'!$U$2="",'Working Data'!$O443*'Working Data'!$N443,'Working Data'!$O443*'Working Data'!$N443*(100%+'Dashboard Visualization'!$U$2))</f>
        <v>9937.4599999999991</v>
      </c>
      <c r="Q443" s="19">
        <v>571.89</v>
      </c>
      <c r="R443" s="20">
        <f t="shared" si="64"/>
        <v>487.25027999999998</v>
      </c>
      <c r="S443" s="11">
        <v>0.14799999999999999</v>
      </c>
      <c r="T443" s="22">
        <f>IF('Dashboard Visualization'!$U$1="",$S443,IF(S443&gt;'Dashboard Visualization'!$U$1,'Dashboard Visualization'!$U$1,S443))</f>
        <v>0.14799999999999999</v>
      </c>
      <c r="U443" s="20">
        <f t="shared" si="65"/>
        <v>10793.568202559998</v>
      </c>
      <c r="V443" s="20">
        <f t="shared" si="66"/>
        <v>856.10820255999897</v>
      </c>
      <c r="W443" s="22">
        <f t="shared" si="62"/>
        <v>7.9316513917700435E-2</v>
      </c>
      <c r="X443" s="28" t="str">
        <f>TEXT(B443,"MMM-YYYY")</f>
        <v>Mar-2024</v>
      </c>
      <c r="Y443" s="7" t="str">
        <f t="shared" si="67"/>
        <v>Q1-2024</v>
      </c>
      <c r="Z443" s="7" t="str">
        <f t="shared" si="68"/>
        <v>Low Price</v>
      </c>
      <c r="AA443" s="7" t="str">
        <f t="shared" si="69"/>
        <v>Q1</v>
      </c>
      <c r="AB443" s="28" t="str">
        <f t="shared" si="70"/>
        <v>Mar</v>
      </c>
      <c r="AC443" s="28" t="str">
        <f t="shared" si="71"/>
        <v>2024</v>
      </c>
    </row>
    <row r="444" spans="1:29" x14ac:dyDescent="0.25">
      <c r="A444" s="4" t="s">
        <v>456</v>
      </c>
      <c r="B444" s="14">
        <v>45189</v>
      </c>
      <c r="C444" s="14">
        <v>45197</v>
      </c>
      <c r="D444" s="16">
        <f t="shared" si="63"/>
        <v>8</v>
      </c>
      <c r="E444" s="4" t="s">
        <v>647</v>
      </c>
      <c r="F444" s="4" t="s">
        <v>654</v>
      </c>
      <c r="G444" s="12" t="s">
        <v>1430</v>
      </c>
      <c r="H444" s="4" t="s">
        <v>701</v>
      </c>
      <c r="I444" s="12" t="s">
        <v>1430</v>
      </c>
      <c r="J444" s="4" t="s">
        <v>717</v>
      </c>
      <c r="K444" s="4" t="s">
        <v>733</v>
      </c>
      <c r="L444" s="4" t="s">
        <v>1175</v>
      </c>
      <c r="M444" s="9">
        <v>11</v>
      </c>
      <c r="N444" s="16">
        <f>ROUND(IF('Dashboard Visualization'!$U$3="",'Working Data'!$M444,'Working Data'!$M444*(100% +'Dashboard Visualization'!$U$3)),0)</f>
        <v>11</v>
      </c>
      <c r="O444" s="19">
        <v>1362.06</v>
      </c>
      <c r="P444" s="20">
        <f>IF('Dashboard Visualization'!$U$2="",'Working Data'!$O444*'Working Data'!$N444,'Working Data'!$O444*'Working Data'!$N444*(100%+'Dashboard Visualization'!$U$2))</f>
        <v>14982.66</v>
      </c>
      <c r="Q444" s="19">
        <v>3398.37</v>
      </c>
      <c r="R444" s="20">
        <f t="shared" si="64"/>
        <v>2864.82591</v>
      </c>
      <c r="S444" s="11">
        <v>0.157</v>
      </c>
      <c r="T444" s="22">
        <f>IF('Dashboard Visualization'!$U$1="",$S444,IF(S444&gt;'Dashboard Visualization'!$U$1,'Dashboard Visualization'!$U$1,S444))</f>
        <v>0.157</v>
      </c>
      <c r="U444" s="20">
        <f t="shared" si="65"/>
        <v>26565.53066343</v>
      </c>
      <c r="V444" s="20">
        <f t="shared" si="66"/>
        <v>11582.87066343</v>
      </c>
      <c r="W444" s="22">
        <f t="shared" si="62"/>
        <v>0.43601126625996339</v>
      </c>
      <c r="X444" s="28" t="str">
        <f>TEXT(B444,"MMM-YYYY")</f>
        <v>Sep-2023</v>
      </c>
      <c r="Y444" s="7" t="str">
        <f t="shared" si="67"/>
        <v>Q3-2023</v>
      </c>
      <c r="Z444" s="7" t="str">
        <f t="shared" si="68"/>
        <v>Medium Price</v>
      </c>
      <c r="AA444" s="7" t="str">
        <f t="shared" si="69"/>
        <v>Q3</v>
      </c>
      <c r="AB444" s="28" t="str">
        <f t="shared" si="70"/>
        <v>Sep</v>
      </c>
      <c r="AC444" s="28" t="str">
        <f t="shared" si="71"/>
        <v>2023</v>
      </c>
    </row>
    <row r="445" spans="1:29" x14ac:dyDescent="0.25">
      <c r="A445" s="4" t="s">
        <v>457</v>
      </c>
      <c r="B445" s="14">
        <v>45526</v>
      </c>
      <c r="C445" s="14">
        <v>45539</v>
      </c>
      <c r="D445" s="16">
        <f t="shared" si="63"/>
        <v>13</v>
      </c>
      <c r="E445" s="4" t="s">
        <v>649</v>
      </c>
      <c r="F445" s="4" t="s">
        <v>656</v>
      </c>
      <c r="G445" s="4" t="s">
        <v>698</v>
      </c>
      <c r="H445" s="4" t="s">
        <v>703</v>
      </c>
      <c r="I445" s="4" t="s">
        <v>707</v>
      </c>
      <c r="J445" s="4" t="s">
        <v>716</v>
      </c>
      <c r="K445" s="4" t="s">
        <v>728</v>
      </c>
      <c r="L445" s="4" t="s">
        <v>1176</v>
      </c>
      <c r="M445" s="9">
        <v>32</v>
      </c>
      <c r="N445" s="16">
        <f>ROUND(IF('Dashboard Visualization'!$U$3="",'Working Data'!$M445,'Working Data'!$M445*(100% +'Dashboard Visualization'!$U$3)),0)</f>
        <v>32</v>
      </c>
      <c r="O445" s="19">
        <v>90.04</v>
      </c>
      <c r="P445" s="20">
        <f>IF('Dashboard Visualization'!$U$2="",'Working Data'!$O445*'Working Data'!$N445,'Working Data'!$O445*'Working Data'!$N445*(100%+'Dashboard Visualization'!$U$2))</f>
        <v>2881.28</v>
      </c>
      <c r="Q445" s="19">
        <v>194.62</v>
      </c>
      <c r="R445" s="20">
        <f t="shared" si="64"/>
        <v>186.25134</v>
      </c>
      <c r="S445" s="11">
        <v>4.2999999999999997E-2</v>
      </c>
      <c r="T445" s="22">
        <f>IF('Dashboard Visualization'!$U$1="",$S445,IF(S445&gt;'Dashboard Visualization'!$U$1,'Dashboard Visualization'!$U$1,S445))</f>
        <v>4.2999999999999997E-2</v>
      </c>
      <c r="U445" s="20">
        <f t="shared" si="65"/>
        <v>5703.76103616</v>
      </c>
      <c r="V445" s="20">
        <f t="shared" si="66"/>
        <v>2822.4810361599998</v>
      </c>
      <c r="W445" s="22">
        <f t="shared" si="62"/>
        <v>0.494845597188659</v>
      </c>
      <c r="X445" s="28" t="str">
        <f>TEXT(B445,"MMM-YYYY")</f>
        <v>Aug-2024</v>
      </c>
      <c r="Y445" s="7" t="str">
        <f t="shared" si="67"/>
        <v>Q3-2024</v>
      </c>
      <c r="Z445" s="7" t="str">
        <f t="shared" si="68"/>
        <v>Low Price</v>
      </c>
      <c r="AA445" s="7" t="str">
        <f t="shared" si="69"/>
        <v>Q3</v>
      </c>
      <c r="AB445" s="28" t="str">
        <f t="shared" si="70"/>
        <v>Aug</v>
      </c>
      <c r="AC445" s="28" t="str">
        <f t="shared" si="71"/>
        <v>2024</v>
      </c>
    </row>
    <row r="446" spans="1:29" x14ac:dyDescent="0.25">
      <c r="A446" s="4" t="s">
        <v>458</v>
      </c>
      <c r="B446" s="14">
        <v>45560</v>
      </c>
      <c r="C446" s="14">
        <v>45568</v>
      </c>
      <c r="D446" s="16">
        <f t="shared" si="63"/>
        <v>8</v>
      </c>
      <c r="E446" s="4" t="s">
        <v>648</v>
      </c>
      <c r="F446" s="4" t="s">
        <v>653</v>
      </c>
      <c r="G446" s="4" t="s">
        <v>667</v>
      </c>
      <c r="H446" s="4" t="s">
        <v>704</v>
      </c>
      <c r="I446" s="4" t="s">
        <v>708</v>
      </c>
      <c r="J446" s="4" t="s">
        <v>718</v>
      </c>
      <c r="K446" s="4" t="s">
        <v>728</v>
      </c>
      <c r="L446" s="4" t="s">
        <v>1177</v>
      </c>
      <c r="M446" s="9">
        <v>21</v>
      </c>
      <c r="N446" s="16">
        <f>ROUND(IF('Dashboard Visualization'!$U$3="",'Working Data'!$M446,'Working Data'!$M446*(100% +'Dashboard Visualization'!$U$3)),0)</f>
        <v>21</v>
      </c>
      <c r="O446" s="19">
        <v>558.19000000000005</v>
      </c>
      <c r="P446" s="20">
        <f>IF('Dashboard Visualization'!$U$2="",'Working Data'!$O446*'Working Data'!$N446,'Working Data'!$O446*'Working Data'!$N446*(100%+'Dashboard Visualization'!$U$2))</f>
        <v>11721.990000000002</v>
      </c>
      <c r="Q446" s="19">
        <v>1031.6400000000001</v>
      </c>
      <c r="R446" s="20">
        <f t="shared" si="64"/>
        <v>1031.6400000000001</v>
      </c>
      <c r="S446" s="11">
        <v>0</v>
      </c>
      <c r="T446" s="22">
        <f>IF('Dashboard Visualization'!$U$1="",$S446,IF(S446&gt;'Dashboard Visualization'!$U$1,'Dashboard Visualization'!$U$1,S446))</f>
        <v>0</v>
      </c>
      <c r="U446" s="20">
        <f t="shared" si="65"/>
        <v>21664.440000000002</v>
      </c>
      <c r="V446" s="20">
        <f t="shared" si="66"/>
        <v>9942.4500000000007</v>
      </c>
      <c r="W446" s="22">
        <f t="shared" si="62"/>
        <v>0.45892947152107322</v>
      </c>
      <c r="X446" s="28" t="str">
        <f>TEXT(B446,"MMM-YYYY")</f>
        <v>Sep-2024</v>
      </c>
      <c r="Y446" s="7" t="str">
        <f t="shared" si="67"/>
        <v>Q3-2024</v>
      </c>
      <c r="Z446" s="7" t="str">
        <f t="shared" si="68"/>
        <v>High Price</v>
      </c>
      <c r="AA446" s="7" t="str">
        <f t="shared" si="69"/>
        <v>Q3</v>
      </c>
      <c r="AB446" s="28" t="str">
        <f t="shared" si="70"/>
        <v>Sep</v>
      </c>
      <c r="AC446" s="28" t="str">
        <f t="shared" si="71"/>
        <v>2024</v>
      </c>
    </row>
    <row r="447" spans="1:29" x14ac:dyDescent="0.25">
      <c r="A447" s="4" t="s">
        <v>459</v>
      </c>
      <c r="B447" s="14">
        <v>45090</v>
      </c>
      <c r="C447" s="14">
        <v>45101</v>
      </c>
      <c r="D447" s="16">
        <f t="shared" si="63"/>
        <v>11</v>
      </c>
      <c r="E447" s="4" t="s">
        <v>648</v>
      </c>
      <c r="F447" s="4" t="s">
        <v>653</v>
      </c>
      <c r="G447" s="4" t="s">
        <v>667</v>
      </c>
      <c r="H447" s="4" t="s">
        <v>701</v>
      </c>
      <c r="I447" s="4" t="s">
        <v>708</v>
      </c>
      <c r="J447" s="4" t="s">
        <v>712</v>
      </c>
      <c r="K447" s="4" t="s">
        <v>728</v>
      </c>
      <c r="L447" s="4" t="s">
        <v>1178</v>
      </c>
      <c r="M447" s="9">
        <v>4</v>
      </c>
      <c r="N447" s="16">
        <f>ROUND(IF('Dashboard Visualization'!$U$3="",'Working Data'!$M447,'Working Data'!$M447*(100% +'Dashboard Visualization'!$U$3)),0)</f>
        <v>4</v>
      </c>
      <c r="O447" s="19">
        <v>247.07</v>
      </c>
      <c r="P447" s="20">
        <f>IF('Dashboard Visualization'!$U$2="",'Working Data'!$O447*'Working Data'!$N447,'Working Data'!$O447*'Working Data'!$N447*(100%+'Dashboard Visualization'!$U$2))</f>
        <v>988.28</v>
      </c>
      <c r="Q447" s="19">
        <v>495.19</v>
      </c>
      <c r="R447" s="20">
        <f t="shared" si="64"/>
        <v>481.32468</v>
      </c>
      <c r="S447" s="11">
        <v>2.8000000000000001E-2</v>
      </c>
      <c r="T447" s="22">
        <f>IF('Dashboard Visualization'!$U$1="",$S447,IF(S447&gt;'Dashboard Visualization'!$U$1,'Dashboard Visualization'!$U$1,S447))</f>
        <v>2.8000000000000001E-2</v>
      </c>
      <c r="U447" s="20">
        <f t="shared" si="65"/>
        <v>1871.39035584</v>
      </c>
      <c r="V447" s="20">
        <f t="shared" si="66"/>
        <v>883.11035584000001</v>
      </c>
      <c r="W447" s="22">
        <f t="shared" si="62"/>
        <v>0.47190066630625732</v>
      </c>
      <c r="X447" s="28" t="str">
        <f>TEXT(B447,"MMM-YYYY")</f>
        <v>Jun-2023</v>
      </c>
      <c r="Y447" s="7" t="str">
        <f t="shared" si="67"/>
        <v>Q2-2023</v>
      </c>
      <c r="Z447" s="7" t="str">
        <f t="shared" si="68"/>
        <v>Low Price</v>
      </c>
      <c r="AA447" s="7" t="str">
        <f t="shared" si="69"/>
        <v>Q2</v>
      </c>
      <c r="AB447" s="28" t="str">
        <f t="shared" si="70"/>
        <v>Jun</v>
      </c>
      <c r="AC447" s="28" t="str">
        <f t="shared" si="71"/>
        <v>2023</v>
      </c>
    </row>
    <row r="448" spans="1:29" x14ac:dyDescent="0.25">
      <c r="A448" s="4" t="s">
        <v>460</v>
      </c>
      <c r="B448" s="14">
        <v>45284</v>
      </c>
      <c r="C448" s="14">
        <v>45304</v>
      </c>
      <c r="D448" s="16">
        <f t="shared" si="63"/>
        <v>20</v>
      </c>
      <c r="E448" s="4" t="s">
        <v>647</v>
      </c>
      <c r="F448" s="4" t="s">
        <v>652</v>
      </c>
      <c r="G448" s="4" t="s">
        <v>694</v>
      </c>
      <c r="H448" s="4" t="s">
        <v>702</v>
      </c>
      <c r="I448" s="4" t="s">
        <v>711</v>
      </c>
      <c r="J448" s="4" t="s">
        <v>717</v>
      </c>
      <c r="K448" s="4" t="s">
        <v>731</v>
      </c>
      <c r="L448" s="4" t="s">
        <v>1179</v>
      </c>
      <c r="M448" s="9">
        <v>8</v>
      </c>
      <c r="N448" s="16">
        <f>ROUND(IF('Dashboard Visualization'!$U$3="",'Working Data'!$M448,'Working Data'!$M448*(100% +'Dashboard Visualization'!$U$3)),0)</f>
        <v>8</v>
      </c>
      <c r="O448" s="19">
        <v>625.37</v>
      </c>
      <c r="P448" s="20">
        <f>IF('Dashboard Visualization'!$U$2="",'Working Data'!$O448*'Working Data'!$N448,'Working Data'!$O448*'Working Data'!$N448*(100%+'Dashboard Visualization'!$U$2))</f>
        <v>5002.96</v>
      </c>
      <c r="Q448" s="19">
        <v>1319.04</v>
      </c>
      <c r="R448" s="20">
        <f t="shared" si="64"/>
        <v>1221.4310399999999</v>
      </c>
      <c r="S448" s="11">
        <v>7.3999999999999996E-2</v>
      </c>
      <c r="T448" s="22">
        <f>IF('Dashboard Visualization'!$U$1="",$S448,IF(S448&gt;'Dashboard Visualization'!$U$1,'Dashboard Visualization'!$U$1,S448))</f>
        <v>7.3999999999999996E-2</v>
      </c>
      <c r="U448" s="20">
        <f t="shared" si="65"/>
        <v>9048.3611443200007</v>
      </c>
      <c r="V448" s="20">
        <f t="shared" si="66"/>
        <v>4045.4011443200006</v>
      </c>
      <c r="W448" s="22">
        <f t="shared" si="62"/>
        <v>0.44708661378524356</v>
      </c>
      <c r="X448" s="28" t="str">
        <f>TEXT(B448,"MMM-YYYY")</f>
        <v>Dec-2023</v>
      </c>
      <c r="Y448" s="7" t="str">
        <f t="shared" si="67"/>
        <v>Q4-2023</v>
      </c>
      <c r="Z448" s="7" t="str">
        <f t="shared" si="68"/>
        <v>High Price</v>
      </c>
      <c r="AA448" s="7" t="str">
        <f t="shared" si="69"/>
        <v>Q4</v>
      </c>
      <c r="AB448" s="28" t="str">
        <f t="shared" si="70"/>
        <v>Dec</v>
      </c>
      <c r="AC448" s="28" t="str">
        <f t="shared" si="71"/>
        <v>2023</v>
      </c>
    </row>
    <row r="449" spans="1:29" x14ac:dyDescent="0.25">
      <c r="A449" s="4" t="s">
        <v>461</v>
      </c>
      <c r="B449" s="14">
        <v>45746</v>
      </c>
      <c r="C449" s="14">
        <v>45776</v>
      </c>
      <c r="D449" s="16">
        <f t="shared" si="63"/>
        <v>30</v>
      </c>
      <c r="E449" s="4" t="s">
        <v>646</v>
      </c>
      <c r="F449" s="4" t="s">
        <v>661</v>
      </c>
      <c r="G449" s="4" t="s">
        <v>687</v>
      </c>
      <c r="H449" s="4" t="s">
        <v>704</v>
      </c>
      <c r="I449" s="4" t="s">
        <v>709</v>
      </c>
      <c r="J449" s="4" t="s">
        <v>713</v>
      </c>
      <c r="K449" s="4" t="s">
        <v>732</v>
      </c>
      <c r="L449" s="4" t="s">
        <v>1180</v>
      </c>
      <c r="M449" s="9">
        <v>25</v>
      </c>
      <c r="N449" s="16">
        <f>ROUND(IF('Dashboard Visualization'!$U$3="",'Working Data'!$M449,'Working Data'!$M449*(100% +'Dashboard Visualization'!$U$3)),0)</f>
        <v>25</v>
      </c>
      <c r="O449" s="19">
        <v>194.6</v>
      </c>
      <c r="P449" s="20">
        <f>IF('Dashboard Visualization'!$U$2="",'Working Data'!$O449*'Working Data'!$N449,'Working Data'!$O449*'Working Data'!$N449*(100%+'Dashboard Visualization'!$U$2))</f>
        <v>4865</v>
      </c>
      <c r="Q449" s="19">
        <v>314.87</v>
      </c>
      <c r="R449" s="20">
        <f t="shared" si="64"/>
        <v>222.61309000000003</v>
      </c>
      <c r="S449" s="11">
        <v>0.29299999999999998</v>
      </c>
      <c r="T449" s="22">
        <f>IF('Dashboard Visualization'!$U$1="",$S449,IF(S449&gt;'Dashboard Visualization'!$U$1,'Dashboard Visualization'!$U$1,S449))</f>
        <v>0.29299999999999998</v>
      </c>
      <c r="U449" s="20">
        <f t="shared" si="65"/>
        <v>3934.6863657500007</v>
      </c>
      <c r="V449" s="20">
        <f t="shared" si="66"/>
        <v>-930.31363424999927</v>
      </c>
      <c r="W449" s="22">
        <f t="shared" si="62"/>
        <v>0</v>
      </c>
      <c r="X449" s="28" t="str">
        <f>TEXT(B449,"MMM-YYYY")</f>
        <v>Mar-2025</v>
      </c>
      <c r="Y449" s="7" t="str">
        <f t="shared" si="67"/>
        <v>Q1-2025</v>
      </c>
      <c r="Z449" s="7" t="str">
        <f t="shared" si="68"/>
        <v>Low Price</v>
      </c>
      <c r="AA449" s="7" t="str">
        <f t="shared" si="69"/>
        <v>Q1</v>
      </c>
      <c r="AB449" s="28" t="str">
        <f t="shared" si="70"/>
        <v>Mar</v>
      </c>
      <c r="AC449" s="28" t="str">
        <f t="shared" si="71"/>
        <v>2025</v>
      </c>
    </row>
    <row r="450" spans="1:29" x14ac:dyDescent="0.25">
      <c r="A450" s="4" t="s">
        <v>462</v>
      </c>
      <c r="B450" s="14">
        <v>45446</v>
      </c>
      <c r="C450" s="14">
        <v>45467</v>
      </c>
      <c r="D450" s="16">
        <f t="shared" si="63"/>
        <v>21</v>
      </c>
      <c r="E450" s="4" t="s">
        <v>648</v>
      </c>
      <c r="F450" s="4" t="s">
        <v>653</v>
      </c>
      <c r="G450" s="4" t="s">
        <v>667</v>
      </c>
      <c r="H450" s="4" t="s">
        <v>705</v>
      </c>
      <c r="I450" s="4" t="s">
        <v>711</v>
      </c>
      <c r="J450" s="4" t="s">
        <v>715</v>
      </c>
      <c r="K450" s="4" t="s">
        <v>732</v>
      </c>
      <c r="L450" s="4" t="s">
        <v>1181</v>
      </c>
      <c r="M450" s="9">
        <v>23</v>
      </c>
      <c r="N450" s="16">
        <f>ROUND(IF('Dashboard Visualization'!$U$3="",'Working Data'!$M450,'Working Data'!$M450*(100% +'Dashboard Visualization'!$U$3)),0)</f>
        <v>23</v>
      </c>
      <c r="O450" s="19">
        <v>1205.5</v>
      </c>
      <c r="P450" s="20">
        <f>IF('Dashboard Visualization'!$U$2="",'Working Data'!$O450*'Working Data'!$N450,'Working Data'!$O450*'Working Data'!$N450*(100%+'Dashboard Visualization'!$U$2))</f>
        <v>27726.5</v>
      </c>
      <c r="Q450" s="19">
        <v>2210.17</v>
      </c>
      <c r="R450" s="20">
        <f t="shared" si="64"/>
        <v>1980.31232</v>
      </c>
      <c r="S450" s="11">
        <v>0.104</v>
      </c>
      <c r="T450" s="22">
        <f>IF('Dashboard Visualization'!$U$1="",$S450,IF(S450&gt;'Dashboard Visualization'!$U$1,'Dashboard Visualization'!$U$1,S450))</f>
        <v>0.104</v>
      </c>
      <c r="U450" s="20">
        <f t="shared" si="65"/>
        <v>40810.276290559996</v>
      </c>
      <c r="V450" s="20">
        <f t="shared" si="66"/>
        <v>13083.776290559996</v>
      </c>
      <c r="W450" s="22">
        <f t="shared" ref="W450:W513" si="72">IFERROR(IF(V450&lt;=0,0,V450/U450),0)</f>
        <v>0.32060004194547592</v>
      </c>
      <c r="X450" s="28" t="str">
        <f>TEXT(B450,"MMM-YYYY")</f>
        <v>Jun-2024</v>
      </c>
      <c r="Y450" s="7" t="str">
        <f t="shared" si="67"/>
        <v>Q2-2024</v>
      </c>
      <c r="Z450" s="7" t="str">
        <f t="shared" si="68"/>
        <v>Medium Price</v>
      </c>
      <c r="AA450" s="7" t="str">
        <f t="shared" si="69"/>
        <v>Q2</v>
      </c>
      <c r="AB450" s="28" t="str">
        <f t="shared" si="70"/>
        <v>Jun</v>
      </c>
      <c r="AC450" s="28" t="str">
        <f t="shared" si="71"/>
        <v>2024</v>
      </c>
    </row>
    <row r="451" spans="1:29" x14ac:dyDescent="0.25">
      <c r="A451" s="4" t="s">
        <v>463</v>
      </c>
      <c r="B451" s="14">
        <v>45454</v>
      </c>
      <c r="C451" s="14">
        <v>45482</v>
      </c>
      <c r="D451" s="16">
        <f t="shared" ref="D451:D514" si="73">IFERROR(DATEDIF(B451,C451,"D"),"")</f>
        <v>28</v>
      </c>
      <c r="E451" s="4" t="s">
        <v>646</v>
      </c>
      <c r="F451" s="4" t="s">
        <v>651</v>
      </c>
      <c r="G451" s="4" t="s">
        <v>663</v>
      </c>
      <c r="H451" s="4" t="s">
        <v>701</v>
      </c>
      <c r="I451" s="4" t="s">
        <v>709</v>
      </c>
      <c r="J451" s="4" t="s">
        <v>714</v>
      </c>
      <c r="K451" s="4" t="s">
        <v>730</v>
      </c>
      <c r="L451" s="4" t="s">
        <v>1182</v>
      </c>
      <c r="M451" s="9">
        <v>15</v>
      </c>
      <c r="N451" s="16">
        <f>ROUND(IF('Dashboard Visualization'!$U$3="",'Working Data'!$M451,'Working Data'!$M451*(100% +'Dashboard Visualization'!$U$3)),0)</f>
        <v>15</v>
      </c>
      <c r="O451" s="19">
        <v>895.54</v>
      </c>
      <c r="P451" s="20">
        <f>IF('Dashboard Visualization'!$U$2="",'Working Data'!$O451*'Working Data'!$N451,'Working Data'!$O451*'Working Data'!$N451*(100%+'Dashboard Visualization'!$U$2))</f>
        <v>13433.099999999999</v>
      </c>
      <c r="Q451" s="19">
        <v>1045</v>
      </c>
      <c r="R451" s="20">
        <f t="shared" ref="R451:R514" si="74">(1-T451)*Q451</f>
        <v>819.28000000000009</v>
      </c>
      <c r="S451" s="11">
        <v>0.216</v>
      </c>
      <c r="T451" s="22">
        <f>IF('Dashboard Visualization'!$U$1="",$S451,IF(S451&gt;'Dashboard Visualization'!$U$1,'Dashboard Visualization'!$U$1,S451))</f>
        <v>0.216</v>
      </c>
      <c r="U451" s="20">
        <f t="shared" ref="U451:U514" si="75">IFERROR(R451*(1-T451)*N451,"-")</f>
        <v>9634.7328000000016</v>
      </c>
      <c r="V451" s="20">
        <f t="shared" ref="V451:V514" si="76">IFERROR(U451-P451,"-")</f>
        <v>-3798.367199999997</v>
      </c>
      <c r="W451" s="22">
        <f t="shared" si="72"/>
        <v>0</v>
      </c>
      <c r="X451" s="28" t="str">
        <f>TEXT(B451,"MMM-YYYY")</f>
        <v>Jun-2024</v>
      </c>
      <c r="Y451" s="7" t="str">
        <f t="shared" ref="Y451:Y514" si="77">"Q" &amp; ROUNDUP(MONTH(X451)/3,0) &amp; "-" &amp; TEXT(X451,"YYYY")</f>
        <v>Q2-2024</v>
      </c>
      <c r="Z451" s="7" t="str">
        <f t="shared" ref="Z451:Z514" si="78">IF(R451&lt;QUARTILE(R:R,1), "Low Price", IF(R451&lt;QUARTILE(R:R,3), "High Price", "Medium Price"))</f>
        <v>High Price</v>
      </c>
      <c r="AA451" s="7" t="str">
        <f t="shared" ref="AA451:AA514" si="79">"Q"&amp;ROUNDUP(MONTH(X451)/3,0)</f>
        <v>Q2</v>
      </c>
      <c r="AB451" s="28" t="str">
        <f t="shared" ref="AB451:AB514" si="80">TEXT(X451,"MMM")</f>
        <v>Jun</v>
      </c>
      <c r="AC451" s="28" t="str">
        <f t="shared" ref="AC451:AC514" si="81">TEXT(X451,"YYYY")</f>
        <v>2024</v>
      </c>
    </row>
    <row r="452" spans="1:29" x14ac:dyDescent="0.25">
      <c r="A452" s="4" t="s">
        <v>464</v>
      </c>
      <c r="B452" s="14">
        <v>45129</v>
      </c>
      <c r="C452" s="14">
        <v>45128</v>
      </c>
      <c r="D452" s="16" t="str">
        <f t="shared" si="73"/>
        <v/>
      </c>
      <c r="E452" s="4" t="s">
        <v>647</v>
      </c>
      <c r="F452" s="4" t="s">
        <v>654</v>
      </c>
      <c r="G452" s="4" t="s">
        <v>680</v>
      </c>
      <c r="H452" s="4" t="s">
        <v>705</v>
      </c>
      <c r="I452" s="4" t="s">
        <v>710</v>
      </c>
      <c r="J452" s="4" t="s">
        <v>718</v>
      </c>
      <c r="K452" s="4" t="s">
        <v>728</v>
      </c>
      <c r="L452" s="4" t="s">
        <v>1183</v>
      </c>
      <c r="M452" s="9">
        <v>7</v>
      </c>
      <c r="N452" s="16">
        <f>ROUND(IF('Dashboard Visualization'!$U$3="",'Working Data'!$M452,'Working Data'!$M452*(100% +'Dashboard Visualization'!$U$3)),0)</f>
        <v>7</v>
      </c>
      <c r="O452" s="19">
        <v>946.99</v>
      </c>
      <c r="P452" s="20">
        <f>IF('Dashboard Visualization'!$U$2="",'Working Data'!$O452*'Working Data'!$N452,'Working Data'!$O452*'Working Data'!$N452*(100%+'Dashboard Visualization'!$U$2))</f>
        <v>6628.93</v>
      </c>
      <c r="Q452" s="19">
        <v>2132.19</v>
      </c>
      <c r="R452" s="20">
        <f t="shared" si="74"/>
        <v>1780.3786499999999</v>
      </c>
      <c r="S452" s="11">
        <v>0.16500000000000001</v>
      </c>
      <c r="T452" s="22">
        <f>IF('Dashboard Visualization'!$U$1="",$S452,IF(S452&gt;'Dashboard Visualization'!$U$1,'Dashboard Visualization'!$U$1,S452))</f>
        <v>0.16500000000000001</v>
      </c>
      <c r="U452" s="20">
        <f t="shared" si="75"/>
        <v>10406.313209249998</v>
      </c>
      <c r="V452" s="20">
        <f t="shared" si="76"/>
        <v>3777.3832092499979</v>
      </c>
      <c r="W452" s="22">
        <f t="shared" si="72"/>
        <v>0.36298957501032592</v>
      </c>
      <c r="X452" s="28" t="str">
        <f>TEXT(B452,"MMM-YYYY")</f>
        <v>Jul-2023</v>
      </c>
      <c r="Y452" s="7" t="str">
        <f t="shared" si="77"/>
        <v>Q3-2023</v>
      </c>
      <c r="Z452" s="7" t="str">
        <f t="shared" si="78"/>
        <v>Medium Price</v>
      </c>
      <c r="AA452" s="7" t="str">
        <f t="shared" si="79"/>
        <v>Q3</v>
      </c>
      <c r="AB452" s="28" t="str">
        <f t="shared" si="80"/>
        <v>Jul</v>
      </c>
      <c r="AC452" s="28" t="str">
        <f t="shared" si="81"/>
        <v>2023</v>
      </c>
    </row>
    <row r="453" spans="1:29" x14ac:dyDescent="0.25">
      <c r="A453" s="4" t="s">
        <v>465</v>
      </c>
      <c r="B453" s="14">
        <v>44945</v>
      </c>
      <c r="C453" s="14">
        <v>44960</v>
      </c>
      <c r="D453" s="16">
        <f t="shared" si="73"/>
        <v>15</v>
      </c>
      <c r="E453" s="4" t="s">
        <v>649</v>
      </c>
      <c r="F453" s="4" t="s">
        <v>658</v>
      </c>
      <c r="G453" s="4" t="s">
        <v>683</v>
      </c>
      <c r="H453" s="4" t="s">
        <v>706</v>
      </c>
      <c r="I453" s="4" t="s">
        <v>710</v>
      </c>
      <c r="J453" s="4" t="s">
        <v>715</v>
      </c>
      <c r="K453" s="4" t="s">
        <v>733</v>
      </c>
      <c r="L453" s="4" t="s">
        <v>1184</v>
      </c>
      <c r="M453" s="9">
        <v>10</v>
      </c>
      <c r="N453" s="16">
        <f>ROUND(IF('Dashboard Visualization'!$U$3="",'Working Data'!$M453,'Working Data'!$M453*(100% +'Dashboard Visualization'!$U$3)),0)</f>
        <v>10</v>
      </c>
      <c r="O453" s="19">
        <v>873.06</v>
      </c>
      <c r="P453" s="20">
        <f>IF('Dashboard Visualization'!$U$2="",'Working Data'!$O453*'Working Data'!$N453,'Working Data'!$O453*'Working Data'!$N453*(100%+'Dashboard Visualization'!$U$2))</f>
        <v>8730.5999999999985</v>
      </c>
      <c r="Q453" s="19">
        <v>2101.5500000000002</v>
      </c>
      <c r="R453" s="20">
        <f t="shared" si="74"/>
        <v>1962.8477</v>
      </c>
      <c r="S453" s="11">
        <v>6.6000000000000003E-2</v>
      </c>
      <c r="T453" s="22">
        <f>IF('Dashboard Visualization'!$U$1="",$S453,IF(S453&gt;'Dashboard Visualization'!$U$1,'Dashboard Visualization'!$U$1,S453))</f>
        <v>6.6000000000000003E-2</v>
      </c>
      <c r="U453" s="20">
        <f t="shared" si="75"/>
        <v>18332.997518</v>
      </c>
      <c r="V453" s="20">
        <f t="shared" si="76"/>
        <v>9602.3975180000016</v>
      </c>
      <c r="W453" s="22">
        <f t="shared" si="72"/>
        <v>0.52377673146860027</v>
      </c>
      <c r="X453" s="28" t="str">
        <f>TEXT(B453,"MMM-YYYY")</f>
        <v>Jan-2023</v>
      </c>
      <c r="Y453" s="7" t="str">
        <f t="shared" si="77"/>
        <v>Q1-2023</v>
      </c>
      <c r="Z453" s="7" t="str">
        <f t="shared" si="78"/>
        <v>Medium Price</v>
      </c>
      <c r="AA453" s="7" t="str">
        <f t="shared" si="79"/>
        <v>Q1</v>
      </c>
      <c r="AB453" s="28" t="str">
        <f t="shared" si="80"/>
        <v>Jan</v>
      </c>
      <c r="AC453" s="28" t="str">
        <f t="shared" si="81"/>
        <v>2023</v>
      </c>
    </row>
    <row r="454" spans="1:29" x14ac:dyDescent="0.25">
      <c r="A454" s="4" t="s">
        <v>466</v>
      </c>
      <c r="B454" s="14">
        <v>45413</v>
      </c>
      <c r="C454" s="14">
        <v>45428</v>
      </c>
      <c r="D454" s="16">
        <f t="shared" si="73"/>
        <v>15</v>
      </c>
      <c r="E454" s="4" t="s">
        <v>647</v>
      </c>
      <c r="F454" s="4" t="s">
        <v>654</v>
      </c>
      <c r="G454" s="4" t="s">
        <v>668</v>
      </c>
      <c r="H454" s="4" t="s">
        <v>705</v>
      </c>
      <c r="I454" s="4" t="s">
        <v>707</v>
      </c>
      <c r="J454" s="4" t="s">
        <v>716</v>
      </c>
      <c r="K454" s="4" t="s">
        <v>727</v>
      </c>
      <c r="L454" s="4" t="s">
        <v>1185</v>
      </c>
      <c r="M454" s="9">
        <v>12</v>
      </c>
      <c r="N454" s="16">
        <f>ROUND(IF('Dashboard Visualization'!$U$3="",'Working Data'!$M454,'Working Data'!$M454*(100% +'Dashboard Visualization'!$U$3)),0)</f>
        <v>12</v>
      </c>
      <c r="O454" s="19">
        <v>901.19</v>
      </c>
      <c r="P454" s="20">
        <f>IF('Dashboard Visualization'!$U$2="",'Working Data'!$O454*'Working Data'!$N454,'Working Data'!$O454*'Working Data'!$N454*(100%+'Dashboard Visualization'!$U$2))</f>
        <v>10814.28</v>
      </c>
      <c r="Q454" s="19">
        <v>2125.44</v>
      </c>
      <c r="R454" s="20">
        <f t="shared" si="74"/>
        <v>1974.5337600000003</v>
      </c>
      <c r="S454" s="11">
        <v>7.0999999999999994E-2</v>
      </c>
      <c r="T454" s="22">
        <f>IF('Dashboard Visualization'!$U$1="",$S454,IF(S454&gt;'Dashboard Visualization'!$U$1,'Dashboard Visualization'!$U$1,S454))</f>
        <v>7.0999999999999994E-2</v>
      </c>
      <c r="U454" s="20">
        <f t="shared" si="75"/>
        <v>22012.102356480005</v>
      </c>
      <c r="V454" s="20">
        <f t="shared" si="76"/>
        <v>11197.822356480005</v>
      </c>
      <c r="W454" s="22">
        <f t="shared" si="72"/>
        <v>0.50871207916146854</v>
      </c>
      <c r="X454" s="28" t="str">
        <f>TEXT(B454,"MMM-YYYY")</f>
        <v>May-2024</v>
      </c>
      <c r="Y454" s="7" t="str">
        <f t="shared" si="77"/>
        <v>Q2-2024</v>
      </c>
      <c r="Z454" s="7" t="str">
        <f t="shared" si="78"/>
        <v>Medium Price</v>
      </c>
      <c r="AA454" s="7" t="str">
        <f t="shared" si="79"/>
        <v>Q2</v>
      </c>
      <c r="AB454" s="28" t="str">
        <f t="shared" si="80"/>
        <v>May</v>
      </c>
      <c r="AC454" s="28" t="str">
        <f t="shared" si="81"/>
        <v>2024</v>
      </c>
    </row>
    <row r="455" spans="1:29" x14ac:dyDescent="0.25">
      <c r="A455" s="4" t="s">
        <v>467</v>
      </c>
      <c r="B455" s="14">
        <v>45817</v>
      </c>
      <c r="C455" s="14">
        <v>45832</v>
      </c>
      <c r="D455" s="16">
        <f t="shared" si="73"/>
        <v>15</v>
      </c>
      <c r="E455" s="4" t="s">
        <v>647</v>
      </c>
      <c r="F455" s="4" t="s">
        <v>652</v>
      </c>
      <c r="G455" s="4" t="s">
        <v>694</v>
      </c>
      <c r="H455" s="4" t="s">
        <v>701</v>
      </c>
      <c r="I455" s="4" t="s">
        <v>711</v>
      </c>
      <c r="J455" s="4" t="s">
        <v>717</v>
      </c>
      <c r="K455" s="4" t="s">
        <v>730</v>
      </c>
      <c r="L455" s="4" t="s">
        <v>1186</v>
      </c>
      <c r="M455" s="9">
        <v>19</v>
      </c>
      <c r="N455" s="16">
        <f>ROUND(IF('Dashboard Visualization'!$U$3="",'Working Data'!$M455,'Working Data'!$M455*(100% +'Dashboard Visualization'!$U$3)),0)</f>
        <v>19</v>
      </c>
      <c r="O455" s="19">
        <v>400.39</v>
      </c>
      <c r="P455" s="20">
        <f>IF('Dashboard Visualization'!$U$2="",'Working Data'!$O455*'Working Data'!$N455,'Working Data'!$O455*'Working Data'!$N455*(100%+'Dashboard Visualization'!$U$2))</f>
        <v>7607.41</v>
      </c>
      <c r="Q455" s="19">
        <v>712.75</v>
      </c>
      <c r="R455" s="20">
        <f t="shared" si="74"/>
        <v>630.78375000000005</v>
      </c>
      <c r="S455" s="11">
        <v>0.115</v>
      </c>
      <c r="T455" s="22">
        <f>IF('Dashboard Visualization'!$U$1="",$S455,IF(S455&gt;'Dashboard Visualization'!$U$1,'Dashboard Visualization'!$U$1,S455))</f>
        <v>0.115</v>
      </c>
      <c r="U455" s="20">
        <f t="shared" si="75"/>
        <v>10606.628756250002</v>
      </c>
      <c r="V455" s="20">
        <f t="shared" si="76"/>
        <v>2999.2187562500021</v>
      </c>
      <c r="W455" s="22">
        <f t="shared" si="72"/>
        <v>0.28276833527172329</v>
      </c>
      <c r="X455" s="28" t="str">
        <f>TEXT(B455,"MMM-YYYY")</f>
        <v>Jun-2025</v>
      </c>
      <c r="Y455" s="7" t="str">
        <f t="shared" si="77"/>
        <v>Q2-2025</v>
      </c>
      <c r="Z455" s="7" t="str">
        <f t="shared" si="78"/>
        <v>High Price</v>
      </c>
      <c r="AA455" s="7" t="str">
        <f t="shared" si="79"/>
        <v>Q2</v>
      </c>
      <c r="AB455" s="28" t="str">
        <f t="shared" si="80"/>
        <v>Jun</v>
      </c>
      <c r="AC455" s="28" t="str">
        <f t="shared" si="81"/>
        <v>2025</v>
      </c>
    </row>
    <row r="456" spans="1:29" x14ac:dyDescent="0.25">
      <c r="A456" s="4" t="s">
        <v>468</v>
      </c>
      <c r="B456" s="14">
        <v>45070</v>
      </c>
      <c r="C456" s="14">
        <v>45098</v>
      </c>
      <c r="D456" s="16">
        <f t="shared" si="73"/>
        <v>28</v>
      </c>
      <c r="E456" s="4" t="s">
        <v>648</v>
      </c>
      <c r="F456" s="4" t="s">
        <v>660</v>
      </c>
      <c r="G456" s="4" t="s">
        <v>697</v>
      </c>
      <c r="H456" s="4" t="s">
        <v>705</v>
      </c>
      <c r="I456" s="4" t="s">
        <v>709</v>
      </c>
      <c r="J456" s="4" t="s">
        <v>715</v>
      </c>
      <c r="K456" s="4" t="s">
        <v>732</v>
      </c>
      <c r="L456" s="4" t="s">
        <v>1187</v>
      </c>
      <c r="M456" s="9">
        <v>15</v>
      </c>
      <c r="N456" s="16">
        <f>ROUND(IF('Dashboard Visualization'!$U$3="",'Working Data'!$M456,'Working Data'!$M456*(100% +'Dashboard Visualization'!$U$3)),0)</f>
        <v>15</v>
      </c>
      <c r="O456" s="19">
        <v>813.97</v>
      </c>
      <c r="P456" s="20">
        <f>IF('Dashboard Visualization'!$U$2="",'Working Data'!$O456*'Working Data'!$N456,'Working Data'!$O456*'Working Data'!$N456*(100%+'Dashboard Visualization'!$U$2))</f>
        <v>12209.550000000001</v>
      </c>
      <c r="Q456" s="19">
        <v>1568.83</v>
      </c>
      <c r="R456" s="20">
        <f t="shared" si="74"/>
        <v>1542.1598899999999</v>
      </c>
      <c r="S456" s="11">
        <v>1.7000000000000001E-2</v>
      </c>
      <c r="T456" s="22">
        <f>IF('Dashboard Visualization'!$U$1="",$S456,IF(S456&gt;'Dashboard Visualization'!$U$1,'Dashboard Visualization'!$U$1,S456))</f>
        <v>1.7000000000000001E-2</v>
      </c>
      <c r="U456" s="20">
        <f t="shared" si="75"/>
        <v>22739.147578049997</v>
      </c>
      <c r="V456" s="20">
        <f t="shared" si="76"/>
        <v>10529.597578049996</v>
      </c>
      <c r="W456" s="22">
        <f t="shared" si="72"/>
        <v>0.46306034744302255</v>
      </c>
      <c r="X456" s="28" t="str">
        <f>TEXT(B456,"MMM-YYYY")</f>
        <v>May-2023</v>
      </c>
      <c r="Y456" s="7" t="str">
        <f t="shared" si="77"/>
        <v>Q2-2023</v>
      </c>
      <c r="Z456" s="7" t="str">
        <f t="shared" si="78"/>
        <v>High Price</v>
      </c>
      <c r="AA456" s="7" t="str">
        <f t="shared" si="79"/>
        <v>Q2</v>
      </c>
      <c r="AB456" s="28" t="str">
        <f t="shared" si="80"/>
        <v>May</v>
      </c>
      <c r="AC456" s="28" t="str">
        <f t="shared" si="81"/>
        <v>2023</v>
      </c>
    </row>
    <row r="457" spans="1:29" x14ac:dyDescent="0.25">
      <c r="A457" s="4" t="s">
        <v>469</v>
      </c>
      <c r="B457" s="14">
        <v>45653</v>
      </c>
      <c r="C457" s="14">
        <v>45655</v>
      </c>
      <c r="D457" s="16">
        <f t="shared" si="73"/>
        <v>2</v>
      </c>
      <c r="E457" s="4" t="s">
        <v>648</v>
      </c>
      <c r="F457" s="4" t="s">
        <v>653</v>
      </c>
      <c r="G457" s="4" t="s">
        <v>688</v>
      </c>
      <c r="H457" s="4" t="s">
        <v>706</v>
      </c>
      <c r="I457" s="4" t="s">
        <v>709</v>
      </c>
      <c r="J457" s="4" t="s">
        <v>712</v>
      </c>
      <c r="K457" s="4" t="s">
        <v>733</v>
      </c>
      <c r="L457" s="4" t="s">
        <v>1188</v>
      </c>
      <c r="M457" s="9">
        <v>8</v>
      </c>
      <c r="N457" s="16">
        <f>ROUND(IF('Dashboard Visualization'!$U$3="",'Working Data'!$M457,'Working Data'!$M457*(100% +'Dashboard Visualization'!$U$3)),0)</f>
        <v>8</v>
      </c>
      <c r="O457" s="19">
        <v>1146.72</v>
      </c>
      <c r="P457" s="20">
        <f>IF('Dashboard Visualization'!$U$2="",'Working Data'!$O457*'Working Data'!$N457,'Working Data'!$O457*'Working Data'!$N457*(100%+'Dashboard Visualization'!$U$2))</f>
        <v>9173.76</v>
      </c>
      <c r="Q457" s="19">
        <v>2074.34</v>
      </c>
      <c r="R457" s="20">
        <f t="shared" si="74"/>
        <v>1844.0882600000002</v>
      </c>
      <c r="S457" s="11">
        <v>0.111</v>
      </c>
      <c r="T457" s="22">
        <f>IF('Dashboard Visualization'!$U$1="",$S457,IF(S457&gt;'Dashboard Visualization'!$U$1,'Dashboard Visualization'!$U$1,S457))</f>
        <v>0.111</v>
      </c>
      <c r="U457" s="20">
        <f t="shared" si="75"/>
        <v>13115.155705120002</v>
      </c>
      <c r="V457" s="20">
        <f t="shared" si="76"/>
        <v>3941.3957051200014</v>
      </c>
      <c r="W457" s="22">
        <f t="shared" si="72"/>
        <v>0.30052221976909715</v>
      </c>
      <c r="X457" s="28" t="str">
        <f>TEXT(B457,"MMM-YYYY")</f>
        <v>Dec-2024</v>
      </c>
      <c r="Y457" s="7" t="str">
        <f t="shared" si="77"/>
        <v>Q4-2024</v>
      </c>
      <c r="Z457" s="7" t="str">
        <f t="shared" si="78"/>
        <v>Medium Price</v>
      </c>
      <c r="AA457" s="7" t="str">
        <f t="shared" si="79"/>
        <v>Q4</v>
      </c>
      <c r="AB457" s="28" t="str">
        <f t="shared" si="80"/>
        <v>Dec</v>
      </c>
      <c r="AC457" s="28" t="str">
        <f t="shared" si="81"/>
        <v>2024</v>
      </c>
    </row>
    <row r="458" spans="1:29" x14ac:dyDescent="0.25">
      <c r="A458" s="4" t="s">
        <v>470</v>
      </c>
      <c r="B458" s="14">
        <v>45265</v>
      </c>
      <c r="C458" s="14">
        <v>45272</v>
      </c>
      <c r="D458" s="16">
        <f t="shared" si="73"/>
        <v>7</v>
      </c>
      <c r="E458" s="4" t="s">
        <v>648</v>
      </c>
      <c r="F458" s="4" t="s">
        <v>655</v>
      </c>
      <c r="G458" s="4" t="s">
        <v>672</v>
      </c>
      <c r="H458" s="4" t="s">
        <v>701</v>
      </c>
      <c r="I458" s="4" t="s">
        <v>711</v>
      </c>
      <c r="J458" s="4" t="s">
        <v>721</v>
      </c>
      <c r="K458" s="4" t="s">
        <v>730</v>
      </c>
      <c r="L458" s="4" t="s">
        <v>1189</v>
      </c>
      <c r="M458" s="9">
        <v>42</v>
      </c>
      <c r="N458" s="16">
        <f>ROUND(IF('Dashboard Visualization'!$U$3="",'Working Data'!$M458,'Working Data'!$M458*(100% +'Dashboard Visualization'!$U$3)),0)</f>
        <v>42</v>
      </c>
      <c r="O458" s="19">
        <v>307.43</v>
      </c>
      <c r="P458" s="20">
        <f>IF('Dashboard Visualization'!$U$2="",'Working Data'!$O458*'Working Data'!$N458,'Working Data'!$O458*'Working Data'!$N458*(100%+'Dashboard Visualization'!$U$2))</f>
        <v>12912.06</v>
      </c>
      <c r="Q458" s="19">
        <v>495.19</v>
      </c>
      <c r="R458" s="20">
        <f t="shared" si="74"/>
        <v>495.19</v>
      </c>
      <c r="S458" s="11">
        <v>0</v>
      </c>
      <c r="T458" s="22">
        <f>IF('Dashboard Visualization'!$U$1="",$S458,IF(S458&gt;'Dashboard Visualization'!$U$1,'Dashboard Visualization'!$U$1,S458))</f>
        <v>0</v>
      </c>
      <c r="U458" s="20">
        <f t="shared" si="75"/>
        <v>20797.98</v>
      </c>
      <c r="V458" s="20">
        <f t="shared" si="76"/>
        <v>7885.92</v>
      </c>
      <c r="W458" s="22">
        <f t="shared" si="72"/>
        <v>0.37916759223732305</v>
      </c>
      <c r="X458" s="28" t="str">
        <f>TEXT(B458,"MMM-YYYY")</f>
        <v>Dec-2023</v>
      </c>
      <c r="Y458" s="7" t="str">
        <f t="shared" si="77"/>
        <v>Q4-2023</v>
      </c>
      <c r="Z458" s="7" t="str">
        <f t="shared" si="78"/>
        <v>Low Price</v>
      </c>
      <c r="AA458" s="7" t="str">
        <f t="shared" si="79"/>
        <v>Q4</v>
      </c>
      <c r="AB458" s="28" t="str">
        <f t="shared" si="80"/>
        <v>Dec</v>
      </c>
      <c r="AC458" s="28" t="str">
        <f t="shared" si="81"/>
        <v>2023</v>
      </c>
    </row>
    <row r="459" spans="1:29" x14ac:dyDescent="0.25">
      <c r="A459" s="4" t="s">
        <v>471</v>
      </c>
      <c r="B459" s="14">
        <v>45048</v>
      </c>
      <c r="C459" s="14">
        <v>45065</v>
      </c>
      <c r="D459" s="16">
        <f t="shared" si="73"/>
        <v>17</v>
      </c>
      <c r="E459" s="4" t="s">
        <v>647</v>
      </c>
      <c r="F459" s="4" t="s">
        <v>659</v>
      </c>
      <c r="G459" s="4" t="s">
        <v>685</v>
      </c>
      <c r="H459" s="4" t="s">
        <v>703</v>
      </c>
      <c r="I459" s="4" t="s">
        <v>711</v>
      </c>
      <c r="J459" s="4" t="s">
        <v>713</v>
      </c>
      <c r="K459" s="4" t="s">
        <v>732</v>
      </c>
      <c r="L459" s="4" t="s">
        <v>1190</v>
      </c>
      <c r="M459" s="9">
        <v>12</v>
      </c>
      <c r="N459" s="16">
        <f>ROUND(IF('Dashboard Visualization'!$U$3="",'Working Data'!$M459,'Working Data'!$M459*(100% +'Dashboard Visualization'!$U$3)),0)</f>
        <v>12</v>
      </c>
      <c r="O459" s="19">
        <v>714.28</v>
      </c>
      <c r="P459" s="20">
        <f>IF('Dashboard Visualization'!$U$2="",'Working Data'!$O459*'Working Data'!$N459,'Working Data'!$O459*'Working Data'!$N459*(100%+'Dashboard Visualization'!$U$2))</f>
        <v>8571.36</v>
      </c>
      <c r="Q459" s="19">
        <v>757.59</v>
      </c>
      <c r="R459" s="20">
        <f t="shared" si="74"/>
        <v>654.55776000000003</v>
      </c>
      <c r="S459" s="11">
        <v>0.13600000000000001</v>
      </c>
      <c r="T459" s="22">
        <f>IF('Dashboard Visualization'!$U$1="",$S459,IF(S459&gt;'Dashboard Visualization'!$U$1,'Dashboard Visualization'!$U$1,S459))</f>
        <v>0.13600000000000001</v>
      </c>
      <c r="U459" s="20">
        <f t="shared" si="75"/>
        <v>6786.45485568</v>
      </c>
      <c r="V459" s="20">
        <f t="shared" si="76"/>
        <v>-1784.9051443200005</v>
      </c>
      <c r="W459" s="22">
        <f t="shared" si="72"/>
        <v>0</v>
      </c>
      <c r="X459" s="28" t="str">
        <f>TEXT(B459,"MMM-YYYY")</f>
        <v>May-2023</v>
      </c>
      <c r="Y459" s="7" t="str">
        <f t="shared" si="77"/>
        <v>Q2-2023</v>
      </c>
      <c r="Z459" s="7" t="str">
        <f t="shared" si="78"/>
        <v>High Price</v>
      </c>
      <c r="AA459" s="7" t="str">
        <f t="shared" si="79"/>
        <v>Q2</v>
      </c>
      <c r="AB459" s="28" t="str">
        <f t="shared" si="80"/>
        <v>May</v>
      </c>
      <c r="AC459" s="28" t="str">
        <f t="shared" si="81"/>
        <v>2023</v>
      </c>
    </row>
    <row r="460" spans="1:29" x14ac:dyDescent="0.25">
      <c r="A460" s="4" t="s">
        <v>472</v>
      </c>
      <c r="B460" s="14">
        <v>45260</v>
      </c>
      <c r="C460" s="14">
        <v>45270</v>
      </c>
      <c r="D460" s="16">
        <f t="shared" si="73"/>
        <v>10</v>
      </c>
      <c r="E460" s="4" t="s">
        <v>649</v>
      </c>
      <c r="F460" s="4" t="s">
        <v>656</v>
      </c>
      <c r="G460" s="4" t="s">
        <v>684</v>
      </c>
      <c r="H460" s="4" t="s">
        <v>705</v>
      </c>
      <c r="I460" s="4" t="s">
        <v>711</v>
      </c>
      <c r="J460" s="4" t="s">
        <v>721</v>
      </c>
      <c r="K460" s="4" t="s">
        <v>731</v>
      </c>
      <c r="L460" s="4" t="s">
        <v>1191</v>
      </c>
      <c r="M460" s="9">
        <v>21</v>
      </c>
      <c r="N460" s="16">
        <f>ROUND(IF('Dashboard Visualization'!$U$3="",'Working Data'!$M460,'Working Data'!$M460*(100% +'Dashboard Visualization'!$U$3)),0)</f>
        <v>21</v>
      </c>
      <c r="O460" s="19">
        <v>174.74</v>
      </c>
      <c r="P460" s="20">
        <f>IF('Dashboard Visualization'!$U$2="",'Working Data'!$O460*'Working Data'!$N460,'Working Data'!$O460*'Working Data'!$N460*(100%+'Dashboard Visualization'!$U$2))</f>
        <v>3669.54</v>
      </c>
      <c r="Q460" s="19">
        <v>415.96</v>
      </c>
      <c r="R460" s="20">
        <f t="shared" si="74"/>
        <v>363.96499999999997</v>
      </c>
      <c r="S460" s="11">
        <v>0.125</v>
      </c>
      <c r="T460" s="22">
        <f>IF('Dashboard Visualization'!$U$1="",$S460,IF(S460&gt;'Dashboard Visualization'!$U$1,'Dashboard Visualization'!$U$1,S460))</f>
        <v>0.125</v>
      </c>
      <c r="U460" s="20">
        <f t="shared" si="75"/>
        <v>6687.8568749999995</v>
      </c>
      <c r="V460" s="20">
        <f t="shared" si="76"/>
        <v>3018.3168749999995</v>
      </c>
      <c r="W460" s="22">
        <f t="shared" si="72"/>
        <v>0.45131301871647778</v>
      </c>
      <c r="X460" s="28" t="str">
        <f>TEXT(B460,"MMM-YYYY")</f>
        <v>Nov-2023</v>
      </c>
      <c r="Y460" s="7" t="str">
        <f t="shared" si="77"/>
        <v>Q4-2023</v>
      </c>
      <c r="Z460" s="7" t="str">
        <f t="shared" si="78"/>
        <v>Low Price</v>
      </c>
      <c r="AA460" s="7" t="str">
        <f t="shared" si="79"/>
        <v>Q4</v>
      </c>
      <c r="AB460" s="28" t="str">
        <f t="shared" si="80"/>
        <v>Nov</v>
      </c>
      <c r="AC460" s="28" t="str">
        <f t="shared" si="81"/>
        <v>2023</v>
      </c>
    </row>
    <row r="461" spans="1:29" x14ac:dyDescent="0.25">
      <c r="A461" s="4" t="s">
        <v>473</v>
      </c>
      <c r="B461" s="14">
        <v>45417</v>
      </c>
      <c r="C461" s="14">
        <v>45430</v>
      </c>
      <c r="D461" s="16">
        <f t="shared" si="73"/>
        <v>13</v>
      </c>
      <c r="E461" s="4" t="s">
        <v>649</v>
      </c>
      <c r="F461" s="4" t="s">
        <v>657</v>
      </c>
      <c r="G461" s="4" t="s">
        <v>673</v>
      </c>
      <c r="H461" s="4" t="s">
        <v>701</v>
      </c>
      <c r="I461" s="4" t="s">
        <v>709</v>
      </c>
      <c r="J461" s="4" t="s">
        <v>720</v>
      </c>
      <c r="K461" s="4" t="s">
        <v>727</v>
      </c>
      <c r="L461" s="4" t="s">
        <v>1192</v>
      </c>
      <c r="M461" s="9">
        <v>13</v>
      </c>
      <c r="N461" s="16">
        <f>ROUND(IF('Dashboard Visualization'!$U$3="",'Working Data'!$M461,'Working Data'!$M461*(100% +'Dashboard Visualization'!$U$3)),0)</f>
        <v>13</v>
      </c>
      <c r="O461" s="19">
        <v>1264.04</v>
      </c>
      <c r="P461" s="20">
        <f>IF('Dashboard Visualization'!$U$2="",'Working Data'!$O461*'Working Data'!$N461,'Working Data'!$O461*'Working Data'!$N461*(100%+'Dashboard Visualization'!$U$2))</f>
        <v>16432.52</v>
      </c>
      <c r="Q461" s="19">
        <v>1870.89</v>
      </c>
      <c r="R461" s="20">
        <f t="shared" si="74"/>
        <v>1870.89</v>
      </c>
      <c r="S461" s="11">
        <v>0</v>
      </c>
      <c r="T461" s="22">
        <f>IF('Dashboard Visualization'!$U$1="",$S461,IF(S461&gt;'Dashboard Visualization'!$U$1,'Dashboard Visualization'!$U$1,S461))</f>
        <v>0</v>
      </c>
      <c r="U461" s="20">
        <f t="shared" si="75"/>
        <v>24321.57</v>
      </c>
      <c r="V461" s="20">
        <f t="shared" si="76"/>
        <v>7889.0499999999993</v>
      </c>
      <c r="W461" s="22">
        <f t="shared" si="72"/>
        <v>0.32436433996653996</v>
      </c>
      <c r="X461" s="28" t="str">
        <f>TEXT(B461,"MMM-YYYY")</f>
        <v>May-2024</v>
      </c>
      <c r="Y461" s="7" t="str">
        <f t="shared" si="77"/>
        <v>Q2-2024</v>
      </c>
      <c r="Z461" s="7" t="str">
        <f t="shared" si="78"/>
        <v>Medium Price</v>
      </c>
      <c r="AA461" s="7" t="str">
        <f t="shared" si="79"/>
        <v>Q2</v>
      </c>
      <c r="AB461" s="28" t="str">
        <f t="shared" si="80"/>
        <v>May</v>
      </c>
      <c r="AC461" s="28" t="str">
        <f t="shared" si="81"/>
        <v>2024</v>
      </c>
    </row>
    <row r="462" spans="1:29" x14ac:dyDescent="0.25">
      <c r="A462" s="4" t="s">
        <v>474</v>
      </c>
      <c r="B462" s="14">
        <v>45116</v>
      </c>
      <c r="C462" s="14">
        <v>45126</v>
      </c>
      <c r="D462" s="16">
        <f t="shared" si="73"/>
        <v>10</v>
      </c>
      <c r="E462" s="4" t="s">
        <v>647</v>
      </c>
      <c r="F462" s="4" t="s">
        <v>652</v>
      </c>
      <c r="G462" s="4" t="s">
        <v>689</v>
      </c>
      <c r="H462" s="4" t="s">
        <v>706</v>
      </c>
      <c r="I462" s="4" t="s">
        <v>710</v>
      </c>
      <c r="J462" s="4" t="s">
        <v>725</v>
      </c>
      <c r="K462" s="4" t="s">
        <v>727</v>
      </c>
      <c r="L462" s="4" t="s">
        <v>1193</v>
      </c>
      <c r="M462" s="9">
        <v>9</v>
      </c>
      <c r="N462" s="16">
        <f>ROUND(IF('Dashboard Visualization'!$U$3="",'Working Data'!$M462,'Working Data'!$M462*(100% +'Dashboard Visualization'!$U$3)),0)</f>
        <v>9</v>
      </c>
      <c r="O462" s="19">
        <v>141.26</v>
      </c>
      <c r="P462" s="20">
        <f>IF('Dashboard Visualization'!$U$2="",'Working Data'!$O462*'Working Data'!$N462,'Working Data'!$O462*'Working Data'!$N462*(100%+'Dashboard Visualization'!$U$2))</f>
        <v>1271.3399999999999</v>
      </c>
      <c r="Q462" s="19">
        <v>206.88</v>
      </c>
      <c r="R462" s="20">
        <f t="shared" si="74"/>
        <v>184.74384000000001</v>
      </c>
      <c r="S462" s="11">
        <v>0.107</v>
      </c>
      <c r="T462" s="22">
        <f>IF('Dashboard Visualization'!$U$1="",$S462,IF(S462&gt;'Dashboard Visualization'!$U$1,'Dashboard Visualization'!$U$1,S462))</f>
        <v>0.107</v>
      </c>
      <c r="U462" s="20">
        <f t="shared" si="75"/>
        <v>1484.78624208</v>
      </c>
      <c r="V462" s="20">
        <f t="shared" si="76"/>
        <v>213.44624208000005</v>
      </c>
      <c r="W462" s="22">
        <f t="shared" si="72"/>
        <v>0.14375553600293908</v>
      </c>
      <c r="X462" s="28" t="str">
        <f>TEXT(B462,"MMM-YYYY")</f>
        <v>Jul-2023</v>
      </c>
      <c r="Y462" s="7" t="str">
        <f t="shared" si="77"/>
        <v>Q3-2023</v>
      </c>
      <c r="Z462" s="7" t="str">
        <f t="shared" si="78"/>
        <v>Low Price</v>
      </c>
      <c r="AA462" s="7" t="str">
        <f t="shared" si="79"/>
        <v>Q3</v>
      </c>
      <c r="AB462" s="28" t="str">
        <f t="shared" si="80"/>
        <v>Jul</v>
      </c>
      <c r="AC462" s="28" t="str">
        <f t="shared" si="81"/>
        <v>2023</v>
      </c>
    </row>
    <row r="463" spans="1:29" x14ac:dyDescent="0.25">
      <c r="A463" s="4" t="s">
        <v>475</v>
      </c>
      <c r="B463" s="14">
        <v>45063</v>
      </c>
      <c r="C463" s="14">
        <v>45092</v>
      </c>
      <c r="D463" s="16">
        <f t="shared" si="73"/>
        <v>29</v>
      </c>
      <c r="E463" s="4" t="s">
        <v>646</v>
      </c>
      <c r="F463" s="4" t="s">
        <v>661</v>
      </c>
      <c r="G463" s="4" t="s">
        <v>687</v>
      </c>
      <c r="H463" s="4" t="s">
        <v>706</v>
      </c>
      <c r="I463" s="4" t="s">
        <v>707</v>
      </c>
      <c r="J463" s="4" t="s">
        <v>723</v>
      </c>
      <c r="K463" s="4" t="s">
        <v>733</v>
      </c>
      <c r="L463" s="4" t="s">
        <v>1194</v>
      </c>
      <c r="M463" s="9">
        <v>17</v>
      </c>
      <c r="N463" s="16">
        <f>ROUND(IF('Dashboard Visualization'!$U$3="",'Working Data'!$M463,'Working Data'!$M463*(100% +'Dashboard Visualization'!$U$3)),0)</f>
        <v>17</v>
      </c>
      <c r="O463" s="19">
        <v>40.89</v>
      </c>
      <c r="P463" s="20">
        <f>IF('Dashboard Visualization'!$U$2="",'Working Data'!$O463*'Working Data'!$N463,'Working Data'!$O463*'Working Data'!$N463*(100%+'Dashboard Visualization'!$U$2))</f>
        <v>695.13</v>
      </c>
      <c r="Q463" s="19">
        <v>62.82</v>
      </c>
      <c r="R463" s="20">
        <f t="shared" si="74"/>
        <v>54.71622</v>
      </c>
      <c r="S463" s="11">
        <v>0.129</v>
      </c>
      <c r="T463" s="22">
        <f>IF('Dashboard Visualization'!$U$1="",$S463,IF(S463&gt;'Dashboard Visualization'!$U$1,'Dashboard Visualization'!$U$1,S463))</f>
        <v>0.129</v>
      </c>
      <c r="U463" s="20">
        <f t="shared" si="75"/>
        <v>810.18306954000002</v>
      </c>
      <c r="V463" s="20">
        <f t="shared" si="76"/>
        <v>115.05306954000002</v>
      </c>
      <c r="W463" s="22">
        <f t="shared" si="72"/>
        <v>0.14200873094685135</v>
      </c>
      <c r="X463" s="28" t="str">
        <f>TEXT(B463,"MMM-YYYY")</f>
        <v>May-2023</v>
      </c>
      <c r="Y463" s="7" t="str">
        <f t="shared" si="77"/>
        <v>Q2-2023</v>
      </c>
      <c r="Z463" s="7" t="str">
        <f t="shared" si="78"/>
        <v>Low Price</v>
      </c>
      <c r="AA463" s="7" t="str">
        <f t="shared" si="79"/>
        <v>Q2</v>
      </c>
      <c r="AB463" s="28" t="str">
        <f t="shared" si="80"/>
        <v>May</v>
      </c>
      <c r="AC463" s="28" t="str">
        <f t="shared" si="81"/>
        <v>2023</v>
      </c>
    </row>
    <row r="464" spans="1:29" x14ac:dyDescent="0.25">
      <c r="A464" s="4" t="s">
        <v>476</v>
      </c>
      <c r="B464" s="14">
        <v>45358</v>
      </c>
      <c r="C464" s="14">
        <v>45385</v>
      </c>
      <c r="D464" s="16">
        <f t="shared" si="73"/>
        <v>27</v>
      </c>
      <c r="E464" s="4" t="s">
        <v>649</v>
      </c>
      <c r="F464" s="4" t="s">
        <v>656</v>
      </c>
      <c r="G464" s="4" t="s">
        <v>698</v>
      </c>
      <c r="H464" s="4" t="s">
        <v>701</v>
      </c>
      <c r="I464" s="4" t="s">
        <v>711</v>
      </c>
      <c r="J464" s="4" t="s">
        <v>724</v>
      </c>
      <c r="K464" s="4" t="s">
        <v>728</v>
      </c>
      <c r="L464" s="4" t="s">
        <v>1195</v>
      </c>
      <c r="M464" s="9">
        <v>5</v>
      </c>
      <c r="N464" s="16">
        <f>ROUND(IF('Dashboard Visualization'!$U$3="",'Working Data'!$M464,'Working Data'!$M464*(100% +'Dashboard Visualization'!$U$3)),0)</f>
        <v>5</v>
      </c>
      <c r="O464" s="19">
        <v>738.16</v>
      </c>
      <c r="P464" s="20">
        <f>IF('Dashboard Visualization'!$U$2="",'Working Data'!$O464*'Working Data'!$N464,'Working Data'!$O464*'Working Data'!$N464*(100%+'Dashboard Visualization'!$U$2))</f>
        <v>3690.7999999999997</v>
      </c>
      <c r="Q464" s="19">
        <v>956.49</v>
      </c>
      <c r="R464" s="20">
        <f t="shared" si="74"/>
        <v>811.10352</v>
      </c>
      <c r="S464" s="11">
        <v>0.152</v>
      </c>
      <c r="T464" s="22">
        <f>IF('Dashboard Visualization'!$U$1="",$S464,IF(S464&gt;'Dashboard Visualization'!$U$1,'Dashboard Visualization'!$U$1,S464))</f>
        <v>0.152</v>
      </c>
      <c r="U464" s="20">
        <f t="shared" si="75"/>
        <v>3439.0789248000001</v>
      </c>
      <c r="V464" s="20">
        <f t="shared" si="76"/>
        <v>-251.72107519999963</v>
      </c>
      <c r="W464" s="22">
        <f t="shared" si="72"/>
        <v>0</v>
      </c>
      <c r="X464" s="28" t="str">
        <f>TEXT(B464,"MMM-YYYY")</f>
        <v>Mar-2024</v>
      </c>
      <c r="Y464" s="7" t="str">
        <f t="shared" si="77"/>
        <v>Q1-2024</v>
      </c>
      <c r="Z464" s="7" t="str">
        <f t="shared" si="78"/>
        <v>High Price</v>
      </c>
      <c r="AA464" s="7" t="str">
        <f t="shared" si="79"/>
        <v>Q1</v>
      </c>
      <c r="AB464" s="28" t="str">
        <f t="shared" si="80"/>
        <v>Mar</v>
      </c>
      <c r="AC464" s="28" t="str">
        <f t="shared" si="81"/>
        <v>2024</v>
      </c>
    </row>
    <row r="465" spans="1:29" x14ac:dyDescent="0.25">
      <c r="A465" s="4" t="s">
        <v>477</v>
      </c>
      <c r="B465" s="14">
        <v>45757</v>
      </c>
      <c r="C465" s="14">
        <v>45766</v>
      </c>
      <c r="D465" s="16">
        <f t="shared" si="73"/>
        <v>9</v>
      </c>
      <c r="E465" s="4" t="s">
        <v>646</v>
      </c>
      <c r="F465" s="4" t="s">
        <v>661</v>
      </c>
      <c r="G465" s="4" t="s">
        <v>687</v>
      </c>
      <c r="H465" s="4" t="s">
        <v>706</v>
      </c>
      <c r="I465" s="12" t="s">
        <v>1430</v>
      </c>
      <c r="J465" s="4" t="s">
        <v>715</v>
      </c>
      <c r="K465" s="4" t="s">
        <v>729</v>
      </c>
      <c r="L465" s="4" t="s">
        <v>1196</v>
      </c>
      <c r="M465" s="9">
        <v>13</v>
      </c>
      <c r="N465" s="16">
        <f>ROUND(IF('Dashboard Visualization'!$U$3="",'Working Data'!$M465,'Working Data'!$M465*(100% +'Dashboard Visualization'!$U$3)),0)</f>
        <v>13</v>
      </c>
      <c r="O465" s="19">
        <v>113.74</v>
      </c>
      <c r="P465" s="20">
        <f>IF('Dashboard Visualization'!$U$2="",'Working Data'!$O465*'Working Data'!$N465,'Working Data'!$O465*'Working Data'!$N465*(100%+'Dashboard Visualization'!$U$2))</f>
        <v>1478.62</v>
      </c>
      <c r="Q465" s="19">
        <v>165.7</v>
      </c>
      <c r="R465" s="20">
        <f t="shared" si="74"/>
        <v>145.1532</v>
      </c>
      <c r="S465" s="11">
        <v>0.124</v>
      </c>
      <c r="T465" s="22">
        <f>IF('Dashboard Visualization'!$U$1="",$S465,IF(S465&gt;'Dashboard Visualization'!$U$1,'Dashboard Visualization'!$U$1,S465))</f>
        <v>0.124</v>
      </c>
      <c r="U465" s="20">
        <f t="shared" si="75"/>
        <v>1653.0046416</v>
      </c>
      <c r="V465" s="20">
        <f t="shared" si="76"/>
        <v>174.38464160000012</v>
      </c>
      <c r="W465" s="22">
        <f t="shared" si="72"/>
        <v>0.10549555470770321</v>
      </c>
      <c r="X465" s="28" t="str">
        <f>TEXT(B465,"MMM-YYYY")</f>
        <v>Apr-2025</v>
      </c>
      <c r="Y465" s="7" t="str">
        <f t="shared" si="77"/>
        <v>Q2-2025</v>
      </c>
      <c r="Z465" s="7" t="str">
        <f t="shared" si="78"/>
        <v>Low Price</v>
      </c>
      <c r="AA465" s="7" t="str">
        <f t="shared" si="79"/>
        <v>Q2</v>
      </c>
      <c r="AB465" s="28" t="str">
        <f t="shared" si="80"/>
        <v>Apr</v>
      </c>
      <c r="AC465" s="28" t="str">
        <f t="shared" si="81"/>
        <v>2025</v>
      </c>
    </row>
    <row r="466" spans="1:29" x14ac:dyDescent="0.25">
      <c r="A466" s="4" t="s">
        <v>478</v>
      </c>
      <c r="B466" s="14">
        <v>45865</v>
      </c>
      <c r="C466" s="14">
        <v>45884</v>
      </c>
      <c r="D466" s="16">
        <f t="shared" si="73"/>
        <v>19</v>
      </c>
      <c r="E466" s="4" t="s">
        <v>647</v>
      </c>
      <c r="F466" s="4" t="s">
        <v>652</v>
      </c>
      <c r="G466" s="4" t="s">
        <v>689</v>
      </c>
      <c r="H466" s="4" t="s">
        <v>705</v>
      </c>
      <c r="I466" s="4" t="s">
        <v>709</v>
      </c>
      <c r="J466" s="4" t="s">
        <v>713</v>
      </c>
      <c r="K466" s="4" t="s">
        <v>727</v>
      </c>
      <c r="L466" s="4" t="s">
        <v>1197</v>
      </c>
      <c r="M466" s="9">
        <v>4</v>
      </c>
      <c r="N466" s="16">
        <f>ROUND(IF('Dashboard Visualization'!$U$3="",'Working Data'!$M466,'Working Data'!$M466*(100% +'Dashboard Visualization'!$U$3)),0)</f>
        <v>4</v>
      </c>
      <c r="O466" s="19">
        <v>275.43</v>
      </c>
      <c r="P466" s="20">
        <f>IF('Dashboard Visualization'!$U$2="",'Working Data'!$O466*'Working Data'!$N466,'Working Data'!$O466*'Working Data'!$N466*(100%+'Dashboard Visualization'!$U$2))</f>
        <v>1101.72</v>
      </c>
      <c r="Q466" s="19">
        <v>608.36</v>
      </c>
      <c r="R466" s="20">
        <f t="shared" si="74"/>
        <v>452.01148000000001</v>
      </c>
      <c r="S466" s="11">
        <v>0.25700000000000001</v>
      </c>
      <c r="T466" s="22">
        <f>IF('Dashboard Visualization'!$U$1="",$S466,IF(S466&gt;'Dashboard Visualization'!$U$1,'Dashboard Visualization'!$U$1,S466))</f>
        <v>0.25700000000000001</v>
      </c>
      <c r="U466" s="20">
        <f t="shared" si="75"/>
        <v>1343.3781185600001</v>
      </c>
      <c r="V466" s="20">
        <f t="shared" si="76"/>
        <v>241.65811856000005</v>
      </c>
      <c r="W466" s="22">
        <f t="shared" si="72"/>
        <v>0.17988838378508004</v>
      </c>
      <c r="X466" s="28" t="str">
        <f>TEXT(B466,"MMM-YYYY")</f>
        <v>Jul-2025</v>
      </c>
      <c r="Y466" s="7" t="str">
        <f t="shared" si="77"/>
        <v>Q3-2025</v>
      </c>
      <c r="Z466" s="7" t="str">
        <f t="shared" si="78"/>
        <v>Low Price</v>
      </c>
      <c r="AA466" s="7" t="str">
        <f t="shared" si="79"/>
        <v>Q3</v>
      </c>
      <c r="AB466" s="28" t="str">
        <f t="shared" si="80"/>
        <v>Jul</v>
      </c>
      <c r="AC466" s="28" t="str">
        <f t="shared" si="81"/>
        <v>2025</v>
      </c>
    </row>
    <row r="467" spans="1:29" x14ac:dyDescent="0.25">
      <c r="A467" s="4" t="s">
        <v>479</v>
      </c>
      <c r="B467" s="14">
        <v>45618</v>
      </c>
      <c r="C467" s="14">
        <v>45641</v>
      </c>
      <c r="D467" s="16">
        <f t="shared" si="73"/>
        <v>23</v>
      </c>
      <c r="E467" s="4" t="s">
        <v>646</v>
      </c>
      <c r="F467" s="4" t="s">
        <v>650</v>
      </c>
      <c r="G467" s="4" t="s">
        <v>675</v>
      </c>
      <c r="H467" s="4" t="s">
        <v>703</v>
      </c>
      <c r="I467" s="4" t="s">
        <v>710</v>
      </c>
      <c r="J467" s="4" t="s">
        <v>712</v>
      </c>
      <c r="K467" s="4" t="s">
        <v>727</v>
      </c>
      <c r="L467" s="4" t="s">
        <v>1198</v>
      </c>
      <c r="M467" s="9">
        <v>40</v>
      </c>
      <c r="N467" s="16">
        <f>ROUND(IF('Dashboard Visualization'!$U$3="",'Working Data'!$M467,'Working Data'!$M467*(100% +'Dashboard Visualization'!$U$3)),0)</f>
        <v>40</v>
      </c>
      <c r="O467" s="19">
        <v>1335.76</v>
      </c>
      <c r="P467" s="20">
        <f>IF('Dashboard Visualization'!$U$2="",'Working Data'!$O467*'Working Data'!$N467,'Working Data'!$O467*'Working Data'!$N467*(100%+'Dashboard Visualization'!$U$2))</f>
        <v>53430.400000000001</v>
      </c>
      <c r="Q467" s="19">
        <v>2665.91</v>
      </c>
      <c r="R467" s="20">
        <f t="shared" si="74"/>
        <v>2103.40299</v>
      </c>
      <c r="S467" s="11">
        <v>0.21099999999999999</v>
      </c>
      <c r="T467" s="22">
        <f>IF('Dashboard Visualization'!$U$1="",$S467,IF(S467&gt;'Dashboard Visualization'!$U$1,'Dashboard Visualization'!$U$1,S467))</f>
        <v>0.21099999999999999</v>
      </c>
      <c r="U467" s="20">
        <f t="shared" si="75"/>
        <v>66383.398364399996</v>
      </c>
      <c r="V467" s="20">
        <f t="shared" si="76"/>
        <v>12952.998364399995</v>
      </c>
      <c r="W467" s="22">
        <f t="shared" si="72"/>
        <v>0.19512406239428701</v>
      </c>
      <c r="X467" s="28" t="str">
        <f>TEXT(B467,"MMM-YYYY")</f>
        <v>Nov-2024</v>
      </c>
      <c r="Y467" s="7" t="str">
        <f t="shared" si="77"/>
        <v>Q4-2024</v>
      </c>
      <c r="Z467" s="7" t="str">
        <f t="shared" si="78"/>
        <v>Medium Price</v>
      </c>
      <c r="AA467" s="7" t="str">
        <f t="shared" si="79"/>
        <v>Q4</v>
      </c>
      <c r="AB467" s="28" t="str">
        <f t="shared" si="80"/>
        <v>Nov</v>
      </c>
      <c r="AC467" s="28" t="str">
        <f t="shared" si="81"/>
        <v>2024</v>
      </c>
    </row>
    <row r="468" spans="1:29" x14ac:dyDescent="0.25">
      <c r="A468" s="4" t="s">
        <v>480</v>
      </c>
      <c r="B468" s="14">
        <v>45466</v>
      </c>
      <c r="C468" s="14">
        <v>45471</v>
      </c>
      <c r="D468" s="16">
        <f t="shared" si="73"/>
        <v>5</v>
      </c>
      <c r="E468" s="4" t="s">
        <v>646</v>
      </c>
      <c r="F468" s="4" t="s">
        <v>651</v>
      </c>
      <c r="G468" s="4" t="s">
        <v>663</v>
      </c>
      <c r="H468" s="4" t="s">
        <v>703</v>
      </c>
      <c r="I468" s="4" t="s">
        <v>711</v>
      </c>
      <c r="J468" s="4" t="s">
        <v>724</v>
      </c>
      <c r="K468" s="4" t="s">
        <v>733</v>
      </c>
      <c r="L468" s="4" t="s">
        <v>1199</v>
      </c>
      <c r="M468" s="9">
        <v>6</v>
      </c>
      <c r="N468" s="16">
        <f>ROUND(IF('Dashboard Visualization'!$U$3="",'Working Data'!$M468,'Working Data'!$M468*(100% +'Dashboard Visualization'!$U$3)),0)</f>
        <v>6</v>
      </c>
      <c r="O468" s="19">
        <v>242.31</v>
      </c>
      <c r="P468" s="20">
        <f>IF('Dashboard Visualization'!$U$2="",'Working Data'!$O468*'Working Data'!$N468,'Working Data'!$O468*'Working Data'!$N468*(100%+'Dashboard Visualization'!$U$2))</f>
        <v>1453.8600000000001</v>
      </c>
      <c r="Q468" s="19">
        <v>587.95000000000005</v>
      </c>
      <c r="R468" s="20">
        <f t="shared" si="74"/>
        <v>453.30945000000003</v>
      </c>
      <c r="S468" s="11">
        <v>0.22900000000000001</v>
      </c>
      <c r="T468" s="22">
        <f>IF('Dashboard Visualization'!$U$1="",$S468,IF(S468&gt;'Dashboard Visualization'!$U$1,'Dashboard Visualization'!$U$1,S468))</f>
        <v>0.22900000000000001</v>
      </c>
      <c r="U468" s="20">
        <f t="shared" si="75"/>
        <v>2097.0095157000005</v>
      </c>
      <c r="V468" s="20">
        <f t="shared" si="76"/>
        <v>643.14951570000039</v>
      </c>
      <c r="W468" s="22">
        <f t="shared" si="72"/>
        <v>0.30669842501182515</v>
      </c>
      <c r="X468" s="28" t="str">
        <f>TEXT(B468,"MMM-YYYY")</f>
        <v>Jun-2024</v>
      </c>
      <c r="Y468" s="7" t="str">
        <f t="shared" si="77"/>
        <v>Q2-2024</v>
      </c>
      <c r="Z468" s="7" t="str">
        <f t="shared" si="78"/>
        <v>Low Price</v>
      </c>
      <c r="AA468" s="7" t="str">
        <f t="shared" si="79"/>
        <v>Q2</v>
      </c>
      <c r="AB468" s="28" t="str">
        <f t="shared" si="80"/>
        <v>Jun</v>
      </c>
      <c r="AC468" s="28" t="str">
        <f t="shared" si="81"/>
        <v>2024</v>
      </c>
    </row>
    <row r="469" spans="1:29" x14ac:dyDescent="0.25">
      <c r="A469" s="4" t="s">
        <v>481</v>
      </c>
      <c r="B469" s="14">
        <v>45278</v>
      </c>
      <c r="C469" s="14">
        <v>45305</v>
      </c>
      <c r="D469" s="16">
        <f t="shared" si="73"/>
        <v>27</v>
      </c>
      <c r="E469" s="4" t="s">
        <v>647</v>
      </c>
      <c r="F469" s="4" t="s">
        <v>654</v>
      </c>
      <c r="G469" s="4" t="s">
        <v>691</v>
      </c>
      <c r="H469" s="4" t="s">
        <v>704</v>
      </c>
      <c r="I469" s="4" t="s">
        <v>710</v>
      </c>
      <c r="J469" s="4" t="s">
        <v>726</v>
      </c>
      <c r="K469" s="4" t="s">
        <v>729</v>
      </c>
      <c r="L469" s="4" t="s">
        <v>1200</v>
      </c>
      <c r="M469" s="9">
        <v>7</v>
      </c>
      <c r="N469" s="16">
        <f>ROUND(IF('Dashboard Visualization'!$U$3="",'Working Data'!$M469,'Working Data'!$M469*(100% +'Dashboard Visualization'!$U$3)),0)</f>
        <v>7</v>
      </c>
      <c r="O469" s="19">
        <v>1408.3</v>
      </c>
      <c r="P469" s="20">
        <f>IF('Dashboard Visualization'!$U$2="",'Working Data'!$O469*'Working Data'!$N469,'Working Data'!$O469*'Working Data'!$N469*(100%+'Dashboard Visualization'!$U$2))</f>
        <v>9858.1</v>
      </c>
      <c r="Q469" s="19">
        <v>2193.13</v>
      </c>
      <c r="R469" s="20">
        <f t="shared" si="74"/>
        <v>2037.4177700000002</v>
      </c>
      <c r="S469" s="11">
        <v>7.0999999999999994E-2</v>
      </c>
      <c r="T469" s="22">
        <f>IF('Dashboard Visualization'!$U$1="",$S469,IF(S469&gt;'Dashboard Visualization'!$U$1,'Dashboard Visualization'!$U$1,S469))</f>
        <v>7.0999999999999994E-2</v>
      </c>
      <c r="U469" s="20">
        <f t="shared" si="75"/>
        <v>13249.327758310003</v>
      </c>
      <c r="V469" s="20">
        <f t="shared" si="76"/>
        <v>3391.2277583100022</v>
      </c>
      <c r="W469" s="22">
        <f t="shared" si="72"/>
        <v>0.25595470352697841</v>
      </c>
      <c r="X469" s="28" t="str">
        <f>TEXT(B469,"MMM-YYYY")</f>
        <v>Dec-2023</v>
      </c>
      <c r="Y469" s="7" t="str">
        <f t="shared" si="77"/>
        <v>Q4-2023</v>
      </c>
      <c r="Z469" s="7" t="str">
        <f t="shared" si="78"/>
        <v>Medium Price</v>
      </c>
      <c r="AA469" s="7" t="str">
        <f t="shared" si="79"/>
        <v>Q4</v>
      </c>
      <c r="AB469" s="28" t="str">
        <f t="shared" si="80"/>
        <v>Dec</v>
      </c>
      <c r="AC469" s="28" t="str">
        <f t="shared" si="81"/>
        <v>2023</v>
      </c>
    </row>
    <row r="470" spans="1:29" x14ac:dyDescent="0.25">
      <c r="A470" s="4" t="s">
        <v>482</v>
      </c>
      <c r="B470" s="14">
        <v>45809</v>
      </c>
      <c r="C470" s="14">
        <v>45813</v>
      </c>
      <c r="D470" s="16">
        <f t="shared" si="73"/>
        <v>4</v>
      </c>
      <c r="E470" s="4" t="s">
        <v>649</v>
      </c>
      <c r="F470" s="4" t="s">
        <v>656</v>
      </c>
      <c r="G470" s="4" t="s">
        <v>684</v>
      </c>
      <c r="H470" s="4" t="s">
        <v>706</v>
      </c>
      <c r="I470" s="4" t="s">
        <v>711</v>
      </c>
      <c r="J470" s="4" t="s">
        <v>724</v>
      </c>
      <c r="K470" s="4" t="s">
        <v>727</v>
      </c>
      <c r="L470" s="4" t="s">
        <v>1201</v>
      </c>
      <c r="M470" s="9">
        <v>15</v>
      </c>
      <c r="N470" s="16">
        <f>ROUND(IF('Dashboard Visualization'!$U$3="",'Working Data'!$M470,'Working Data'!$M470*(100% +'Dashboard Visualization'!$U$3)),0)</f>
        <v>15</v>
      </c>
      <c r="O470" s="19">
        <v>1171.42</v>
      </c>
      <c r="P470" s="20">
        <f>IF('Dashboard Visualization'!$U$2="",'Working Data'!$O470*'Working Data'!$N470,'Working Data'!$O470*'Working Data'!$N470*(100%+'Dashboard Visualization'!$U$2))</f>
        <v>17571.300000000003</v>
      </c>
      <c r="Q470" s="19">
        <v>2187.8000000000002</v>
      </c>
      <c r="R470" s="20">
        <f t="shared" si="74"/>
        <v>1684.6060000000002</v>
      </c>
      <c r="S470" s="11">
        <v>0.23</v>
      </c>
      <c r="T470" s="22">
        <f>IF('Dashboard Visualization'!$U$1="",$S470,IF(S470&gt;'Dashboard Visualization'!$U$1,'Dashboard Visualization'!$U$1,S470))</f>
        <v>0.23</v>
      </c>
      <c r="U470" s="20">
        <f t="shared" si="75"/>
        <v>19457.199300000004</v>
      </c>
      <c r="V470" s="20">
        <f t="shared" si="76"/>
        <v>1885.8993000000009</v>
      </c>
      <c r="W470" s="22">
        <f t="shared" si="72"/>
        <v>9.6925527200618256E-2</v>
      </c>
      <c r="X470" s="28" t="str">
        <f>TEXT(B470,"MMM-YYYY")</f>
        <v>Jun-2025</v>
      </c>
      <c r="Y470" s="7" t="str">
        <f t="shared" si="77"/>
        <v>Q2-2025</v>
      </c>
      <c r="Z470" s="7" t="str">
        <f t="shared" si="78"/>
        <v>High Price</v>
      </c>
      <c r="AA470" s="7" t="str">
        <f t="shared" si="79"/>
        <v>Q2</v>
      </c>
      <c r="AB470" s="28" t="str">
        <f t="shared" si="80"/>
        <v>Jun</v>
      </c>
      <c r="AC470" s="28" t="str">
        <f t="shared" si="81"/>
        <v>2025</v>
      </c>
    </row>
    <row r="471" spans="1:29" x14ac:dyDescent="0.25">
      <c r="A471" s="4" t="s">
        <v>483</v>
      </c>
      <c r="B471" s="14">
        <v>45739</v>
      </c>
      <c r="C471" s="14">
        <v>45749</v>
      </c>
      <c r="D471" s="16">
        <f t="shared" si="73"/>
        <v>10</v>
      </c>
      <c r="E471" s="4" t="s">
        <v>649</v>
      </c>
      <c r="F471" s="4" t="s">
        <v>656</v>
      </c>
      <c r="G471" s="4" t="s">
        <v>671</v>
      </c>
      <c r="H471" s="4" t="s">
        <v>706</v>
      </c>
      <c r="I471" s="4" t="s">
        <v>708</v>
      </c>
      <c r="J471" s="4" t="s">
        <v>718</v>
      </c>
      <c r="K471" s="4" t="s">
        <v>728</v>
      </c>
      <c r="L471" s="4" t="s">
        <v>1202</v>
      </c>
      <c r="M471" s="9">
        <v>17</v>
      </c>
      <c r="N471" s="16">
        <f>ROUND(IF('Dashboard Visualization'!$U$3="",'Working Data'!$M471,'Working Data'!$M471*(100% +'Dashboard Visualization'!$U$3)),0)</f>
        <v>17</v>
      </c>
      <c r="O471" s="19">
        <v>663.61</v>
      </c>
      <c r="P471" s="20">
        <f>IF('Dashboard Visualization'!$U$2="",'Working Data'!$O471*'Working Data'!$N471,'Working Data'!$O471*'Working Data'!$N471*(100%+'Dashboard Visualization'!$U$2))</f>
        <v>11281.37</v>
      </c>
      <c r="Q471" s="19">
        <v>1002.11</v>
      </c>
      <c r="R471" s="20">
        <f t="shared" si="74"/>
        <v>956.01293999999996</v>
      </c>
      <c r="S471" s="11">
        <v>4.5999999999999999E-2</v>
      </c>
      <c r="T471" s="22">
        <f>IF('Dashboard Visualization'!$U$1="",$S471,IF(S471&gt;'Dashboard Visualization'!$U$1,'Dashboard Visualization'!$U$1,S471))</f>
        <v>4.5999999999999999E-2</v>
      </c>
      <c r="U471" s="20">
        <f t="shared" si="75"/>
        <v>15504.617860919998</v>
      </c>
      <c r="V471" s="20">
        <f t="shared" si="76"/>
        <v>4223.247860919997</v>
      </c>
      <c r="W471" s="22">
        <f t="shared" si="72"/>
        <v>0.27238645278480939</v>
      </c>
      <c r="X471" s="28" t="str">
        <f>TEXT(B471,"MMM-YYYY")</f>
        <v>Mar-2025</v>
      </c>
      <c r="Y471" s="7" t="str">
        <f t="shared" si="77"/>
        <v>Q1-2025</v>
      </c>
      <c r="Z471" s="7" t="str">
        <f t="shared" si="78"/>
        <v>High Price</v>
      </c>
      <c r="AA471" s="7" t="str">
        <f t="shared" si="79"/>
        <v>Q1</v>
      </c>
      <c r="AB471" s="28" t="str">
        <f t="shared" si="80"/>
        <v>Mar</v>
      </c>
      <c r="AC471" s="28" t="str">
        <f t="shared" si="81"/>
        <v>2025</v>
      </c>
    </row>
    <row r="472" spans="1:29" x14ac:dyDescent="0.25">
      <c r="A472" s="4" t="s">
        <v>484</v>
      </c>
      <c r="B472" s="14">
        <v>45060</v>
      </c>
      <c r="C472" s="14">
        <v>45068</v>
      </c>
      <c r="D472" s="16">
        <f t="shared" si="73"/>
        <v>8</v>
      </c>
      <c r="E472" s="4" t="s">
        <v>646</v>
      </c>
      <c r="F472" s="4" t="s">
        <v>650</v>
      </c>
      <c r="G472" s="4" t="s">
        <v>675</v>
      </c>
      <c r="H472" s="4" t="s">
        <v>705</v>
      </c>
      <c r="I472" s="4" t="s">
        <v>710</v>
      </c>
      <c r="J472" s="4" t="s">
        <v>721</v>
      </c>
      <c r="K472" s="4" t="s">
        <v>728</v>
      </c>
      <c r="L472" s="4" t="s">
        <v>1203</v>
      </c>
      <c r="M472" s="9">
        <v>12</v>
      </c>
      <c r="N472" s="16">
        <f>ROUND(IF('Dashboard Visualization'!$U$3="",'Working Data'!$M472,'Working Data'!$M472*(100% +'Dashboard Visualization'!$U$3)),0)</f>
        <v>12</v>
      </c>
      <c r="O472" s="19">
        <v>432.01</v>
      </c>
      <c r="P472" s="20">
        <f>IF('Dashboard Visualization'!$U$2="",'Working Data'!$O472*'Working Data'!$N472,'Working Data'!$O472*'Working Data'!$N472*(100%+'Dashboard Visualization'!$U$2))</f>
        <v>5184.12</v>
      </c>
      <c r="Q472" s="19">
        <v>913.78</v>
      </c>
      <c r="R472" s="20">
        <f t="shared" si="74"/>
        <v>869.00477999999998</v>
      </c>
      <c r="S472" s="11">
        <v>4.9000000000000002E-2</v>
      </c>
      <c r="T472" s="22">
        <f>IF('Dashboard Visualization'!$U$1="",$S472,IF(S472&gt;'Dashboard Visualization'!$U$1,'Dashboard Visualization'!$U$1,S472))</f>
        <v>4.9000000000000002E-2</v>
      </c>
      <c r="U472" s="20">
        <f t="shared" si="75"/>
        <v>9917.0825493599987</v>
      </c>
      <c r="V472" s="20">
        <f t="shared" si="76"/>
        <v>4732.9625493599988</v>
      </c>
      <c r="W472" s="22">
        <f t="shared" si="72"/>
        <v>0.47725351945017758</v>
      </c>
      <c r="X472" s="28" t="str">
        <f>TEXT(B472,"MMM-YYYY")</f>
        <v>May-2023</v>
      </c>
      <c r="Y472" s="7" t="str">
        <f t="shared" si="77"/>
        <v>Q2-2023</v>
      </c>
      <c r="Z472" s="7" t="str">
        <f t="shared" si="78"/>
        <v>High Price</v>
      </c>
      <c r="AA472" s="7" t="str">
        <f t="shared" si="79"/>
        <v>Q2</v>
      </c>
      <c r="AB472" s="28" t="str">
        <f t="shared" si="80"/>
        <v>May</v>
      </c>
      <c r="AC472" s="28" t="str">
        <f t="shared" si="81"/>
        <v>2023</v>
      </c>
    </row>
    <row r="473" spans="1:29" x14ac:dyDescent="0.25">
      <c r="A473" s="4" t="s">
        <v>485</v>
      </c>
      <c r="B473" s="14">
        <v>45167</v>
      </c>
      <c r="C473" s="14">
        <v>45188</v>
      </c>
      <c r="D473" s="16">
        <f t="shared" si="73"/>
        <v>21</v>
      </c>
      <c r="E473" s="4" t="s">
        <v>649</v>
      </c>
      <c r="F473" s="4" t="s">
        <v>657</v>
      </c>
      <c r="G473" s="4" t="s">
        <v>679</v>
      </c>
      <c r="H473" s="4" t="s">
        <v>705</v>
      </c>
      <c r="I473" s="4" t="s">
        <v>711</v>
      </c>
      <c r="J473" s="4" t="s">
        <v>717</v>
      </c>
      <c r="K473" s="4" t="s">
        <v>728</v>
      </c>
      <c r="L473" s="4" t="s">
        <v>1204</v>
      </c>
      <c r="M473" s="9">
        <v>23</v>
      </c>
      <c r="N473" s="16">
        <f>ROUND(IF('Dashboard Visualization'!$U$3="",'Working Data'!$M473,'Working Data'!$M473*(100% +'Dashboard Visualization'!$U$3)),0)</f>
        <v>23</v>
      </c>
      <c r="O473" s="19">
        <v>784.46</v>
      </c>
      <c r="P473" s="20">
        <f>IF('Dashboard Visualization'!$U$2="",'Working Data'!$O473*'Working Data'!$N473,'Working Data'!$O473*'Working Data'!$N473*(100%+'Dashboard Visualization'!$U$2))</f>
        <v>18042.580000000002</v>
      </c>
      <c r="Q473" s="19">
        <v>1843.51</v>
      </c>
      <c r="R473" s="20">
        <f t="shared" si="74"/>
        <v>1589.10562</v>
      </c>
      <c r="S473" s="11">
        <v>0.13800000000000001</v>
      </c>
      <c r="T473" s="22">
        <f>IF('Dashboard Visualization'!$U$1="",$S473,IF(S473&gt;'Dashboard Visualization'!$U$1,'Dashboard Visualization'!$U$1,S473))</f>
        <v>0.13800000000000001</v>
      </c>
      <c r="U473" s="20">
        <f t="shared" si="75"/>
        <v>31505.608022119999</v>
      </c>
      <c r="V473" s="20">
        <f t="shared" si="76"/>
        <v>13463.028022119997</v>
      </c>
      <c r="W473" s="22">
        <f t="shared" si="72"/>
        <v>0.42732163787055444</v>
      </c>
      <c r="X473" s="28" t="str">
        <f>TEXT(B473,"MMM-YYYY")</f>
        <v>Aug-2023</v>
      </c>
      <c r="Y473" s="7" t="str">
        <f t="shared" si="77"/>
        <v>Q3-2023</v>
      </c>
      <c r="Z473" s="7" t="str">
        <f t="shared" si="78"/>
        <v>High Price</v>
      </c>
      <c r="AA473" s="7" t="str">
        <f t="shared" si="79"/>
        <v>Q3</v>
      </c>
      <c r="AB473" s="28" t="str">
        <f t="shared" si="80"/>
        <v>Aug</v>
      </c>
      <c r="AC473" s="28" t="str">
        <f t="shared" si="81"/>
        <v>2023</v>
      </c>
    </row>
    <row r="474" spans="1:29" x14ac:dyDescent="0.25">
      <c r="A474" s="4" t="s">
        <v>486</v>
      </c>
      <c r="B474" s="14">
        <v>45841</v>
      </c>
      <c r="C474" s="14">
        <v>45861</v>
      </c>
      <c r="D474" s="16">
        <f t="shared" si="73"/>
        <v>20</v>
      </c>
      <c r="E474" s="4" t="s">
        <v>647</v>
      </c>
      <c r="F474" s="4" t="s">
        <v>659</v>
      </c>
      <c r="G474" s="4" t="s">
        <v>699</v>
      </c>
      <c r="H474" s="4" t="s">
        <v>705</v>
      </c>
      <c r="I474" s="4" t="s">
        <v>708</v>
      </c>
      <c r="J474" s="4" t="s">
        <v>724</v>
      </c>
      <c r="K474" s="4" t="s">
        <v>727</v>
      </c>
      <c r="L474" s="4" t="s">
        <v>1205</v>
      </c>
      <c r="M474" s="9">
        <v>12</v>
      </c>
      <c r="N474" s="16">
        <f>ROUND(IF('Dashboard Visualization'!$U$3="",'Working Data'!$M474,'Working Data'!$M474*(100% +'Dashboard Visualization'!$U$3)),0)</f>
        <v>12</v>
      </c>
      <c r="O474" s="19">
        <v>647.36</v>
      </c>
      <c r="P474" s="20">
        <f>IF('Dashboard Visualization'!$U$2="",'Working Data'!$O474*'Working Data'!$N474,'Working Data'!$O474*'Working Data'!$N474*(100%+'Dashboard Visualization'!$U$2))</f>
        <v>7768.32</v>
      </c>
      <c r="Q474" s="19">
        <v>1383.6</v>
      </c>
      <c r="R474" s="20">
        <f t="shared" si="74"/>
        <v>1281.2136</v>
      </c>
      <c r="S474" s="11">
        <v>7.3999999999999996E-2</v>
      </c>
      <c r="T474" s="22">
        <f>IF('Dashboard Visualization'!$U$1="",$S474,IF(S474&gt;'Dashboard Visualization'!$U$1,'Dashboard Visualization'!$U$1,S474))</f>
        <v>7.3999999999999996E-2</v>
      </c>
      <c r="U474" s="20">
        <f t="shared" si="75"/>
        <v>14236.845523200001</v>
      </c>
      <c r="V474" s="20">
        <f t="shared" si="76"/>
        <v>6468.5255232000018</v>
      </c>
      <c r="W474" s="22">
        <f t="shared" si="72"/>
        <v>0.45435103672783811</v>
      </c>
      <c r="X474" s="28" t="str">
        <f>TEXT(B474,"MMM-YYYY")</f>
        <v>Jul-2025</v>
      </c>
      <c r="Y474" s="7" t="str">
        <f t="shared" si="77"/>
        <v>Q3-2025</v>
      </c>
      <c r="Z474" s="7" t="str">
        <f t="shared" si="78"/>
        <v>High Price</v>
      </c>
      <c r="AA474" s="7" t="str">
        <f t="shared" si="79"/>
        <v>Q3</v>
      </c>
      <c r="AB474" s="28" t="str">
        <f t="shared" si="80"/>
        <v>Jul</v>
      </c>
      <c r="AC474" s="28" t="str">
        <f t="shared" si="81"/>
        <v>2025</v>
      </c>
    </row>
    <row r="475" spans="1:29" x14ac:dyDescent="0.25">
      <c r="A475" s="4" t="s">
        <v>487</v>
      </c>
      <c r="B475" s="14">
        <v>45328</v>
      </c>
      <c r="C475" s="14">
        <v>45350</v>
      </c>
      <c r="D475" s="16">
        <f t="shared" si="73"/>
        <v>22</v>
      </c>
      <c r="E475" s="4" t="s">
        <v>646</v>
      </c>
      <c r="F475" s="4" t="s">
        <v>650</v>
      </c>
      <c r="G475" s="4" t="s">
        <v>662</v>
      </c>
      <c r="H475" s="4" t="s">
        <v>703</v>
      </c>
      <c r="I475" s="4" t="s">
        <v>708</v>
      </c>
      <c r="J475" s="4" t="s">
        <v>723</v>
      </c>
      <c r="K475" s="4" t="s">
        <v>732</v>
      </c>
      <c r="L475" s="4" t="s">
        <v>1206</v>
      </c>
      <c r="M475" s="9">
        <v>6</v>
      </c>
      <c r="N475" s="16">
        <f>ROUND(IF('Dashboard Visualization'!$U$3="",'Working Data'!$M475,'Working Data'!$M475*(100% +'Dashboard Visualization'!$U$3)),0)</f>
        <v>6</v>
      </c>
      <c r="O475" s="19">
        <v>834.93</v>
      </c>
      <c r="P475" s="20">
        <f>IF('Dashboard Visualization'!$U$2="",'Working Data'!$O475*'Working Data'!$N475,'Working Data'!$O475*'Working Data'!$N475*(100%+'Dashboard Visualization'!$U$2))</f>
        <v>5009.58</v>
      </c>
      <c r="Q475" s="19">
        <v>1588.53</v>
      </c>
      <c r="R475" s="20">
        <f t="shared" si="74"/>
        <v>1388.3752199999999</v>
      </c>
      <c r="S475" s="11">
        <v>0.126</v>
      </c>
      <c r="T475" s="22">
        <f>IF('Dashboard Visualization'!$U$1="",$S475,IF(S475&gt;'Dashboard Visualization'!$U$1,'Dashboard Visualization'!$U$1,S475))</f>
        <v>0.126</v>
      </c>
      <c r="U475" s="20">
        <f t="shared" si="75"/>
        <v>7280.6396536800003</v>
      </c>
      <c r="V475" s="20">
        <f t="shared" si="76"/>
        <v>2271.0596536800003</v>
      </c>
      <c r="W475" s="22">
        <f t="shared" si="72"/>
        <v>0.31193133594135414</v>
      </c>
      <c r="X475" s="28" t="str">
        <f>TEXT(B475,"MMM-YYYY")</f>
        <v>Feb-2024</v>
      </c>
      <c r="Y475" s="7" t="str">
        <f t="shared" si="77"/>
        <v>Q1-2024</v>
      </c>
      <c r="Z475" s="7" t="str">
        <f t="shared" si="78"/>
        <v>High Price</v>
      </c>
      <c r="AA475" s="7" t="str">
        <f t="shared" si="79"/>
        <v>Q1</v>
      </c>
      <c r="AB475" s="28" t="str">
        <f t="shared" si="80"/>
        <v>Feb</v>
      </c>
      <c r="AC475" s="28" t="str">
        <f t="shared" si="81"/>
        <v>2024</v>
      </c>
    </row>
    <row r="476" spans="1:29" x14ac:dyDescent="0.25">
      <c r="A476" s="4" t="s">
        <v>488</v>
      </c>
      <c r="B476" s="14">
        <v>45882</v>
      </c>
      <c r="C476" s="14">
        <v>45903</v>
      </c>
      <c r="D476" s="16">
        <f t="shared" si="73"/>
        <v>21</v>
      </c>
      <c r="E476" s="4" t="s">
        <v>649</v>
      </c>
      <c r="F476" s="4" t="s">
        <v>657</v>
      </c>
      <c r="G476" s="4" t="s">
        <v>690</v>
      </c>
      <c r="H476" s="4" t="s">
        <v>702</v>
      </c>
      <c r="I476" s="4" t="s">
        <v>707</v>
      </c>
      <c r="J476" s="4" t="s">
        <v>714</v>
      </c>
      <c r="K476" s="4" t="s">
        <v>730</v>
      </c>
      <c r="L476" s="4" t="s">
        <v>1207</v>
      </c>
      <c r="M476" s="9">
        <v>18</v>
      </c>
      <c r="N476" s="16">
        <f>ROUND(IF('Dashboard Visualization'!$U$3="",'Working Data'!$M476,'Working Data'!$M476*(100% +'Dashboard Visualization'!$U$3)),0)</f>
        <v>18</v>
      </c>
      <c r="O476" s="19">
        <v>603.47</v>
      </c>
      <c r="P476" s="20">
        <f>IF('Dashboard Visualization'!$U$2="",'Working Data'!$O476*'Working Data'!$N476,'Working Data'!$O476*'Working Data'!$N476*(100%+'Dashboard Visualization'!$U$2))</f>
        <v>10862.460000000001</v>
      </c>
      <c r="Q476" s="19">
        <v>1344.05</v>
      </c>
      <c r="R476" s="20">
        <f t="shared" si="74"/>
        <v>1068.5197499999999</v>
      </c>
      <c r="S476" s="11">
        <v>0.20499999999999999</v>
      </c>
      <c r="T476" s="22">
        <f>IF('Dashboard Visualization'!$U$1="",$S476,IF(S476&gt;'Dashboard Visualization'!$U$1,'Dashboard Visualization'!$U$1,S476))</f>
        <v>0.20499999999999999</v>
      </c>
      <c r="U476" s="20">
        <f t="shared" si="75"/>
        <v>15290.5176225</v>
      </c>
      <c r="V476" s="20">
        <f t="shared" si="76"/>
        <v>4428.0576224999986</v>
      </c>
      <c r="W476" s="22">
        <f t="shared" si="72"/>
        <v>0.28959501122343373</v>
      </c>
      <c r="X476" s="28" t="str">
        <f>TEXT(B476,"MMM-YYYY")</f>
        <v>Aug-2025</v>
      </c>
      <c r="Y476" s="7" t="str">
        <f t="shared" si="77"/>
        <v>Q3-2025</v>
      </c>
      <c r="Z476" s="7" t="str">
        <f t="shared" si="78"/>
        <v>High Price</v>
      </c>
      <c r="AA476" s="7" t="str">
        <f t="shared" si="79"/>
        <v>Q3</v>
      </c>
      <c r="AB476" s="28" t="str">
        <f t="shared" si="80"/>
        <v>Aug</v>
      </c>
      <c r="AC476" s="28" t="str">
        <f t="shared" si="81"/>
        <v>2025</v>
      </c>
    </row>
    <row r="477" spans="1:29" x14ac:dyDescent="0.25">
      <c r="A477" s="4" t="s">
        <v>489</v>
      </c>
      <c r="B477" s="14">
        <v>45069</v>
      </c>
      <c r="C477" s="14">
        <v>45071</v>
      </c>
      <c r="D477" s="16">
        <f t="shared" si="73"/>
        <v>2</v>
      </c>
      <c r="E477" s="4" t="s">
        <v>648</v>
      </c>
      <c r="F477" s="4" t="s">
        <v>655</v>
      </c>
      <c r="G477" s="4" t="s">
        <v>692</v>
      </c>
      <c r="H477" s="4" t="s">
        <v>706</v>
      </c>
      <c r="I477" s="4" t="s">
        <v>707</v>
      </c>
      <c r="J477" s="4" t="s">
        <v>724</v>
      </c>
      <c r="K477" s="4" t="s">
        <v>728</v>
      </c>
      <c r="L477" s="4" t="s">
        <v>1208</v>
      </c>
      <c r="M477" s="9">
        <v>22</v>
      </c>
      <c r="N477" s="16">
        <f>ROUND(IF('Dashboard Visualization'!$U$3="",'Working Data'!$M477,'Working Data'!$M477*(100% +'Dashboard Visualization'!$U$3)),0)</f>
        <v>22</v>
      </c>
      <c r="O477" s="19">
        <v>690.49</v>
      </c>
      <c r="P477" s="20">
        <f>IF('Dashboard Visualization'!$U$2="",'Working Data'!$O477*'Working Data'!$N477,'Working Data'!$O477*'Working Data'!$N477*(100%+'Dashboard Visualization'!$U$2))</f>
        <v>15190.78</v>
      </c>
      <c r="Q477" s="19">
        <v>1290.29</v>
      </c>
      <c r="R477" s="20">
        <f t="shared" si="74"/>
        <v>1236.09782</v>
      </c>
      <c r="S477" s="11">
        <v>4.2000000000000003E-2</v>
      </c>
      <c r="T477" s="22">
        <f>IF('Dashboard Visualization'!$U$1="",$S477,IF(S477&gt;'Dashboard Visualization'!$U$1,'Dashboard Visualization'!$U$1,S477))</f>
        <v>4.2000000000000003E-2</v>
      </c>
      <c r="U477" s="20">
        <f t="shared" si="75"/>
        <v>26051.997654319999</v>
      </c>
      <c r="V477" s="20">
        <f t="shared" si="76"/>
        <v>10861.217654319998</v>
      </c>
      <c r="W477" s="22">
        <f t="shared" si="72"/>
        <v>0.41690536742847312</v>
      </c>
      <c r="X477" s="28" t="str">
        <f>TEXT(B477,"MMM-YYYY")</f>
        <v>May-2023</v>
      </c>
      <c r="Y477" s="7" t="str">
        <f t="shared" si="77"/>
        <v>Q2-2023</v>
      </c>
      <c r="Z477" s="7" t="str">
        <f t="shared" si="78"/>
        <v>High Price</v>
      </c>
      <c r="AA477" s="7" t="str">
        <f t="shared" si="79"/>
        <v>Q2</v>
      </c>
      <c r="AB477" s="28" t="str">
        <f t="shared" si="80"/>
        <v>May</v>
      </c>
      <c r="AC477" s="28" t="str">
        <f t="shared" si="81"/>
        <v>2023</v>
      </c>
    </row>
    <row r="478" spans="1:29" x14ac:dyDescent="0.25">
      <c r="A478" s="4" t="s">
        <v>490</v>
      </c>
      <c r="B478" s="14">
        <v>45422</v>
      </c>
      <c r="C478" s="14">
        <v>45428</v>
      </c>
      <c r="D478" s="16">
        <f t="shared" si="73"/>
        <v>6</v>
      </c>
      <c r="E478" s="4" t="s">
        <v>649</v>
      </c>
      <c r="F478" s="4" t="s">
        <v>658</v>
      </c>
      <c r="G478" s="4" t="s">
        <v>674</v>
      </c>
      <c r="H478" s="4" t="s">
        <v>703</v>
      </c>
      <c r="I478" s="4" t="s">
        <v>711</v>
      </c>
      <c r="J478" s="4" t="s">
        <v>715</v>
      </c>
      <c r="K478" s="4" t="s">
        <v>731</v>
      </c>
      <c r="L478" s="4" t="s">
        <v>1209</v>
      </c>
      <c r="M478" s="9">
        <v>5</v>
      </c>
      <c r="N478" s="16">
        <f>ROUND(IF('Dashboard Visualization'!$U$3="",'Working Data'!$M478,'Working Data'!$M478*(100% +'Dashboard Visualization'!$U$3)),0)</f>
        <v>5</v>
      </c>
      <c r="O478" s="19">
        <v>210.76</v>
      </c>
      <c r="P478" s="20">
        <f>IF('Dashboard Visualization'!$U$2="",'Working Data'!$O478*'Working Data'!$N478,'Working Data'!$O478*'Working Data'!$N478*(100%+'Dashboard Visualization'!$U$2))</f>
        <v>1053.8</v>
      </c>
      <c r="Q478" s="19">
        <v>221.58</v>
      </c>
      <c r="R478" s="20">
        <f t="shared" si="74"/>
        <v>201.85938000000002</v>
      </c>
      <c r="S478" s="11">
        <v>8.8999999999999996E-2</v>
      </c>
      <c r="T478" s="22">
        <f>IF('Dashboard Visualization'!$U$1="",$S478,IF(S478&gt;'Dashboard Visualization'!$U$1,'Dashboard Visualization'!$U$1,S478))</f>
        <v>8.8999999999999996E-2</v>
      </c>
      <c r="U478" s="20">
        <f t="shared" si="75"/>
        <v>919.46947590000013</v>
      </c>
      <c r="V478" s="20">
        <f t="shared" si="76"/>
        <v>-134.33052409999982</v>
      </c>
      <c r="W478" s="22">
        <f t="shared" si="72"/>
        <v>0</v>
      </c>
      <c r="X478" s="28" t="str">
        <f>TEXT(B478,"MMM-YYYY")</f>
        <v>May-2024</v>
      </c>
      <c r="Y478" s="7" t="str">
        <f t="shared" si="77"/>
        <v>Q2-2024</v>
      </c>
      <c r="Z478" s="7" t="str">
        <f t="shared" si="78"/>
        <v>Low Price</v>
      </c>
      <c r="AA478" s="7" t="str">
        <f t="shared" si="79"/>
        <v>Q2</v>
      </c>
      <c r="AB478" s="28" t="str">
        <f t="shared" si="80"/>
        <v>May</v>
      </c>
      <c r="AC478" s="28" t="str">
        <f t="shared" si="81"/>
        <v>2024</v>
      </c>
    </row>
    <row r="479" spans="1:29" x14ac:dyDescent="0.25">
      <c r="A479" s="4" t="s">
        <v>491</v>
      </c>
      <c r="B479" s="14">
        <v>44999</v>
      </c>
      <c r="C479" s="14">
        <v>45003</v>
      </c>
      <c r="D479" s="16">
        <f t="shared" si="73"/>
        <v>4</v>
      </c>
      <c r="E479" s="4" t="s">
        <v>649</v>
      </c>
      <c r="F479" s="4" t="s">
        <v>656</v>
      </c>
      <c r="G479" s="4" t="s">
        <v>698</v>
      </c>
      <c r="H479" s="4" t="s">
        <v>706</v>
      </c>
      <c r="I479" s="4" t="s">
        <v>711</v>
      </c>
      <c r="J479" s="4" t="s">
        <v>720</v>
      </c>
      <c r="K479" s="4" t="s">
        <v>727</v>
      </c>
      <c r="L479" s="4" t="s">
        <v>1210</v>
      </c>
      <c r="M479" s="9">
        <v>14</v>
      </c>
      <c r="N479" s="16">
        <f>ROUND(IF('Dashboard Visualization'!$U$3="",'Working Data'!$M479,'Working Data'!$M479*(100% +'Dashboard Visualization'!$U$3)),0)</f>
        <v>14</v>
      </c>
      <c r="O479" s="19">
        <v>472.33</v>
      </c>
      <c r="P479" s="20">
        <f>IF('Dashboard Visualization'!$U$2="",'Working Data'!$O479*'Working Data'!$N479,'Working Data'!$O479*'Working Data'!$N479*(100%+'Dashboard Visualization'!$U$2))</f>
        <v>6612.62</v>
      </c>
      <c r="Q479" s="19">
        <v>360.34</v>
      </c>
      <c r="R479" s="20">
        <f t="shared" si="74"/>
        <v>300.88389999999998</v>
      </c>
      <c r="S479" s="11">
        <v>0.16500000000000001</v>
      </c>
      <c r="T479" s="22">
        <f>IF('Dashboard Visualization'!$U$1="",$S479,IF(S479&gt;'Dashboard Visualization'!$U$1,'Dashboard Visualization'!$U$1,S479))</f>
        <v>0.16500000000000001</v>
      </c>
      <c r="U479" s="20">
        <f t="shared" si="75"/>
        <v>3517.3327909999998</v>
      </c>
      <c r="V479" s="20">
        <f t="shared" si="76"/>
        <v>-3095.2872090000001</v>
      </c>
      <c r="W479" s="22">
        <f t="shared" si="72"/>
        <v>0</v>
      </c>
      <c r="X479" s="28" t="str">
        <f>TEXT(B479,"MMM-YYYY")</f>
        <v>Mar-2023</v>
      </c>
      <c r="Y479" s="7" t="str">
        <f t="shared" si="77"/>
        <v>Q1-2023</v>
      </c>
      <c r="Z479" s="7" t="str">
        <f t="shared" si="78"/>
        <v>Low Price</v>
      </c>
      <c r="AA479" s="7" t="str">
        <f t="shared" si="79"/>
        <v>Q1</v>
      </c>
      <c r="AB479" s="28" t="str">
        <f t="shared" si="80"/>
        <v>Mar</v>
      </c>
      <c r="AC479" s="28" t="str">
        <f t="shared" si="81"/>
        <v>2023</v>
      </c>
    </row>
    <row r="480" spans="1:29" x14ac:dyDescent="0.25">
      <c r="A480" s="4" t="s">
        <v>492</v>
      </c>
      <c r="B480" s="14">
        <v>45123</v>
      </c>
      <c r="C480" s="14">
        <v>45151</v>
      </c>
      <c r="D480" s="16">
        <f t="shared" si="73"/>
        <v>28</v>
      </c>
      <c r="E480" s="4" t="s">
        <v>649</v>
      </c>
      <c r="F480" s="4" t="s">
        <v>658</v>
      </c>
      <c r="G480" s="4" t="s">
        <v>693</v>
      </c>
      <c r="H480" s="4" t="s">
        <v>703</v>
      </c>
      <c r="I480" s="4" t="s">
        <v>708</v>
      </c>
      <c r="J480" s="4" t="s">
        <v>713</v>
      </c>
      <c r="K480" s="4" t="s">
        <v>731</v>
      </c>
      <c r="L480" s="4" t="s">
        <v>1211</v>
      </c>
      <c r="M480" s="9">
        <v>21</v>
      </c>
      <c r="N480" s="16">
        <f>ROUND(IF('Dashboard Visualization'!$U$3="",'Working Data'!$M480,'Working Data'!$M480*(100% +'Dashboard Visualization'!$U$3)),0)</f>
        <v>21</v>
      </c>
      <c r="O480" s="19">
        <v>1039.03</v>
      </c>
      <c r="P480" s="20">
        <f>IF('Dashboard Visualization'!$U$2="",'Working Data'!$O480*'Working Data'!$N480,'Working Data'!$O480*'Working Data'!$N480*(100%+'Dashboard Visualization'!$U$2))</f>
        <v>21819.63</v>
      </c>
      <c r="Q480" s="19">
        <v>2545.81</v>
      </c>
      <c r="R480" s="20">
        <f t="shared" si="74"/>
        <v>1995.9150400000001</v>
      </c>
      <c r="S480" s="11">
        <v>0.216</v>
      </c>
      <c r="T480" s="22">
        <f>IF('Dashboard Visualization'!$U$1="",$S480,IF(S480&gt;'Dashboard Visualization'!$U$1,'Dashboard Visualization'!$U$1,S480))</f>
        <v>0.216</v>
      </c>
      <c r="U480" s="20">
        <f t="shared" si="75"/>
        <v>32860.745218560005</v>
      </c>
      <c r="V480" s="20">
        <f t="shared" si="76"/>
        <v>11041.115218560004</v>
      </c>
      <c r="W480" s="22">
        <f t="shared" si="72"/>
        <v>0.33599710369087721</v>
      </c>
      <c r="X480" s="28" t="str">
        <f>TEXT(B480,"MMM-YYYY")</f>
        <v>Jul-2023</v>
      </c>
      <c r="Y480" s="7" t="str">
        <f t="shared" si="77"/>
        <v>Q3-2023</v>
      </c>
      <c r="Z480" s="7" t="str">
        <f t="shared" si="78"/>
        <v>Medium Price</v>
      </c>
      <c r="AA480" s="7" t="str">
        <f t="shared" si="79"/>
        <v>Q3</v>
      </c>
      <c r="AB480" s="28" t="str">
        <f t="shared" si="80"/>
        <v>Jul</v>
      </c>
      <c r="AC480" s="28" t="str">
        <f t="shared" si="81"/>
        <v>2023</v>
      </c>
    </row>
    <row r="481" spans="1:29" x14ac:dyDescent="0.25">
      <c r="A481" s="4" t="s">
        <v>493</v>
      </c>
      <c r="B481" s="14">
        <v>45032</v>
      </c>
      <c r="C481" s="14">
        <v>45035</v>
      </c>
      <c r="D481" s="16">
        <f t="shared" si="73"/>
        <v>3</v>
      </c>
      <c r="E481" s="4" t="s">
        <v>649</v>
      </c>
      <c r="F481" s="4" t="s">
        <v>656</v>
      </c>
      <c r="G481" s="4" t="s">
        <v>684</v>
      </c>
      <c r="H481" s="4" t="s">
        <v>701</v>
      </c>
      <c r="I481" s="4" t="s">
        <v>711</v>
      </c>
      <c r="J481" s="4" t="s">
        <v>717</v>
      </c>
      <c r="K481" s="4" t="s">
        <v>733</v>
      </c>
      <c r="L481" s="4" t="s">
        <v>1212</v>
      </c>
      <c r="M481" s="9">
        <v>33</v>
      </c>
      <c r="N481" s="16">
        <f>ROUND(IF('Dashboard Visualization'!$U$3="",'Working Data'!$M481,'Working Data'!$M481*(100% +'Dashboard Visualization'!$U$3)),0)</f>
        <v>33</v>
      </c>
      <c r="O481" s="19">
        <v>553.61</v>
      </c>
      <c r="P481" s="20">
        <f>IF('Dashboard Visualization'!$U$2="",'Working Data'!$O481*'Working Data'!$N481,'Working Data'!$O481*'Working Data'!$N481*(100%+'Dashboard Visualization'!$U$2))</f>
        <v>18269.13</v>
      </c>
      <c r="Q481" s="19">
        <v>699.47</v>
      </c>
      <c r="R481" s="20">
        <f t="shared" si="74"/>
        <v>685.48059999999998</v>
      </c>
      <c r="S481" s="11">
        <v>0.02</v>
      </c>
      <c r="T481" s="22">
        <f>IF('Dashboard Visualization'!$U$1="",$S481,IF(S481&gt;'Dashboard Visualization'!$U$1,'Dashboard Visualization'!$U$1,S481))</f>
        <v>0.02</v>
      </c>
      <c r="U481" s="20">
        <f t="shared" si="75"/>
        <v>22168.442604</v>
      </c>
      <c r="V481" s="20">
        <f t="shared" si="76"/>
        <v>3899.3126039999988</v>
      </c>
      <c r="W481" s="22">
        <f t="shared" si="72"/>
        <v>0.17589474703542862</v>
      </c>
      <c r="X481" s="28" t="str">
        <f>TEXT(B481,"MMM-YYYY")</f>
        <v>Apr-2023</v>
      </c>
      <c r="Y481" s="7" t="str">
        <f t="shared" si="77"/>
        <v>Q2-2023</v>
      </c>
      <c r="Z481" s="7" t="str">
        <f t="shared" si="78"/>
        <v>High Price</v>
      </c>
      <c r="AA481" s="7" t="str">
        <f t="shared" si="79"/>
        <v>Q2</v>
      </c>
      <c r="AB481" s="28" t="str">
        <f t="shared" si="80"/>
        <v>Apr</v>
      </c>
      <c r="AC481" s="28" t="str">
        <f t="shared" si="81"/>
        <v>2023</v>
      </c>
    </row>
    <row r="482" spans="1:29" x14ac:dyDescent="0.25">
      <c r="A482" s="4" t="s">
        <v>494</v>
      </c>
      <c r="B482" s="14">
        <v>45293</v>
      </c>
      <c r="C482" s="14">
        <v>45306</v>
      </c>
      <c r="D482" s="16">
        <f t="shared" si="73"/>
        <v>13</v>
      </c>
      <c r="E482" s="4" t="s">
        <v>647</v>
      </c>
      <c r="F482" s="4" t="s">
        <v>652</v>
      </c>
      <c r="G482" s="4" t="s">
        <v>694</v>
      </c>
      <c r="H482" s="4" t="s">
        <v>705</v>
      </c>
      <c r="I482" s="4" t="s">
        <v>709</v>
      </c>
      <c r="J482" s="4" t="s">
        <v>715</v>
      </c>
      <c r="K482" s="4" t="s">
        <v>729</v>
      </c>
      <c r="L482" s="4" t="s">
        <v>1213</v>
      </c>
      <c r="M482" s="9">
        <v>16</v>
      </c>
      <c r="N482" s="16">
        <f>ROUND(IF('Dashboard Visualization'!$U$3="",'Working Data'!$M482,'Working Data'!$M482*(100% +'Dashboard Visualization'!$U$3)),0)</f>
        <v>16</v>
      </c>
      <c r="O482" s="19">
        <v>1219.06</v>
      </c>
      <c r="P482" s="20">
        <f>IF('Dashboard Visualization'!$U$2="",'Working Data'!$O482*'Working Data'!$N482,'Working Data'!$O482*'Working Data'!$N482*(100%+'Dashboard Visualization'!$U$2))</f>
        <v>19504.96</v>
      </c>
      <c r="Q482" s="19">
        <v>2738.69</v>
      </c>
      <c r="R482" s="20">
        <f t="shared" si="74"/>
        <v>2530.5495600000004</v>
      </c>
      <c r="S482" s="11">
        <v>7.5999999999999998E-2</v>
      </c>
      <c r="T482" s="22">
        <f>IF('Dashboard Visualization'!$U$1="",$S482,IF(S482&gt;'Dashboard Visualization'!$U$1,'Dashboard Visualization'!$U$1,S482))</f>
        <v>7.5999999999999998E-2</v>
      </c>
      <c r="U482" s="20">
        <f t="shared" si="75"/>
        <v>37411.644695040006</v>
      </c>
      <c r="V482" s="20">
        <f t="shared" si="76"/>
        <v>17906.684695040007</v>
      </c>
      <c r="W482" s="22">
        <f t="shared" si="72"/>
        <v>0.47863933384928292</v>
      </c>
      <c r="X482" s="28" t="str">
        <f>TEXT(B482,"MMM-YYYY")</f>
        <v>Jan-2024</v>
      </c>
      <c r="Y482" s="7" t="str">
        <f t="shared" si="77"/>
        <v>Q1-2024</v>
      </c>
      <c r="Z482" s="7" t="str">
        <f t="shared" si="78"/>
        <v>Medium Price</v>
      </c>
      <c r="AA482" s="7" t="str">
        <f t="shared" si="79"/>
        <v>Q1</v>
      </c>
      <c r="AB482" s="28" t="str">
        <f t="shared" si="80"/>
        <v>Jan</v>
      </c>
      <c r="AC482" s="28" t="str">
        <f t="shared" si="81"/>
        <v>2024</v>
      </c>
    </row>
    <row r="483" spans="1:29" x14ac:dyDescent="0.25">
      <c r="A483" s="4" t="s">
        <v>495</v>
      </c>
      <c r="B483" s="14">
        <v>45538</v>
      </c>
      <c r="C483" s="14">
        <v>45542</v>
      </c>
      <c r="D483" s="16">
        <f t="shared" si="73"/>
        <v>4</v>
      </c>
      <c r="E483" s="4" t="s">
        <v>647</v>
      </c>
      <c r="F483" s="4" t="s">
        <v>652</v>
      </c>
      <c r="G483" s="4" t="s">
        <v>689</v>
      </c>
      <c r="H483" s="4" t="s">
        <v>705</v>
      </c>
      <c r="I483" s="4" t="s">
        <v>710</v>
      </c>
      <c r="J483" s="4" t="s">
        <v>725</v>
      </c>
      <c r="K483" s="4" t="s">
        <v>728</v>
      </c>
      <c r="L483" s="4" t="s">
        <v>1214</v>
      </c>
      <c r="M483" s="9">
        <v>55</v>
      </c>
      <c r="N483" s="16">
        <f>ROUND(IF('Dashboard Visualization'!$U$3="",'Working Data'!$M483,'Working Data'!$M483*(100% +'Dashboard Visualization'!$U$3)),0)</f>
        <v>55</v>
      </c>
      <c r="O483" s="19">
        <v>43.23</v>
      </c>
      <c r="P483" s="20">
        <f>IF('Dashboard Visualization'!$U$2="",'Working Data'!$O483*'Working Data'!$N483,'Working Data'!$O483*'Working Data'!$N483*(100%+'Dashboard Visualization'!$U$2))</f>
        <v>2377.6499999999996</v>
      </c>
      <c r="Q483" s="19">
        <v>94.78</v>
      </c>
      <c r="R483" s="20">
        <f t="shared" si="74"/>
        <v>86.155020000000007</v>
      </c>
      <c r="S483" s="11">
        <v>9.0999999999999998E-2</v>
      </c>
      <c r="T483" s="22">
        <f>IF('Dashboard Visualization'!$U$1="",$S483,IF(S483&gt;'Dashboard Visualization'!$U$1,'Dashboard Visualization'!$U$1,S483))</f>
        <v>9.0999999999999998E-2</v>
      </c>
      <c r="U483" s="20">
        <f t="shared" si="75"/>
        <v>4307.3202249000005</v>
      </c>
      <c r="V483" s="20">
        <f t="shared" si="76"/>
        <v>1929.6702249000009</v>
      </c>
      <c r="W483" s="22">
        <f t="shared" si="72"/>
        <v>0.44799785577697571</v>
      </c>
      <c r="X483" s="28" t="str">
        <f>TEXT(B483,"MMM-YYYY")</f>
        <v>Sep-2024</v>
      </c>
      <c r="Y483" s="7" t="str">
        <f t="shared" si="77"/>
        <v>Q3-2024</v>
      </c>
      <c r="Z483" s="7" t="str">
        <f t="shared" si="78"/>
        <v>Low Price</v>
      </c>
      <c r="AA483" s="7" t="str">
        <f t="shared" si="79"/>
        <v>Q3</v>
      </c>
      <c r="AB483" s="28" t="str">
        <f t="shared" si="80"/>
        <v>Sep</v>
      </c>
      <c r="AC483" s="28" t="str">
        <f t="shared" si="81"/>
        <v>2024</v>
      </c>
    </row>
    <row r="484" spans="1:29" x14ac:dyDescent="0.25">
      <c r="A484" s="4" t="s">
        <v>496</v>
      </c>
      <c r="B484" s="14">
        <v>45899</v>
      </c>
      <c r="C484" s="14">
        <v>45903</v>
      </c>
      <c r="D484" s="16">
        <f t="shared" si="73"/>
        <v>4</v>
      </c>
      <c r="E484" s="4" t="s">
        <v>649</v>
      </c>
      <c r="F484" s="4" t="s">
        <v>657</v>
      </c>
      <c r="G484" s="4" t="s">
        <v>673</v>
      </c>
      <c r="H484" s="4" t="s">
        <v>705</v>
      </c>
      <c r="I484" s="4" t="s">
        <v>709</v>
      </c>
      <c r="J484" s="4" t="s">
        <v>713</v>
      </c>
      <c r="K484" s="4" t="s">
        <v>731</v>
      </c>
      <c r="L484" s="4" t="s">
        <v>1215</v>
      </c>
      <c r="M484" s="9">
        <v>15</v>
      </c>
      <c r="N484" s="16">
        <f>ROUND(IF('Dashboard Visualization'!$U$3="",'Working Data'!$M484,'Working Data'!$M484*(100% +'Dashboard Visualization'!$U$3)),0)</f>
        <v>15</v>
      </c>
      <c r="O484" s="19">
        <v>1286.56</v>
      </c>
      <c r="P484" s="20">
        <f>IF('Dashboard Visualization'!$U$2="",'Working Data'!$O484*'Working Data'!$N484,'Working Data'!$O484*'Working Data'!$N484*(100%+'Dashboard Visualization'!$U$2))</f>
        <v>19298.399999999998</v>
      </c>
      <c r="Q484" s="19">
        <v>2777.35</v>
      </c>
      <c r="R484" s="20">
        <f t="shared" si="74"/>
        <v>2410.7397999999998</v>
      </c>
      <c r="S484" s="11">
        <v>0.13200000000000001</v>
      </c>
      <c r="T484" s="22">
        <f>IF('Dashboard Visualization'!$U$1="",$S484,IF(S484&gt;'Dashboard Visualization'!$U$1,'Dashboard Visualization'!$U$1,S484))</f>
        <v>0.13200000000000001</v>
      </c>
      <c r="U484" s="20">
        <f t="shared" si="75"/>
        <v>31387.832195999996</v>
      </c>
      <c r="V484" s="20">
        <f t="shared" si="76"/>
        <v>12089.432195999998</v>
      </c>
      <c r="W484" s="22">
        <f t="shared" si="72"/>
        <v>0.38516301860249691</v>
      </c>
      <c r="X484" s="28" t="str">
        <f>TEXT(B484,"MMM-YYYY")</f>
        <v>Aug-2025</v>
      </c>
      <c r="Y484" s="7" t="str">
        <f t="shared" si="77"/>
        <v>Q3-2025</v>
      </c>
      <c r="Z484" s="7" t="str">
        <f t="shared" si="78"/>
        <v>Medium Price</v>
      </c>
      <c r="AA484" s="7" t="str">
        <f t="shared" si="79"/>
        <v>Q3</v>
      </c>
      <c r="AB484" s="28" t="str">
        <f t="shared" si="80"/>
        <v>Aug</v>
      </c>
      <c r="AC484" s="28" t="str">
        <f t="shared" si="81"/>
        <v>2025</v>
      </c>
    </row>
    <row r="485" spans="1:29" x14ac:dyDescent="0.25">
      <c r="A485" s="4" t="s">
        <v>497</v>
      </c>
      <c r="B485" s="14">
        <v>45775</v>
      </c>
      <c r="C485" s="14">
        <v>45796</v>
      </c>
      <c r="D485" s="16">
        <f t="shared" si="73"/>
        <v>21</v>
      </c>
      <c r="E485" s="4" t="s">
        <v>649</v>
      </c>
      <c r="F485" s="4" t="s">
        <v>656</v>
      </c>
      <c r="G485" s="4" t="s">
        <v>671</v>
      </c>
      <c r="H485" s="4" t="s">
        <v>701</v>
      </c>
      <c r="I485" s="4" t="s">
        <v>710</v>
      </c>
      <c r="J485" s="4" t="s">
        <v>717</v>
      </c>
      <c r="K485" s="4" t="s">
        <v>730</v>
      </c>
      <c r="L485" s="4" t="s">
        <v>1216</v>
      </c>
      <c r="M485" s="9">
        <v>11</v>
      </c>
      <c r="N485" s="16">
        <f>ROUND(IF('Dashboard Visualization'!$U$3="",'Working Data'!$M485,'Working Data'!$M485*(100% +'Dashboard Visualization'!$U$3)),0)</f>
        <v>11</v>
      </c>
      <c r="O485" s="19">
        <v>350.76</v>
      </c>
      <c r="P485" s="20">
        <f>IF('Dashboard Visualization'!$U$2="",'Working Data'!$O485*'Working Data'!$N485,'Working Data'!$O485*'Working Data'!$N485*(100%+'Dashboard Visualization'!$U$2))</f>
        <v>3858.3599999999997</v>
      </c>
      <c r="Q485" s="19">
        <v>492.18</v>
      </c>
      <c r="R485" s="20">
        <f t="shared" si="74"/>
        <v>466.09445999999997</v>
      </c>
      <c r="S485" s="11">
        <v>5.2999999999999999E-2</v>
      </c>
      <c r="T485" s="22">
        <f>IF('Dashboard Visualization'!$U$1="",$S485,IF(S485&gt;'Dashboard Visualization'!$U$1,'Dashboard Visualization'!$U$1,S485))</f>
        <v>5.2999999999999999E-2</v>
      </c>
      <c r="U485" s="20">
        <f t="shared" si="75"/>
        <v>4855.305989819999</v>
      </c>
      <c r="V485" s="20">
        <f t="shared" si="76"/>
        <v>996.94598981999934</v>
      </c>
      <c r="W485" s="22">
        <f t="shared" si="72"/>
        <v>0.20533123801265493</v>
      </c>
      <c r="X485" s="28" t="str">
        <f>TEXT(B485,"MMM-YYYY")</f>
        <v>Apr-2025</v>
      </c>
      <c r="Y485" s="7" t="str">
        <f t="shared" si="77"/>
        <v>Q2-2025</v>
      </c>
      <c r="Z485" s="7" t="str">
        <f t="shared" si="78"/>
        <v>Low Price</v>
      </c>
      <c r="AA485" s="7" t="str">
        <f t="shared" si="79"/>
        <v>Q2</v>
      </c>
      <c r="AB485" s="28" t="str">
        <f t="shared" si="80"/>
        <v>Apr</v>
      </c>
      <c r="AC485" s="28" t="str">
        <f t="shared" si="81"/>
        <v>2025</v>
      </c>
    </row>
    <row r="486" spans="1:29" x14ac:dyDescent="0.25">
      <c r="A486" s="4" t="s">
        <v>498</v>
      </c>
      <c r="B486" s="14">
        <v>45148</v>
      </c>
      <c r="C486" s="14">
        <v>45153</v>
      </c>
      <c r="D486" s="16">
        <f t="shared" si="73"/>
        <v>5</v>
      </c>
      <c r="E486" s="4" t="s">
        <v>648</v>
      </c>
      <c r="F486" s="4" t="s">
        <v>655</v>
      </c>
      <c r="G486" s="4" t="s">
        <v>670</v>
      </c>
      <c r="H486" s="4" t="s">
        <v>702</v>
      </c>
      <c r="I486" s="4" t="s">
        <v>711</v>
      </c>
      <c r="J486" s="4" t="s">
        <v>715</v>
      </c>
      <c r="K486" s="4" t="s">
        <v>729</v>
      </c>
      <c r="L486" s="4" t="s">
        <v>1217</v>
      </c>
      <c r="M486" s="9">
        <v>13</v>
      </c>
      <c r="N486" s="16">
        <f>ROUND(IF('Dashboard Visualization'!$U$3="",'Working Data'!$M486,'Working Data'!$M486*(100% +'Dashboard Visualization'!$U$3)),0)</f>
        <v>13</v>
      </c>
      <c r="O486" s="19">
        <v>1307.52</v>
      </c>
      <c r="P486" s="20">
        <f>IF('Dashboard Visualization'!$U$2="",'Working Data'!$O486*'Working Data'!$N486,'Working Data'!$O486*'Working Data'!$N486*(100%+'Dashboard Visualization'!$U$2))</f>
        <v>16997.759999999998</v>
      </c>
      <c r="Q486" s="19">
        <v>1921.65</v>
      </c>
      <c r="R486" s="20">
        <f t="shared" si="74"/>
        <v>1685.2870500000001</v>
      </c>
      <c r="S486" s="11">
        <v>0.123</v>
      </c>
      <c r="T486" s="22">
        <f>IF('Dashboard Visualization'!$U$1="",$S486,IF(S486&gt;'Dashboard Visualization'!$U$1,'Dashboard Visualization'!$U$1,S486))</f>
        <v>0.123</v>
      </c>
      <c r="U486" s="20">
        <f t="shared" si="75"/>
        <v>19213.957657050003</v>
      </c>
      <c r="V486" s="20">
        <f t="shared" si="76"/>
        <v>2216.1976570500046</v>
      </c>
      <c r="W486" s="22">
        <f t="shared" si="72"/>
        <v>0.11534311132599147</v>
      </c>
      <c r="X486" s="28" t="str">
        <f>TEXT(B486,"MMM-YYYY")</f>
        <v>Aug-2023</v>
      </c>
      <c r="Y486" s="7" t="str">
        <f t="shared" si="77"/>
        <v>Q3-2023</v>
      </c>
      <c r="Z486" s="7" t="str">
        <f t="shared" si="78"/>
        <v>Medium Price</v>
      </c>
      <c r="AA486" s="7" t="str">
        <f t="shared" si="79"/>
        <v>Q3</v>
      </c>
      <c r="AB486" s="28" t="str">
        <f t="shared" si="80"/>
        <v>Aug</v>
      </c>
      <c r="AC486" s="28" t="str">
        <f t="shared" si="81"/>
        <v>2023</v>
      </c>
    </row>
    <row r="487" spans="1:29" x14ac:dyDescent="0.25">
      <c r="A487" s="4" t="s">
        <v>499</v>
      </c>
      <c r="B487" s="14">
        <v>45634</v>
      </c>
      <c r="C487" s="14">
        <v>45634</v>
      </c>
      <c r="D487" s="16">
        <f t="shared" si="73"/>
        <v>0</v>
      </c>
      <c r="E487" s="4" t="s">
        <v>649</v>
      </c>
      <c r="F487" s="4" t="s">
        <v>657</v>
      </c>
      <c r="G487" s="4" t="s">
        <v>679</v>
      </c>
      <c r="H487" s="4" t="s">
        <v>706</v>
      </c>
      <c r="I487" s="4" t="s">
        <v>707</v>
      </c>
      <c r="J487" s="4" t="s">
        <v>722</v>
      </c>
      <c r="K487" s="4" t="s">
        <v>727</v>
      </c>
      <c r="L487" s="4" t="s">
        <v>1218</v>
      </c>
      <c r="M487" s="9">
        <v>23</v>
      </c>
      <c r="N487" s="16">
        <f>ROUND(IF('Dashboard Visualization'!$U$3="",'Working Data'!$M487,'Working Data'!$M487*(100% +'Dashboard Visualization'!$U$3)),0)</f>
        <v>23</v>
      </c>
      <c r="O487" s="19">
        <v>257.44</v>
      </c>
      <c r="P487" s="20">
        <f>IF('Dashboard Visualization'!$U$2="",'Working Data'!$O487*'Working Data'!$N487,'Working Data'!$O487*'Working Data'!$N487*(100%+'Dashboard Visualization'!$U$2))</f>
        <v>5921.12</v>
      </c>
      <c r="Q487" s="19">
        <v>290.33</v>
      </c>
      <c r="R487" s="20">
        <f t="shared" si="74"/>
        <v>263.61964</v>
      </c>
      <c r="S487" s="11">
        <v>9.1999999999999998E-2</v>
      </c>
      <c r="T487" s="22">
        <f>IF('Dashboard Visualization'!$U$1="",$S487,IF(S487&gt;'Dashboard Visualization'!$U$1,'Dashboard Visualization'!$U$1,S487))</f>
        <v>9.1999999999999998E-2</v>
      </c>
      <c r="U487" s="20">
        <f t="shared" si="75"/>
        <v>5505.4325617600007</v>
      </c>
      <c r="V487" s="20">
        <f t="shared" si="76"/>
        <v>-415.68743823999921</v>
      </c>
      <c r="W487" s="22">
        <f t="shared" si="72"/>
        <v>0</v>
      </c>
      <c r="X487" s="28" t="str">
        <f>TEXT(B487,"MMM-YYYY")</f>
        <v>Dec-2024</v>
      </c>
      <c r="Y487" s="7" t="str">
        <f t="shared" si="77"/>
        <v>Q4-2024</v>
      </c>
      <c r="Z487" s="7" t="str">
        <f t="shared" si="78"/>
        <v>Low Price</v>
      </c>
      <c r="AA487" s="7" t="str">
        <f t="shared" si="79"/>
        <v>Q4</v>
      </c>
      <c r="AB487" s="28" t="str">
        <f t="shared" si="80"/>
        <v>Dec</v>
      </c>
      <c r="AC487" s="28" t="str">
        <f t="shared" si="81"/>
        <v>2024</v>
      </c>
    </row>
    <row r="488" spans="1:29" x14ac:dyDescent="0.25">
      <c r="A488" s="4" t="s">
        <v>500</v>
      </c>
      <c r="B488" s="14">
        <v>45224</v>
      </c>
      <c r="C488" s="14">
        <v>45254</v>
      </c>
      <c r="D488" s="16">
        <f t="shared" si="73"/>
        <v>30</v>
      </c>
      <c r="E488" s="4" t="s">
        <v>649</v>
      </c>
      <c r="F488" s="4" t="s">
        <v>657</v>
      </c>
      <c r="G488" s="4" t="s">
        <v>690</v>
      </c>
      <c r="H488" s="4" t="s">
        <v>706</v>
      </c>
      <c r="I488" s="4" t="s">
        <v>710</v>
      </c>
      <c r="J488" s="4" t="s">
        <v>712</v>
      </c>
      <c r="K488" s="4" t="s">
        <v>730</v>
      </c>
      <c r="L488" s="4" t="s">
        <v>1219</v>
      </c>
      <c r="M488" s="9">
        <v>11</v>
      </c>
      <c r="N488" s="16">
        <f>ROUND(IF('Dashboard Visualization'!$U$3="",'Working Data'!$M488,'Working Data'!$M488*(100% +'Dashboard Visualization'!$U$3)),0)</f>
        <v>11</v>
      </c>
      <c r="O488" s="19">
        <v>287.85000000000002</v>
      </c>
      <c r="P488" s="20">
        <f>IF('Dashboard Visualization'!$U$2="",'Working Data'!$O488*'Working Data'!$N488,'Working Data'!$O488*'Working Data'!$N488*(100%+'Dashboard Visualization'!$U$2))</f>
        <v>3166.3500000000004</v>
      </c>
      <c r="Q488" s="19">
        <v>602.91999999999996</v>
      </c>
      <c r="R488" s="20">
        <f t="shared" si="74"/>
        <v>469.07175999999998</v>
      </c>
      <c r="S488" s="11">
        <v>0.222</v>
      </c>
      <c r="T488" s="22">
        <f>IF('Dashboard Visualization'!$U$1="",$S488,IF(S488&gt;'Dashboard Visualization'!$U$1,'Dashboard Visualization'!$U$1,S488))</f>
        <v>0.222</v>
      </c>
      <c r="U488" s="20">
        <f t="shared" si="75"/>
        <v>4014.3161220800002</v>
      </c>
      <c r="V488" s="20">
        <f t="shared" si="76"/>
        <v>847.96612207999988</v>
      </c>
      <c r="W488" s="22">
        <f t="shared" si="72"/>
        <v>0.21123551217501774</v>
      </c>
      <c r="X488" s="28" t="str">
        <f>TEXT(B488,"MMM-YYYY")</f>
        <v>Oct-2023</v>
      </c>
      <c r="Y488" s="7" t="str">
        <f t="shared" si="77"/>
        <v>Q4-2023</v>
      </c>
      <c r="Z488" s="7" t="str">
        <f t="shared" si="78"/>
        <v>Low Price</v>
      </c>
      <c r="AA488" s="7" t="str">
        <f t="shared" si="79"/>
        <v>Q4</v>
      </c>
      <c r="AB488" s="28" t="str">
        <f t="shared" si="80"/>
        <v>Oct</v>
      </c>
      <c r="AC488" s="28" t="str">
        <f t="shared" si="81"/>
        <v>2023</v>
      </c>
    </row>
    <row r="489" spans="1:29" x14ac:dyDescent="0.25">
      <c r="A489" s="4" t="s">
        <v>501</v>
      </c>
      <c r="B489" s="14">
        <v>45613</v>
      </c>
      <c r="C489" s="14">
        <v>45624</v>
      </c>
      <c r="D489" s="16">
        <f t="shared" si="73"/>
        <v>11</v>
      </c>
      <c r="E489" s="4" t="s">
        <v>648</v>
      </c>
      <c r="F489" s="4" t="s">
        <v>653</v>
      </c>
      <c r="G489" s="12" t="s">
        <v>1430</v>
      </c>
      <c r="H489" s="4" t="s">
        <v>704</v>
      </c>
      <c r="I489" s="4" t="s">
        <v>710</v>
      </c>
      <c r="J489" s="4" t="s">
        <v>720</v>
      </c>
      <c r="K489" s="4" t="s">
        <v>728</v>
      </c>
      <c r="L489" s="4" t="s">
        <v>1220</v>
      </c>
      <c r="M489" s="9">
        <v>15</v>
      </c>
      <c r="N489" s="16">
        <f>ROUND(IF('Dashboard Visualization'!$U$3="",'Working Data'!$M489,'Working Data'!$M489*(100% +'Dashboard Visualization'!$U$3)),0)</f>
        <v>15</v>
      </c>
      <c r="O489" s="19">
        <v>1008.16</v>
      </c>
      <c r="P489" s="20">
        <f>IF('Dashboard Visualization'!$U$2="",'Working Data'!$O489*'Working Data'!$N489,'Working Data'!$O489*'Working Data'!$N489*(100%+'Dashboard Visualization'!$U$2))</f>
        <v>15122.4</v>
      </c>
      <c r="Q489" s="19">
        <v>2077.5</v>
      </c>
      <c r="R489" s="20">
        <f t="shared" si="74"/>
        <v>1923.7650000000001</v>
      </c>
      <c r="S489" s="11">
        <v>7.3999999999999996E-2</v>
      </c>
      <c r="T489" s="22">
        <f>IF('Dashboard Visualization'!$U$1="",$S489,IF(S489&gt;'Dashboard Visualization'!$U$1,'Dashboard Visualization'!$U$1,S489))</f>
        <v>7.3999999999999996E-2</v>
      </c>
      <c r="U489" s="20">
        <f t="shared" si="75"/>
        <v>26721.095850000002</v>
      </c>
      <c r="V489" s="20">
        <f t="shared" si="76"/>
        <v>11598.695850000002</v>
      </c>
      <c r="W489" s="22">
        <f t="shared" si="72"/>
        <v>0.4340651264869439</v>
      </c>
      <c r="X489" s="28" t="str">
        <f>TEXT(B489,"MMM-YYYY")</f>
        <v>Nov-2024</v>
      </c>
      <c r="Y489" s="7" t="str">
        <f t="shared" si="77"/>
        <v>Q4-2024</v>
      </c>
      <c r="Z489" s="7" t="str">
        <f t="shared" si="78"/>
        <v>Medium Price</v>
      </c>
      <c r="AA489" s="7" t="str">
        <f t="shared" si="79"/>
        <v>Q4</v>
      </c>
      <c r="AB489" s="28" t="str">
        <f t="shared" si="80"/>
        <v>Nov</v>
      </c>
      <c r="AC489" s="28" t="str">
        <f t="shared" si="81"/>
        <v>2024</v>
      </c>
    </row>
    <row r="490" spans="1:29" x14ac:dyDescent="0.25">
      <c r="A490" s="4" t="s">
        <v>502</v>
      </c>
      <c r="B490" s="14">
        <v>45424</v>
      </c>
      <c r="C490" s="14">
        <v>45436</v>
      </c>
      <c r="D490" s="16">
        <f t="shared" si="73"/>
        <v>12</v>
      </c>
      <c r="E490" s="4" t="s">
        <v>649</v>
      </c>
      <c r="F490" s="4" t="s">
        <v>658</v>
      </c>
      <c r="G490" s="4" t="s">
        <v>693</v>
      </c>
      <c r="H490" s="4" t="s">
        <v>702</v>
      </c>
      <c r="I490" s="4" t="s">
        <v>709</v>
      </c>
      <c r="J490" s="4" t="s">
        <v>723</v>
      </c>
      <c r="K490" s="4" t="s">
        <v>728</v>
      </c>
      <c r="L490" s="4" t="s">
        <v>1221</v>
      </c>
      <c r="M490" s="9">
        <v>29</v>
      </c>
      <c r="N490" s="16">
        <f>ROUND(IF('Dashboard Visualization'!$U$3="",'Working Data'!$M490,'Working Data'!$M490*(100% +'Dashboard Visualization'!$U$3)),0)</f>
        <v>29</v>
      </c>
      <c r="O490" s="19">
        <v>111.02</v>
      </c>
      <c r="P490" s="20">
        <f>IF('Dashboard Visualization'!$U$2="",'Working Data'!$O490*'Working Data'!$N490,'Working Data'!$O490*'Working Data'!$N490*(100%+'Dashboard Visualization'!$U$2))</f>
        <v>3219.58</v>
      </c>
      <c r="Q490" s="19">
        <v>172.88</v>
      </c>
      <c r="R490" s="20">
        <f t="shared" si="74"/>
        <v>138.82263999999998</v>
      </c>
      <c r="S490" s="11">
        <v>0.19700000000000001</v>
      </c>
      <c r="T490" s="22">
        <f>IF('Dashboard Visualization'!$U$1="",$S490,IF(S490&gt;'Dashboard Visualization'!$U$1,'Dashboard Visualization'!$U$1,S490))</f>
        <v>0.19700000000000001</v>
      </c>
      <c r="U490" s="20">
        <f t="shared" si="75"/>
        <v>3232.762817679999</v>
      </c>
      <c r="V490" s="20">
        <f t="shared" si="76"/>
        <v>13.182817679999062</v>
      </c>
      <c r="W490" s="22">
        <f t="shared" si="72"/>
        <v>4.0778796414949322E-3</v>
      </c>
      <c r="X490" s="28" t="str">
        <f>TEXT(B490,"MMM-YYYY")</f>
        <v>May-2024</v>
      </c>
      <c r="Y490" s="7" t="str">
        <f t="shared" si="77"/>
        <v>Q2-2024</v>
      </c>
      <c r="Z490" s="7" t="str">
        <f t="shared" si="78"/>
        <v>Low Price</v>
      </c>
      <c r="AA490" s="7" t="str">
        <f t="shared" si="79"/>
        <v>Q2</v>
      </c>
      <c r="AB490" s="28" t="str">
        <f t="shared" si="80"/>
        <v>May</v>
      </c>
      <c r="AC490" s="28" t="str">
        <f t="shared" si="81"/>
        <v>2024</v>
      </c>
    </row>
    <row r="491" spans="1:29" x14ac:dyDescent="0.25">
      <c r="A491" s="4" t="s">
        <v>503</v>
      </c>
      <c r="B491" s="14">
        <v>45792</v>
      </c>
      <c r="C491" s="14">
        <v>45813</v>
      </c>
      <c r="D491" s="16">
        <f t="shared" si="73"/>
        <v>21</v>
      </c>
      <c r="E491" s="4" t="s">
        <v>647</v>
      </c>
      <c r="F491" s="4" t="s">
        <v>652</v>
      </c>
      <c r="G491" s="4" t="s">
        <v>666</v>
      </c>
      <c r="H491" s="4" t="s">
        <v>706</v>
      </c>
      <c r="I491" s="4" t="s">
        <v>711</v>
      </c>
      <c r="J491" s="4" t="s">
        <v>722</v>
      </c>
      <c r="K491" s="4" t="s">
        <v>730</v>
      </c>
      <c r="L491" s="4" t="s">
        <v>1222</v>
      </c>
      <c r="M491" s="9">
        <v>4</v>
      </c>
      <c r="N491" s="16">
        <f>ROUND(IF('Dashboard Visualization'!$U$3="",'Working Data'!$M491,'Working Data'!$M491*(100% +'Dashboard Visualization'!$U$3)),0)</f>
        <v>4</v>
      </c>
      <c r="O491" s="19">
        <v>1466.5</v>
      </c>
      <c r="P491" s="20">
        <f>IF('Dashboard Visualization'!$U$2="",'Working Data'!$O491*'Working Data'!$N491,'Working Data'!$O491*'Working Data'!$N491*(100%+'Dashboard Visualization'!$U$2))</f>
        <v>5866</v>
      </c>
      <c r="Q491" s="19">
        <v>2778.74</v>
      </c>
      <c r="R491" s="20">
        <f t="shared" si="74"/>
        <v>2403.6100999999999</v>
      </c>
      <c r="S491" s="11">
        <v>0.13500000000000001</v>
      </c>
      <c r="T491" s="22">
        <f>IF('Dashboard Visualization'!$U$1="",$S491,IF(S491&gt;'Dashboard Visualization'!$U$1,'Dashboard Visualization'!$U$1,S491))</f>
        <v>0.13500000000000001</v>
      </c>
      <c r="U491" s="20">
        <f t="shared" si="75"/>
        <v>8316.4909459999999</v>
      </c>
      <c r="V491" s="20">
        <f t="shared" si="76"/>
        <v>2450.4909459999999</v>
      </c>
      <c r="W491" s="22">
        <f t="shared" si="72"/>
        <v>0.29465443561609572</v>
      </c>
      <c r="X491" s="28" t="str">
        <f>TEXT(B491,"MMM-YYYY")</f>
        <v>May-2025</v>
      </c>
      <c r="Y491" s="7" t="str">
        <f t="shared" si="77"/>
        <v>Q2-2025</v>
      </c>
      <c r="Z491" s="7" t="str">
        <f t="shared" si="78"/>
        <v>Medium Price</v>
      </c>
      <c r="AA491" s="7" t="str">
        <f t="shared" si="79"/>
        <v>Q2</v>
      </c>
      <c r="AB491" s="28" t="str">
        <f t="shared" si="80"/>
        <v>May</v>
      </c>
      <c r="AC491" s="28" t="str">
        <f t="shared" si="81"/>
        <v>2025</v>
      </c>
    </row>
    <row r="492" spans="1:29" x14ac:dyDescent="0.25">
      <c r="A492" s="4" t="s">
        <v>504</v>
      </c>
      <c r="B492" s="14">
        <v>45403</v>
      </c>
      <c r="C492" s="14">
        <v>45431</v>
      </c>
      <c r="D492" s="16">
        <f t="shared" si="73"/>
        <v>28</v>
      </c>
      <c r="E492" s="4" t="s">
        <v>646</v>
      </c>
      <c r="F492" s="4" t="s">
        <v>651</v>
      </c>
      <c r="G492" s="4" t="s">
        <v>665</v>
      </c>
      <c r="H492" s="4" t="s">
        <v>701</v>
      </c>
      <c r="I492" s="4" t="s">
        <v>710</v>
      </c>
      <c r="J492" s="4" t="s">
        <v>720</v>
      </c>
      <c r="K492" s="4" t="s">
        <v>733</v>
      </c>
      <c r="L492" s="4" t="s">
        <v>1223</v>
      </c>
      <c r="M492" s="9">
        <v>5</v>
      </c>
      <c r="N492" s="16">
        <f>ROUND(IF('Dashboard Visualization'!$U$3="",'Working Data'!$M492,'Working Data'!$M492*(100% +'Dashboard Visualization'!$U$3)),0)</f>
        <v>5</v>
      </c>
      <c r="O492" s="19">
        <v>187.22</v>
      </c>
      <c r="P492" s="20">
        <f>IF('Dashboard Visualization'!$U$2="",'Working Data'!$O492*'Working Data'!$N492,'Working Data'!$O492*'Working Data'!$N492*(100%+'Dashboard Visualization'!$U$2))</f>
        <v>936.1</v>
      </c>
      <c r="Q492" s="19">
        <v>309.47000000000003</v>
      </c>
      <c r="R492" s="20">
        <f t="shared" si="74"/>
        <v>309.47000000000003</v>
      </c>
      <c r="S492" s="11">
        <v>0</v>
      </c>
      <c r="T492" s="22">
        <f>IF('Dashboard Visualization'!$U$1="",$S492,IF(S492&gt;'Dashboard Visualization'!$U$1,'Dashboard Visualization'!$U$1,S492))</f>
        <v>0</v>
      </c>
      <c r="U492" s="20">
        <f t="shared" si="75"/>
        <v>1547.3500000000001</v>
      </c>
      <c r="V492" s="20">
        <f t="shared" si="76"/>
        <v>611.25000000000011</v>
      </c>
      <c r="W492" s="22">
        <f t="shared" si="72"/>
        <v>0.39503021294471197</v>
      </c>
      <c r="X492" s="28" t="str">
        <f>TEXT(B492,"MMM-YYYY")</f>
        <v>Apr-2024</v>
      </c>
      <c r="Y492" s="7" t="str">
        <f t="shared" si="77"/>
        <v>Q2-2024</v>
      </c>
      <c r="Z492" s="7" t="str">
        <f t="shared" si="78"/>
        <v>Low Price</v>
      </c>
      <c r="AA492" s="7" t="str">
        <f t="shared" si="79"/>
        <v>Q2</v>
      </c>
      <c r="AB492" s="28" t="str">
        <f t="shared" si="80"/>
        <v>Apr</v>
      </c>
      <c r="AC492" s="28" t="str">
        <f t="shared" si="81"/>
        <v>2024</v>
      </c>
    </row>
    <row r="493" spans="1:29" x14ac:dyDescent="0.25">
      <c r="A493" s="4" t="s">
        <v>505</v>
      </c>
      <c r="B493" s="14">
        <v>45523</v>
      </c>
      <c r="C493" s="14">
        <v>45542</v>
      </c>
      <c r="D493" s="16">
        <f t="shared" si="73"/>
        <v>19</v>
      </c>
      <c r="E493" s="4" t="s">
        <v>649</v>
      </c>
      <c r="F493" s="4" t="s">
        <v>657</v>
      </c>
      <c r="G493" s="4" t="s">
        <v>679</v>
      </c>
      <c r="H493" s="4" t="s">
        <v>701</v>
      </c>
      <c r="I493" s="4" t="s">
        <v>711</v>
      </c>
      <c r="J493" s="4" t="s">
        <v>713</v>
      </c>
      <c r="K493" s="4" t="s">
        <v>727</v>
      </c>
      <c r="L493" s="4" t="s">
        <v>1224</v>
      </c>
      <c r="M493" s="9">
        <v>10</v>
      </c>
      <c r="N493" s="16">
        <f>ROUND(IF('Dashboard Visualization'!$U$3="",'Working Data'!$M493,'Working Data'!$M493*(100% +'Dashboard Visualization'!$U$3)),0)</f>
        <v>10</v>
      </c>
      <c r="O493" s="19">
        <v>297.58999999999997</v>
      </c>
      <c r="P493" s="20">
        <f>IF('Dashboard Visualization'!$U$2="",'Working Data'!$O493*'Working Data'!$N493,'Working Data'!$O493*'Working Data'!$N493*(100%+'Dashboard Visualization'!$U$2))</f>
        <v>2975.8999999999996</v>
      </c>
      <c r="Q493" s="19">
        <v>666.41</v>
      </c>
      <c r="R493" s="20">
        <f t="shared" si="74"/>
        <v>666.41</v>
      </c>
      <c r="S493" s="11">
        <v>0</v>
      </c>
      <c r="T493" s="22">
        <f>IF('Dashboard Visualization'!$U$1="",$S493,IF(S493&gt;'Dashboard Visualization'!$U$1,'Dashboard Visualization'!$U$1,S493))</f>
        <v>0</v>
      </c>
      <c r="U493" s="20">
        <f t="shared" si="75"/>
        <v>6664.0999999999995</v>
      </c>
      <c r="V493" s="20">
        <f t="shared" si="76"/>
        <v>3688.2</v>
      </c>
      <c r="W493" s="22">
        <f t="shared" si="72"/>
        <v>0.55344307558409989</v>
      </c>
      <c r="X493" s="28" t="str">
        <f>TEXT(B493,"MMM-YYYY")</f>
        <v>Aug-2024</v>
      </c>
      <c r="Y493" s="7" t="str">
        <f t="shared" si="77"/>
        <v>Q3-2024</v>
      </c>
      <c r="Z493" s="7" t="str">
        <f t="shared" si="78"/>
        <v>High Price</v>
      </c>
      <c r="AA493" s="7" t="str">
        <f t="shared" si="79"/>
        <v>Q3</v>
      </c>
      <c r="AB493" s="28" t="str">
        <f t="shared" si="80"/>
        <v>Aug</v>
      </c>
      <c r="AC493" s="28" t="str">
        <f t="shared" si="81"/>
        <v>2024</v>
      </c>
    </row>
    <row r="494" spans="1:29" x14ac:dyDescent="0.25">
      <c r="A494" s="4" t="s">
        <v>506</v>
      </c>
      <c r="B494" s="14">
        <v>45861</v>
      </c>
      <c r="C494" s="14">
        <v>45888</v>
      </c>
      <c r="D494" s="16">
        <f t="shared" si="73"/>
        <v>27</v>
      </c>
      <c r="E494" s="4" t="s">
        <v>647</v>
      </c>
      <c r="F494" s="4" t="s">
        <v>652</v>
      </c>
      <c r="G494" s="4" t="s">
        <v>694</v>
      </c>
      <c r="H494" s="4" t="s">
        <v>704</v>
      </c>
      <c r="I494" s="4" t="s">
        <v>709</v>
      </c>
      <c r="J494" s="4" t="s">
        <v>717</v>
      </c>
      <c r="K494" s="4" t="s">
        <v>733</v>
      </c>
      <c r="L494" s="4" t="s">
        <v>1225</v>
      </c>
      <c r="M494" s="9">
        <v>11</v>
      </c>
      <c r="N494" s="16">
        <f>ROUND(IF('Dashboard Visualization'!$U$3="",'Working Data'!$M494,'Working Data'!$M494*(100% +'Dashboard Visualization'!$U$3)),0)</f>
        <v>11</v>
      </c>
      <c r="O494" s="19">
        <v>896.09</v>
      </c>
      <c r="P494" s="20">
        <f>IF('Dashboard Visualization'!$U$2="",'Working Data'!$O494*'Working Data'!$N494,'Working Data'!$O494*'Working Data'!$N494*(100%+'Dashboard Visualization'!$U$2))</f>
        <v>9856.99</v>
      </c>
      <c r="Q494" s="19">
        <v>744.27</v>
      </c>
      <c r="R494" s="20">
        <f t="shared" si="74"/>
        <v>682.49558999999999</v>
      </c>
      <c r="S494" s="11">
        <v>8.3000000000000004E-2</v>
      </c>
      <c r="T494" s="22">
        <f>IF('Dashboard Visualization'!$U$1="",$S494,IF(S494&gt;'Dashboard Visualization'!$U$1,'Dashboard Visualization'!$U$1,S494))</f>
        <v>8.3000000000000004E-2</v>
      </c>
      <c r="U494" s="20">
        <f t="shared" si="75"/>
        <v>6884.3330163299997</v>
      </c>
      <c r="V494" s="20">
        <f t="shared" si="76"/>
        <v>-2972.65698367</v>
      </c>
      <c r="W494" s="22">
        <f t="shared" si="72"/>
        <v>0</v>
      </c>
      <c r="X494" s="28" t="str">
        <f>TEXT(B494,"MMM-YYYY")</f>
        <v>Jul-2025</v>
      </c>
      <c r="Y494" s="7" t="str">
        <f t="shared" si="77"/>
        <v>Q3-2025</v>
      </c>
      <c r="Z494" s="7" t="str">
        <f t="shared" si="78"/>
        <v>High Price</v>
      </c>
      <c r="AA494" s="7" t="str">
        <f t="shared" si="79"/>
        <v>Q3</v>
      </c>
      <c r="AB494" s="28" t="str">
        <f t="shared" si="80"/>
        <v>Jul</v>
      </c>
      <c r="AC494" s="28" t="str">
        <f t="shared" si="81"/>
        <v>2025</v>
      </c>
    </row>
    <row r="495" spans="1:29" x14ac:dyDescent="0.25">
      <c r="A495" s="4" t="s">
        <v>507</v>
      </c>
      <c r="B495" s="14">
        <v>45352</v>
      </c>
      <c r="C495" s="14">
        <v>45351</v>
      </c>
      <c r="D495" s="16" t="str">
        <f t="shared" si="73"/>
        <v/>
      </c>
      <c r="E495" s="4" t="s">
        <v>648</v>
      </c>
      <c r="F495" s="4" t="s">
        <v>655</v>
      </c>
      <c r="G495" s="4" t="s">
        <v>670</v>
      </c>
      <c r="H495" s="4" t="s">
        <v>703</v>
      </c>
      <c r="I495" s="4" t="s">
        <v>711</v>
      </c>
      <c r="J495" s="4" t="s">
        <v>714</v>
      </c>
      <c r="K495" s="4" t="s">
        <v>730</v>
      </c>
      <c r="L495" s="4" t="s">
        <v>1226</v>
      </c>
      <c r="M495" s="9">
        <v>10</v>
      </c>
      <c r="N495" s="16">
        <f>ROUND(IF('Dashboard Visualization'!$U$3="",'Working Data'!$M495,'Working Data'!$M495*(100% +'Dashboard Visualization'!$U$3)),0)</f>
        <v>10</v>
      </c>
      <c r="O495" s="19">
        <v>5.34</v>
      </c>
      <c r="P495" s="20">
        <f>IF('Dashboard Visualization'!$U$2="",'Working Data'!$O495*'Working Data'!$N495,'Working Data'!$O495*'Working Data'!$N495*(100%+'Dashboard Visualization'!$U$2))</f>
        <v>53.4</v>
      </c>
      <c r="Q495" s="19">
        <v>12.69</v>
      </c>
      <c r="R495" s="20">
        <f t="shared" si="74"/>
        <v>11.01492</v>
      </c>
      <c r="S495" s="11">
        <v>0.13200000000000001</v>
      </c>
      <c r="T495" s="22">
        <f>IF('Dashboard Visualization'!$U$1="",$S495,IF(S495&gt;'Dashboard Visualization'!$U$1,'Dashboard Visualization'!$U$1,S495))</f>
        <v>0.13200000000000001</v>
      </c>
      <c r="U495" s="20">
        <f t="shared" si="75"/>
        <v>95.609505600000006</v>
      </c>
      <c r="V495" s="20">
        <f t="shared" si="76"/>
        <v>42.209505600000007</v>
      </c>
      <c r="W495" s="22">
        <f t="shared" si="72"/>
        <v>0.44147812850943141</v>
      </c>
      <c r="X495" s="28" t="str">
        <f>TEXT(B495,"MMM-YYYY")</f>
        <v>Mar-2024</v>
      </c>
      <c r="Y495" s="7" t="str">
        <f t="shared" si="77"/>
        <v>Q1-2024</v>
      </c>
      <c r="Z495" s="7" t="str">
        <f t="shared" si="78"/>
        <v>Low Price</v>
      </c>
      <c r="AA495" s="7" t="str">
        <f t="shared" si="79"/>
        <v>Q1</v>
      </c>
      <c r="AB495" s="28" t="str">
        <f t="shared" si="80"/>
        <v>Mar</v>
      </c>
      <c r="AC495" s="28" t="str">
        <f t="shared" si="81"/>
        <v>2024</v>
      </c>
    </row>
    <row r="496" spans="1:29" x14ac:dyDescent="0.25">
      <c r="A496" s="4" t="s">
        <v>508</v>
      </c>
      <c r="B496" s="14">
        <v>45439</v>
      </c>
      <c r="C496" s="14">
        <v>45460</v>
      </c>
      <c r="D496" s="16">
        <f t="shared" si="73"/>
        <v>21</v>
      </c>
      <c r="E496" s="4" t="s">
        <v>647</v>
      </c>
      <c r="F496" s="4" t="s">
        <v>654</v>
      </c>
      <c r="G496" s="4" t="s">
        <v>680</v>
      </c>
      <c r="H496" s="4" t="s">
        <v>705</v>
      </c>
      <c r="I496" s="4" t="s">
        <v>708</v>
      </c>
      <c r="J496" s="4" t="s">
        <v>722</v>
      </c>
      <c r="K496" s="4" t="s">
        <v>733</v>
      </c>
      <c r="L496" s="4" t="s">
        <v>1227</v>
      </c>
      <c r="M496" s="9">
        <v>19</v>
      </c>
      <c r="N496" s="16">
        <f>ROUND(IF('Dashboard Visualization'!$U$3="",'Working Data'!$M496,'Working Data'!$M496*(100% +'Dashboard Visualization'!$U$3)),0)</f>
        <v>19</v>
      </c>
      <c r="O496" s="19">
        <v>465.02</v>
      </c>
      <c r="P496" s="20">
        <f>IF('Dashboard Visualization'!$U$2="",'Working Data'!$O496*'Working Data'!$N496,'Working Data'!$O496*'Working Data'!$N496*(100%+'Dashboard Visualization'!$U$2))</f>
        <v>8835.3799999999992</v>
      </c>
      <c r="Q496" s="19">
        <v>651.55999999999995</v>
      </c>
      <c r="R496" s="20">
        <f t="shared" si="74"/>
        <v>624.19447999999988</v>
      </c>
      <c r="S496" s="11">
        <v>4.2000000000000003E-2</v>
      </c>
      <c r="T496" s="22">
        <f>IF('Dashboard Visualization'!$U$1="",$S496,IF(S496&gt;'Dashboard Visualization'!$U$1,'Dashboard Visualization'!$U$1,S496))</f>
        <v>4.2000000000000003E-2</v>
      </c>
      <c r="U496" s="20">
        <f t="shared" si="75"/>
        <v>11361.587924959997</v>
      </c>
      <c r="V496" s="20">
        <f t="shared" si="76"/>
        <v>2526.2079249599974</v>
      </c>
      <c r="W496" s="22">
        <f t="shared" si="72"/>
        <v>0.22234637813348543</v>
      </c>
      <c r="X496" s="28" t="str">
        <f>TEXT(B496,"MMM-YYYY")</f>
        <v>May-2024</v>
      </c>
      <c r="Y496" s="7" t="str">
        <f t="shared" si="77"/>
        <v>Q2-2024</v>
      </c>
      <c r="Z496" s="7" t="str">
        <f t="shared" si="78"/>
        <v>High Price</v>
      </c>
      <c r="AA496" s="7" t="str">
        <f t="shared" si="79"/>
        <v>Q2</v>
      </c>
      <c r="AB496" s="28" t="str">
        <f t="shared" si="80"/>
        <v>May</v>
      </c>
      <c r="AC496" s="28" t="str">
        <f t="shared" si="81"/>
        <v>2024</v>
      </c>
    </row>
    <row r="497" spans="1:29" x14ac:dyDescent="0.25">
      <c r="A497" s="4" t="s">
        <v>509</v>
      </c>
      <c r="B497" s="14">
        <v>45508</v>
      </c>
      <c r="C497" s="14">
        <v>45521</v>
      </c>
      <c r="D497" s="16">
        <f t="shared" si="73"/>
        <v>13</v>
      </c>
      <c r="E497" s="4" t="s">
        <v>648</v>
      </c>
      <c r="F497" s="4" t="s">
        <v>660</v>
      </c>
      <c r="G497" s="4" t="s">
        <v>697</v>
      </c>
      <c r="H497" s="4" t="s">
        <v>704</v>
      </c>
      <c r="I497" s="4" t="s">
        <v>707</v>
      </c>
      <c r="J497" s="4" t="s">
        <v>726</v>
      </c>
      <c r="K497" s="4" t="s">
        <v>732</v>
      </c>
      <c r="L497" s="4" t="s">
        <v>1228</v>
      </c>
      <c r="M497" s="9">
        <v>7</v>
      </c>
      <c r="N497" s="16">
        <f>ROUND(IF('Dashboard Visualization'!$U$3="",'Working Data'!$M497,'Working Data'!$M497*(100% +'Dashboard Visualization'!$U$3)),0)</f>
        <v>7</v>
      </c>
      <c r="O497" s="19">
        <v>352.79</v>
      </c>
      <c r="P497" s="20">
        <f>IF('Dashboard Visualization'!$U$2="",'Working Data'!$O497*'Working Data'!$N497,'Working Data'!$O497*'Working Data'!$N497*(100%+'Dashboard Visualization'!$U$2))</f>
        <v>2469.5300000000002</v>
      </c>
      <c r="Q497" s="19">
        <v>754.22</v>
      </c>
      <c r="R497" s="20">
        <f t="shared" si="74"/>
        <v>668.99314000000004</v>
      </c>
      <c r="S497" s="11">
        <v>0.113</v>
      </c>
      <c r="T497" s="22">
        <f>IF('Dashboard Visualization'!$U$1="",$S497,IF(S497&gt;'Dashboard Visualization'!$U$1,'Dashboard Visualization'!$U$1,S497))</f>
        <v>0.113</v>
      </c>
      <c r="U497" s="20">
        <f t="shared" si="75"/>
        <v>4153.7784062600003</v>
      </c>
      <c r="V497" s="20">
        <f t="shared" si="76"/>
        <v>1684.2484062600001</v>
      </c>
      <c r="W497" s="22">
        <f t="shared" si="72"/>
        <v>0.40547382203194421</v>
      </c>
      <c r="X497" s="28" t="str">
        <f>TEXT(B497,"MMM-YYYY")</f>
        <v>Aug-2024</v>
      </c>
      <c r="Y497" s="7" t="str">
        <f t="shared" si="77"/>
        <v>Q3-2024</v>
      </c>
      <c r="Z497" s="7" t="str">
        <f t="shared" si="78"/>
        <v>High Price</v>
      </c>
      <c r="AA497" s="7" t="str">
        <f t="shared" si="79"/>
        <v>Q3</v>
      </c>
      <c r="AB497" s="28" t="str">
        <f t="shared" si="80"/>
        <v>Aug</v>
      </c>
      <c r="AC497" s="28" t="str">
        <f t="shared" si="81"/>
        <v>2024</v>
      </c>
    </row>
    <row r="498" spans="1:29" x14ac:dyDescent="0.25">
      <c r="A498" s="4" t="s">
        <v>510</v>
      </c>
      <c r="B498" s="14">
        <v>45097</v>
      </c>
      <c r="C498" s="14">
        <v>45111</v>
      </c>
      <c r="D498" s="16">
        <f t="shared" si="73"/>
        <v>14</v>
      </c>
      <c r="E498" s="4" t="s">
        <v>648</v>
      </c>
      <c r="F498" s="4" t="s">
        <v>655</v>
      </c>
      <c r="G498" s="4" t="s">
        <v>672</v>
      </c>
      <c r="H498" s="4" t="s">
        <v>703</v>
      </c>
      <c r="I498" s="4" t="s">
        <v>711</v>
      </c>
      <c r="J498" s="4" t="s">
        <v>712</v>
      </c>
      <c r="K498" s="4" t="s">
        <v>729</v>
      </c>
      <c r="L498" s="4" t="s">
        <v>1229</v>
      </c>
      <c r="M498" s="9">
        <v>12</v>
      </c>
      <c r="N498" s="16">
        <f>ROUND(IF('Dashboard Visualization'!$U$3="",'Working Data'!$M498,'Working Data'!$M498*(100% +'Dashboard Visualization'!$U$3)),0)</f>
        <v>12</v>
      </c>
      <c r="O498" s="19">
        <v>1292.8599999999999</v>
      </c>
      <c r="P498" s="20">
        <f>IF('Dashboard Visualization'!$U$2="",'Working Data'!$O498*'Working Data'!$N498,'Working Data'!$O498*'Working Data'!$N498*(100%+'Dashboard Visualization'!$U$2))</f>
        <v>15514.32</v>
      </c>
      <c r="Q498" s="19">
        <v>2981.01</v>
      </c>
      <c r="R498" s="20">
        <f t="shared" si="74"/>
        <v>2557.70658</v>
      </c>
      <c r="S498" s="11">
        <v>0.14199999999999999</v>
      </c>
      <c r="T498" s="22">
        <f>IF('Dashboard Visualization'!$U$1="",$S498,IF(S498&gt;'Dashboard Visualization'!$U$1,'Dashboard Visualization'!$U$1,S498))</f>
        <v>0.14199999999999999</v>
      </c>
      <c r="U498" s="20">
        <f t="shared" si="75"/>
        <v>26334.146947679998</v>
      </c>
      <c r="V498" s="20">
        <f t="shared" si="76"/>
        <v>10819.826947679998</v>
      </c>
      <c r="W498" s="22">
        <f t="shared" si="72"/>
        <v>0.410866809894262</v>
      </c>
      <c r="X498" s="28" t="str">
        <f>TEXT(B498,"MMM-YYYY")</f>
        <v>Jun-2023</v>
      </c>
      <c r="Y498" s="7" t="str">
        <f t="shared" si="77"/>
        <v>Q2-2023</v>
      </c>
      <c r="Z498" s="7" t="str">
        <f t="shared" si="78"/>
        <v>Medium Price</v>
      </c>
      <c r="AA498" s="7" t="str">
        <f t="shared" si="79"/>
        <v>Q2</v>
      </c>
      <c r="AB498" s="28" t="str">
        <f t="shared" si="80"/>
        <v>Jun</v>
      </c>
      <c r="AC498" s="28" t="str">
        <f t="shared" si="81"/>
        <v>2023</v>
      </c>
    </row>
    <row r="499" spans="1:29" x14ac:dyDescent="0.25">
      <c r="A499" s="4" t="s">
        <v>511</v>
      </c>
      <c r="B499" s="14">
        <v>45544</v>
      </c>
      <c r="C499" s="14">
        <v>45548</v>
      </c>
      <c r="D499" s="16">
        <f t="shared" si="73"/>
        <v>4</v>
      </c>
      <c r="E499" s="4" t="s">
        <v>649</v>
      </c>
      <c r="F499" s="4" t="s">
        <v>658</v>
      </c>
      <c r="G499" s="4" t="s">
        <v>683</v>
      </c>
      <c r="H499" s="4" t="s">
        <v>704</v>
      </c>
      <c r="I499" s="4" t="s">
        <v>709</v>
      </c>
      <c r="J499" s="4" t="s">
        <v>721</v>
      </c>
      <c r="K499" s="4" t="s">
        <v>729</v>
      </c>
      <c r="L499" s="4" t="s">
        <v>1230</v>
      </c>
      <c r="M499" s="9">
        <v>27</v>
      </c>
      <c r="N499" s="16">
        <f>ROUND(IF('Dashboard Visualization'!$U$3="",'Working Data'!$M499,'Working Data'!$M499*(100% +'Dashboard Visualization'!$U$3)),0)</f>
        <v>27</v>
      </c>
      <c r="O499" s="19">
        <v>1133.08</v>
      </c>
      <c r="P499" s="20">
        <f>IF('Dashboard Visualization'!$U$2="",'Working Data'!$O499*'Working Data'!$N499,'Working Data'!$O499*'Working Data'!$N499*(100%+'Dashboard Visualization'!$U$2))</f>
        <v>30593.159999999996</v>
      </c>
      <c r="Q499" s="19">
        <v>976.17</v>
      </c>
      <c r="R499" s="20">
        <f t="shared" si="74"/>
        <v>935.17085999999995</v>
      </c>
      <c r="S499" s="11">
        <v>4.2000000000000003E-2</v>
      </c>
      <c r="T499" s="22">
        <f>IF('Dashboard Visualization'!$U$1="",$S499,IF(S499&gt;'Dashboard Visualization'!$U$1,'Dashboard Visualization'!$U$1,S499))</f>
        <v>4.2000000000000003E-2</v>
      </c>
      <c r="U499" s="20">
        <f t="shared" si="75"/>
        <v>24189.129464759997</v>
      </c>
      <c r="V499" s="20">
        <f t="shared" si="76"/>
        <v>-6404.0305352399992</v>
      </c>
      <c r="W499" s="22">
        <f t="shared" si="72"/>
        <v>0</v>
      </c>
      <c r="X499" s="28" t="str">
        <f>TEXT(B499,"MMM-YYYY")</f>
        <v>Sep-2024</v>
      </c>
      <c r="Y499" s="7" t="str">
        <f t="shared" si="77"/>
        <v>Q3-2024</v>
      </c>
      <c r="Z499" s="7" t="str">
        <f t="shared" si="78"/>
        <v>High Price</v>
      </c>
      <c r="AA499" s="7" t="str">
        <f t="shared" si="79"/>
        <v>Q3</v>
      </c>
      <c r="AB499" s="28" t="str">
        <f t="shared" si="80"/>
        <v>Sep</v>
      </c>
      <c r="AC499" s="28" t="str">
        <f t="shared" si="81"/>
        <v>2024</v>
      </c>
    </row>
    <row r="500" spans="1:29" x14ac:dyDescent="0.25">
      <c r="A500" s="4" t="s">
        <v>512</v>
      </c>
      <c r="B500" s="14">
        <v>45224</v>
      </c>
      <c r="C500" s="14">
        <v>45227</v>
      </c>
      <c r="D500" s="16">
        <f t="shared" si="73"/>
        <v>3</v>
      </c>
      <c r="E500" s="4" t="s">
        <v>648</v>
      </c>
      <c r="F500" s="4" t="s">
        <v>655</v>
      </c>
      <c r="G500" s="4" t="s">
        <v>672</v>
      </c>
      <c r="H500" s="4" t="s">
        <v>701</v>
      </c>
      <c r="I500" s="4" t="s">
        <v>710</v>
      </c>
      <c r="J500" s="4" t="s">
        <v>716</v>
      </c>
      <c r="K500" s="4" t="s">
        <v>733</v>
      </c>
      <c r="L500" s="4" t="s">
        <v>1231</v>
      </c>
      <c r="M500" s="9">
        <v>8</v>
      </c>
      <c r="N500" s="16">
        <f>ROUND(IF('Dashboard Visualization'!$U$3="",'Working Data'!$M500,'Working Data'!$M500*(100% +'Dashboard Visualization'!$U$3)),0)</f>
        <v>8</v>
      </c>
      <c r="O500" s="19">
        <v>509.31</v>
      </c>
      <c r="P500" s="20">
        <f>IF('Dashboard Visualization'!$U$2="",'Working Data'!$O500*'Working Data'!$N500,'Working Data'!$O500*'Working Data'!$N500*(100%+'Dashboard Visualization'!$U$2))</f>
        <v>4074.48</v>
      </c>
      <c r="Q500" s="19">
        <v>1145.9000000000001</v>
      </c>
      <c r="R500" s="20">
        <f t="shared" si="74"/>
        <v>1080.5837000000001</v>
      </c>
      <c r="S500" s="11">
        <v>5.7000000000000002E-2</v>
      </c>
      <c r="T500" s="22">
        <f>IF('Dashboard Visualization'!$U$1="",$S500,IF(S500&gt;'Dashboard Visualization'!$U$1,'Dashboard Visualization'!$U$1,S500))</f>
        <v>5.7000000000000002E-2</v>
      </c>
      <c r="U500" s="20">
        <f t="shared" si="75"/>
        <v>8151.9234328000002</v>
      </c>
      <c r="V500" s="20">
        <f t="shared" si="76"/>
        <v>4077.4434328000002</v>
      </c>
      <c r="W500" s="22">
        <f t="shared" si="72"/>
        <v>0.50018176279650006</v>
      </c>
      <c r="X500" s="28" t="str">
        <f>TEXT(B500,"MMM-YYYY")</f>
        <v>Oct-2023</v>
      </c>
      <c r="Y500" s="7" t="str">
        <f t="shared" si="77"/>
        <v>Q4-2023</v>
      </c>
      <c r="Z500" s="7" t="str">
        <f t="shared" si="78"/>
        <v>High Price</v>
      </c>
      <c r="AA500" s="7" t="str">
        <f t="shared" si="79"/>
        <v>Q4</v>
      </c>
      <c r="AB500" s="28" t="str">
        <f t="shared" si="80"/>
        <v>Oct</v>
      </c>
      <c r="AC500" s="28" t="str">
        <f t="shared" si="81"/>
        <v>2023</v>
      </c>
    </row>
    <row r="501" spans="1:29" x14ac:dyDescent="0.25">
      <c r="A501" s="4" t="s">
        <v>513</v>
      </c>
      <c r="B501" s="14">
        <v>45908</v>
      </c>
      <c r="C501" s="14">
        <v>45935</v>
      </c>
      <c r="D501" s="16">
        <f t="shared" si="73"/>
        <v>27</v>
      </c>
      <c r="E501" s="4" t="s">
        <v>648</v>
      </c>
      <c r="F501" s="4" t="s">
        <v>655</v>
      </c>
      <c r="G501" s="4" t="s">
        <v>692</v>
      </c>
      <c r="H501" s="4" t="s">
        <v>702</v>
      </c>
      <c r="I501" s="4" t="s">
        <v>708</v>
      </c>
      <c r="J501" s="4" t="s">
        <v>712</v>
      </c>
      <c r="K501" s="4" t="s">
        <v>732</v>
      </c>
      <c r="L501" s="4" t="s">
        <v>1232</v>
      </c>
      <c r="M501" s="9">
        <v>13</v>
      </c>
      <c r="N501" s="16">
        <f>ROUND(IF('Dashboard Visualization'!$U$3="",'Working Data'!$M501,'Working Data'!$M501*(100% +'Dashboard Visualization'!$U$3)),0)</f>
        <v>13</v>
      </c>
      <c r="O501" s="19">
        <v>660.78</v>
      </c>
      <c r="P501" s="20">
        <f>IF('Dashboard Visualization'!$U$2="",'Working Data'!$O501*'Working Data'!$N501,'Working Data'!$O501*'Working Data'!$N501*(100%+'Dashboard Visualization'!$U$2))</f>
        <v>8590.14</v>
      </c>
      <c r="Q501" s="19">
        <v>1630.39</v>
      </c>
      <c r="R501" s="20">
        <f t="shared" si="74"/>
        <v>1274.9649800000002</v>
      </c>
      <c r="S501" s="11">
        <v>0.218</v>
      </c>
      <c r="T501" s="22">
        <f>IF('Dashboard Visualization'!$U$1="",$S501,IF(S501&gt;'Dashboard Visualization'!$U$1,'Dashboard Visualization'!$U$1,S501))</f>
        <v>0.218</v>
      </c>
      <c r="U501" s="20">
        <f t="shared" si="75"/>
        <v>12961.293986680002</v>
      </c>
      <c r="V501" s="20">
        <f t="shared" si="76"/>
        <v>4371.1539866800031</v>
      </c>
      <c r="W501" s="22">
        <f t="shared" si="72"/>
        <v>0.33724672792486066</v>
      </c>
      <c r="X501" s="28" t="str">
        <f>TEXT(B501,"MMM-YYYY")</f>
        <v>Sep-2025</v>
      </c>
      <c r="Y501" s="7" t="str">
        <f t="shared" si="77"/>
        <v>Q3-2025</v>
      </c>
      <c r="Z501" s="7" t="str">
        <f t="shared" si="78"/>
        <v>High Price</v>
      </c>
      <c r="AA501" s="7" t="str">
        <f t="shared" si="79"/>
        <v>Q3</v>
      </c>
      <c r="AB501" s="28" t="str">
        <f t="shared" si="80"/>
        <v>Sep</v>
      </c>
      <c r="AC501" s="28" t="str">
        <f t="shared" si="81"/>
        <v>2025</v>
      </c>
    </row>
    <row r="502" spans="1:29" x14ac:dyDescent="0.25">
      <c r="A502" s="4" t="s">
        <v>514</v>
      </c>
      <c r="B502" s="14">
        <v>45048</v>
      </c>
      <c r="C502" s="14">
        <v>45062</v>
      </c>
      <c r="D502" s="16">
        <f t="shared" si="73"/>
        <v>14</v>
      </c>
      <c r="E502" s="4" t="s">
        <v>647</v>
      </c>
      <c r="F502" s="4" t="s">
        <v>654</v>
      </c>
      <c r="G502" s="4" t="s">
        <v>668</v>
      </c>
      <c r="H502" s="4" t="s">
        <v>703</v>
      </c>
      <c r="I502" s="4" t="s">
        <v>707</v>
      </c>
      <c r="J502" s="4" t="s">
        <v>716</v>
      </c>
      <c r="K502" s="4" t="s">
        <v>732</v>
      </c>
      <c r="L502" s="4" t="s">
        <v>1233</v>
      </c>
      <c r="M502" s="9">
        <v>22</v>
      </c>
      <c r="N502" s="16">
        <f>ROUND(IF('Dashboard Visualization'!$U$3="",'Working Data'!$M502,'Working Data'!$M502*(100% +'Dashboard Visualization'!$U$3)),0)</f>
        <v>22</v>
      </c>
      <c r="O502" s="19">
        <v>475.37</v>
      </c>
      <c r="P502" s="20">
        <f>IF('Dashboard Visualization'!$U$2="",'Working Data'!$O502*'Working Data'!$N502,'Working Data'!$O502*'Working Data'!$N502*(100%+'Dashboard Visualization'!$U$2))</f>
        <v>10458.14</v>
      </c>
      <c r="Q502" s="19">
        <v>963.73</v>
      </c>
      <c r="R502" s="20">
        <f t="shared" si="74"/>
        <v>924.21707000000004</v>
      </c>
      <c r="S502" s="11">
        <v>4.1000000000000002E-2</v>
      </c>
      <c r="T502" s="22">
        <f>IF('Dashboard Visualization'!$U$1="",$S502,IF(S502&gt;'Dashboard Visualization'!$U$1,'Dashboard Visualization'!$U$1,S502))</f>
        <v>4.1000000000000002E-2</v>
      </c>
      <c r="U502" s="20">
        <f t="shared" si="75"/>
        <v>19499.131742859998</v>
      </c>
      <c r="V502" s="20">
        <f t="shared" si="76"/>
        <v>9040.9917428599983</v>
      </c>
      <c r="W502" s="22">
        <f t="shared" si="72"/>
        <v>0.46366124718196955</v>
      </c>
      <c r="X502" s="28" t="str">
        <f>TEXT(B502,"MMM-YYYY")</f>
        <v>May-2023</v>
      </c>
      <c r="Y502" s="7" t="str">
        <f t="shared" si="77"/>
        <v>Q2-2023</v>
      </c>
      <c r="Z502" s="7" t="str">
        <f t="shared" si="78"/>
        <v>High Price</v>
      </c>
      <c r="AA502" s="7" t="str">
        <f t="shared" si="79"/>
        <v>Q2</v>
      </c>
      <c r="AB502" s="28" t="str">
        <f t="shared" si="80"/>
        <v>May</v>
      </c>
      <c r="AC502" s="28" t="str">
        <f t="shared" si="81"/>
        <v>2023</v>
      </c>
    </row>
    <row r="503" spans="1:29" x14ac:dyDescent="0.25">
      <c r="A503" s="4" t="s">
        <v>515</v>
      </c>
      <c r="B503" s="14">
        <v>45408</v>
      </c>
      <c r="C503" s="14">
        <v>45406</v>
      </c>
      <c r="D503" s="16" t="str">
        <f t="shared" si="73"/>
        <v/>
      </c>
      <c r="E503" s="4" t="s">
        <v>649</v>
      </c>
      <c r="F503" s="4" t="s">
        <v>658</v>
      </c>
      <c r="G503" s="4" t="s">
        <v>683</v>
      </c>
      <c r="H503" s="4" t="s">
        <v>703</v>
      </c>
      <c r="I503" s="4" t="s">
        <v>710</v>
      </c>
      <c r="J503" s="4" t="s">
        <v>725</v>
      </c>
      <c r="K503" s="4" t="s">
        <v>730</v>
      </c>
      <c r="L503" s="4" t="s">
        <v>1234</v>
      </c>
      <c r="M503" s="9">
        <v>10</v>
      </c>
      <c r="N503" s="16">
        <f>ROUND(IF('Dashboard Visualization'!$U$3="",'Working Data'!$M503,'Working Data'!$M503*(100% +'Dashboard Visualization'!$U$3)),0)</f>
        <v>10</v>
      </c>
      <c r="O503" s="19">
        <v>1232.77</v>
      </c>
      <c r="P503" s="20">
        <f>IF('Dashboard Visualization'!$U$2="",'Working Data'!$O503*'Working Data'!$N503,'Working Data'!$O503*'Working Data'!$N503*(100%+'Dashboard Visualization'!$U$2))</f>
        <v>12327.7</v>
      </c>
      <c r="Q503" s="19">
        <v>891.73</v>
      </c>
      <c r="R503" s="20">
        <f t="shared" si="74"/>
        <v>742.81109000000004</v>
      </c>
      <c r="S503" s="11">
        <v>0.16700000000000001</v>
      </c>
      <c r="T503" s="22">
        <f>IF('Dashboard Visualization'!$U$1="",$S503,IF(S503&gt;'Dashboard Visualization'!$U$1,'Dashboard Visualization'!$U$1,S503))</f>
        <v>0.16700000000000001</v>
      </c>
      <c r="U503" s="20">
        <f t="shared" si="75"/>
        <v>6187.6163797000008</v>
      </c>
      <c r="V503" s="20">
        <f t="shared" si="76"/>
        <v>-6140.0836202999999</v>
      </c>
      <c r="W503" s="22">
        <f t="shared" si="72"/>
        <v>0</v>
      </c>
      <c r="X503" s="28" t="str">
        <f>TEXT(B503,"MMM-YYYY")</f>
        <v>Apr-2024</v>
      </c>
      <c r="Y503" s="7" t="str">
        <f t="shared" si="77"/>
        <v>Q2-2024</v>
      </c>
      <c r="Z503" s="7" t="str">
        <f t="shared" si="78"/>
        <v>High Price</v>
      </c>
      <c r="AA503" s="7" t="str">
        <f t="shared" si="79"/>
        <v>Q2</v>
      </c>
      <c r="AB503" s="28" t="str">
        <f t="shared" si="80"/>
        <v>Apr</v>
      </c>
      <c r="AC503" s="28" t="str">
        <f t="shared" si="81"/>
        <v>2024</v>
      </c>
    </row>
    <row r="504" spans="1:29" x14ac:dyDescent="0.25">
      <c r="A504" s="4" t="s">
        <v>516</v>
      </c>
      <c r="B504" s="14">
        <v>44980</v>
      </c>
      <c r="C504" s="14">
        <v>45003</v>
      </c>
      <c r="D504" s="16">
        <f t="shared" si="73"/>
        <v>23</v>
      </c>
      <c r="E504" s="4" t="s">
        <v>647</v>
      </c>
      <c r="F504" s="4" t="s">
        <v>659</v>
      </c>
      <c r="G504" s="4" t="s">
        <v>699</v>
      </c>
      <c r="H504" s="4" t="s">
        <v>702</v>
      </c>
      <c r="I504" s="4" t="s">
        <v>710</v>
      </c>
      <c r="J504" s="4" t="s">
        <v>723</v>
      </c>
      <c r="K504" s="4" t="s">
        <v>728</v>
      </c>
      <c r="L504" s="4" t="s">
        <v>1235</v>
      </c>
      <c r="M504" s="9">
        <v>7</v>
      </c>
      <c r="N504" s="16">
        <f>ROUND(IF('Dashboard Visualization'!$U$3="",'Working Data'!$M504,'Working Data'!$M504*(100% +'Dashboard Visualization'!$U$3)),0)</f>
        <v>7</v>
      </c>
      <c r="O504" s="19">
        <v>770.11</v>
      </c>
      <c r="P504" s="20">
        <f>IF('Dashboard Visualization'!$U$2="",'Working Data'!$O504*'Working Data'!$N504,'Working Data'!$O504*'Working Data'!$N504*(100%+'Dashboard Visualization'!$U$2))</f>
        <v>5390.77</v>
      </c>
      <c r="Q504" s="19">
        <v>1667.82</v>
      </c>
      <c r="R504" s="20">
        <f t="shared" si="74"/>
        <v>1552.7404200000001</v>
      </c>
      <c r="S504" s="11">
        <v>6.9000000000000006E-2</v>
      </c>
      <c r="T504" s="22">
        <f>IF('Dashboard Visualization'!$U$1="",$S504,IF(S504&gt;'Dashboard Visualization'!$U$1,'Dashboard Visualization'!$U$1,S504))</f>
        <v>6.9000000000000006E-2</v>
      </c>
      <c r="U504" s="20">
        <f t="shared" si="75"/>
        <v>10119.209317140001</v>
      </c>
      <c r="V504" s="20">
        <f t="shared" si="76"/>
        <v>4728.4393171400006</v>
      </c>
      <c r="W504" s="22">
        <f t="shared" si="72"/>
        <v>0.46727359509511585</v>
      </c>
      <c r="X504" s="28" t="str">
        <f>TEXT(B504,"MMM-YYYY")</f>
        <v>Feb-2023</v>
      </c>
      <c r="Y504" s="7" t="str">
        <f t="shared" si="77"/>
        <v>Q1-2023</v>
      </c>
      <c r="Z504" s="7" t="str">
        <f t="shared" si="78"/>
        <v>High Price</v>
      </c>
      <c r="AA504" s="7" t="str">
        <f t="shared" si="79"/>
        <v>Q1</v>
      </c>
      <c r="AB504" s="28" t="str">
        <f t="shared" si="80"/>
        <v>Feb</v>
      </c>
      <c r="AC504" s="28" t="str">
        <f t="shared" si="81"/>
        <v>2023</v>
      </c>
    </row>
    <row r="505" spans="1:29" x14ac:dyDescent="0.25">
      <c r="A505" s="4" t="s">
        <v>517</v>
      </c>
      <c r="B505" s="14">
        <v>45740</v>
      </c>
      <c r="C505" s="14">
        <v>45741</v>
      </c>
      <c r="D505" s="16">
        <f t="shared" si="73"/>
        <v>1</v>
      </c>
      <c r="E505" s="4" t="s">
        <v>647</v>
      </c>
      <c r="F505" s="4" t="s">
        <v>659</v>
      </c>
      <c r="G505" s="4" t="s">
        <v>699</v>
      </c>
      <c r="H505" s="4" t="s">
        <v>703</v>
      </c>
      <c r="I505" s="4" t="s">
        <v>708</v>
      </c>
      <c r="J505" s="4" t="s">
        <v>715</v>
      </c>
      <c r="K505" s="4" t="s">
        <v>729</v>
      </c>
      <c r="L505" s="4" t="s">
        <v>1236</v>
      </c>
      <c r="M505" s="9">
        <v>5</v>
      </c>
      <c r="N505" s="16">
        <f>ROUND(IF('Dashboard Visualization'!$U$3="",'Working Data'!$M505,'Working Data'!$M505*(100% +'Dashboard Visualization'!$U$3)),0)</f>
        <v>5</v>
      </c>
      <c r="O505" s="19">
        <v>1133.03</v>
      </c>
      <c r="P505" s="20">
        <f>IF('Dashboard Visualization'!$U$2="",'Working Data'!$O505*'Working Data'!$N505,'Working Data'!$O505*'Working Data'!$N505*(100%+'Dashboard Visualization'!$U$2))</f>
        <v>5665.15</v>
      </c>
      <c r="Q505" s="19">
        <v>1921.51</v>
      </c>
      <c r="R505" s="20">
        <f t="shared" si="74"/>
        <v>1727.43749</v>
      </c>
      <c r="S505" s="11">
        <v>0.10100000000000001</v>
      </c>
      <c r="T505" s="22">
        <f>IF('Dashboard Visualization'!$U$1="",$S505,IF(S505&gt;'Dashboard Visualization'!$U$1,'Dashboard Visualization'!$U$1,S505))</f>
        <v>0.10100000000000001</v>
      </c>
      <c r="U505" s="20">
        <f t="shared" si="75"/>
        <v>7764.8315175500002</v>
      </c>
      <c r="V505" s="20">
        <f t="shared" si="76"/>
        <v>2099.6815175500005</v>
      </c>
      <c r="W505" s="22">
        <f t="shared" si="72"/>
        <v>0.27040915347671357</v>
      </c>
      <c r="X505" s="28" t="str">
        <f>TEXT(B505,"MMM-YYYY")</f>
        <v>Mar-2025</v>
      </c>
      <c r="Y505" s="7" t="str">
        <f t="shared" si="77"/>
        <v>Q1-2025</v>
      </c>
      <c r="Z505" s="7" t="str">
        <f t="shared" si="78"/>
        <v>Medium Price</v>
      </c>
      <c r="AA505" s="7" t="str">
        <f t="shared" si="79"/>
        <v>Q1</v>
      </c>
      <c r="AB505" s="28" t="str">
        <f t="shared" si="80"/>
        <v>Mar</v>
      </c>
      <c r="AC505" s="28" t="str">
        <f t="shared" si="81"/>
        <v>2025</v>
      </c>
    </row>
    <row r="506" spans="1:29" x14ac:dyDescent="0.25">
      <c r="A506" s="4" t="s">
        <v>518</v>
      </c>
      <c r="B506" s="14">
        <v>45726</v>
      </c>
      <c r="C506" s="14">
        <v>45743</v>
      </c>
      <c r="D506" s="16">
        <f t="shared" si="73"/>
        <v>17</v>
      </c>
      <c r="E506" s="4" t="s">
        <v>648</v>
      </c>
      <c r="F506" s="4" t="s">
        <v>655</v>
      </c>
      <c r="G506" s="4" t="s">
        <v>692</v>
      </c>
      <c r="H506" s="4" t="s">
        <v>706</v>
      </c>
      <c r="I506" s="4" t="s">
        <v>711</v>
      </c>
      <c r="J506" s="4" t="s">
        <v>721</v>
      </c>
      <c r="K506" s="4" t="s">
        <v>729</v>
      </c>
      <c r="L506" s="4" t="s">
        <v>1237</v>
      </c>
      <c r="M506" s="9">
        <v>9</v>
      </c>
      <c r="N506" s="16">
        <f>ROUND(IF('Dashboard Visualization'!$U$3="",'Working Data'!$M506,'Working Data'!$M506*(100% +'Dashboard Visualization'!$U$3)),0)</f>
        <v>9</v>
      </c>
      <c r="O506" s="19">
        <v>996.73</v>
      </c>
      <c r="P506" s="20">
        <f>IF('Dashboard Visualization'!$U$2="",'Working Data'!$O506*'Working Data'!$N506,'Working Data'!$O506*'Working Data'!$N506*(100%+'Dashboard Visualization'!$U$2))</f>
        <v>8970.57</v>
      </c>
      <c r="Q506" s="19">
        <v>1217.43</v>
      </c>
      <c r="R506" s="20">
        <f t="shared" si="74"/>
        <v>1132.2099000000001</v>
      </c>
      <c r="S506" s="11">
        <v>7.0000000000000007E-2</v>
      </c>
      <c r="T506" s="22">
        <f>IF('Dashboard Visualization'!$U$1="",$S506,IF(S506&gt;'Dashboard Visualization'!$U$1,'Dashboard Visualization'!$U$1,S506))</f>
        <v>7.0000000000000007E-2</v>
      </c>
      <c r="U506" s="20">
        <f t="shared" si="75"/>
        <v>9476.5968629999988</v>
      </c>
      <c r="V506" s="20">
        <f t="shared" si="76"/>
        <v>506.02686299999914</v>
      </c>
      <c r="W506" s="22">
        <f t="shared" si="72"/>
        <v>5.3397529758357432E-2</v>
      </c>
      <c r="X506" s="28" t="str">
        <f>TEXT(B506,"MMM-YYYY")</f>
        <v>Mar-2025</v>
      </c>
      <c r="Y506" s="7" t="str">
        <f t="shared" si="77"/>
        <v>Q1-2025</v>
      </c>
      <c r="Z506" s="7" t="str">
        <f t="shared" si="78"/>
        <v>High Price</v>
      </c>
      <c r="AA506" s="7" t="str">
        <f t="shared" si="79"/>
        <v>Q1</v>
      </c>
      <c r="AB506" s="28" t="str">
        <f t="shared" si="80"/>
        <v>Mar</v>
      </c>
      <c r="AC506" s="28" t="str">
        <f t="shared" si="81"/>
        <v>2025</v>
      </c>
    </row>
    <row r="507" spans="1:29" x14ac:dyDescent="0.25">
      <c r="A507" s="4" t="s">
        <v>519</v>
      </c>
      <c r="B507" s="14">
        <v>45387</v>
      </c>
      <c r="C507" s="14">
        <v>45391</v>
      </c>
      <c r="D507" s="16">
        <f t="shared" si="73"/>
        <v>4</v>
      </c>
      <c r="E507" s="4" t="s">
        <v>646</v>
      </c>
      <c r="F507" s="4" t="s">
        <v>651</v>
      </c>
      <c r="G507" s="4" t="s">
        <v>665</v>
      </c>
      <c r="H507" s="4" t="s">
        <v>703</v>
      </c>
      <c r="I507" s="4" t="s">
        <v>711</v>
      </c>
      <c r="J507" s="4" t="s">
        <v>723</v>
      </c>
      <c r="K507" s="4" t="s">
        <v>727</v>
      </c>
      <c r="L507" s="4" t="s">
        <v>1238</v>
      </c>
      <c r="M507" s="9">
        <v>38</v>
      </c>
      <c r="N507" s="16">
        <f>ROUND(IF('Dashboard Visualization'!$U$3="",'Working Data'!$M507,'Working Data'!$M507*(100% +'Dashboard Visualization'!$U$3)),0)</f>
        <v>38</v>
      </c>
      <c r="O507" s="19">
        <v>395.07</v>
      </c>
      <c r="P507" s="20">
        <f>IF('Dashboard Visualization'!$U$2="",'Working Data'!$O507*'Working Data'!$N507,'Working Data'!$O507*'Working Data'!$N507*(100%+'Dashboard Visualization'!$U$2))</f>
        <v>15012.66</v>
      </c>
      <c r="Q507" s="19">
        <v>970.27</v>
      </c>
      <c r="R507" s="20">
        <f t="shared" si="74"/>
        <v>850.92678999999998</v>
      </c>
      <c r="S507" s="11">
        <v>0.123</v>
      </c>
      <c r="T507" s="22">
        <f>IF('Dashboard Visualization'!$U$1="",$S507,IF(S507&gt;'Dashboard Visualization'!$U$1,'Dashboard Visualization'!$U$1,S507))</f>
        <v>0.123</v>
      </c>
      <c r="U507" s="20">
        <f t="shared" si="75"/>
        <v>28357.98620354</v>
      </c>
      <c r="V507" s="20">
        <f t="shared" si="76"/>
        <v>13345.32620354</v>
      </c>
      <c r="W507" s="22">
        <f t="shared" si="72"/>
        <v>0.47060204161725944</v>
      </c>
      <c r="X507" s="28" t="str">
        <f>TEXT(B507,"MMM-YYYY")</f>
        <v>Apr-2024</v>
      </c>
      <c r="Y507" s="7" t="str">
        <f t="shared" si="77"/>
        <v>Q2-2024</v>
      </c>
      <c r="Z507" s="7" t="str">
        <f t="shared" si="78"/>
        <v>High Price</v>
      </c>
      <c r="AA507" s="7" t="str">
        <f t="shared" si="79"/>
        <v>Q2</v>
      </c>
      <c r="AB507" s="28" t="str">
        <f t="shared" si="80"/>
        <v>Apr</v>
      </c>
      <c r="AC507" s="28" t="str">
        <f t="shared" si="81"/>
        <v>2024</v>
      </c>
    </row>
    <row r="508" spans="1:29" x14ac:dyDescent="0.25">
      <c r="A508" s="4" t="s">
        <v>520</v>
      </c>
      <c r="B508" s="14">
        <v>45774</v>
      </c>
      <c r="C508" s="14">
        <v>45794</v>
      </c>
      <c r="D508" s="16">
        <f t="shared" si="73"/>
        <v>20</v>
      </c>
      <c r="E508" s="4" t="s">
        <v>648</v>
      </c>
      <c r="F508" s="4" t="s">
        <v>660</v>
      </c>
      <c r="G508" s="4" t="s">
        <v>697</v>
      </c>
      <c r="H508" s="4" t="s">
        <v>701</v>
      </c>
      <c r="I508" s="4" t="s">
        <v>711</v>
      </c>
      <c r="J508" s="4" t="s">
        <v>725</v>
      </c>
      <c r="K508" s="4" t="s">
        <v>730</v>
      </c>
      <c r="L508" s="4" t="s">
        <v>1239</v>
      </c>
      <c r="M508" s="9">
        <v>28</v>
      </c>
      <c r="N508" s="16">
        <f>ROUND(IF('Dashboard Visualization'!$U$3="",'Working Data'!$M508,'Working Data'!$M508*(100% +'Dashboard Visualization'!$U$3)),0)</f>
        <v>28</v>
      </c>
      <c r="O508" s="19">
        <v>932.26</v>
      </c>
      <c r="P508" s="20">
        <f>IF('Dashboard Visualization'!$U$2="",'Working Data'!$O508*'Working Data'!$N508,'Working Data'!$O508*'Working Data'!$N508*(100%+'Dashboard Visualization'!$U$2))</f>
        <v>26103.279999999999</v>
      </c>
      <c r="Q508" s="19">
        <v>1624.67</v>
      </c>
      <c r="R508" s="20">
        <f t="shared" si="74"/>
        <v>1242.87255</v>
      </c>
      <c r="S508" s="11">
        <v>0.23499999999999999</v>
      </c>
      <c r="T508" s="22">
        <f>IF('Dashboard Visualization'!$U$1="",$S508,IF(S508&gt;'Dashboard Visualization'!$U$1,'Dashboard Visualization'!$U$1,S508))</f>
        <v>0.23499999999999999</v>
      </c>
      <c r="U508" s="20">
        <f t="shared" si="75"/>
        <v>26622.330021000002</v>
      </c>
      <c r="V508" s="20">
        <f t="shared" si="76"/>
        <v>519.05002100000274</v>
      </c>
      <c r="W508" s="22">
        <f t="shared" si="72"/>
        <v>1.9496791625322429E-2</v>
      </c>
      <c r="X508" s="28" t="str">
        <f>TEXT(B508,"MMM-YYYY")</f>
        <v>Apr-2025</v>
      </c>
      <c r="Y508" s="7" t="str">
        <f t="shared" si="77"/>
        <v>Q2-2025</v>
      </c>
      <c r="Z508" s="7" t="str">
        <f t="shared" si="78"/>
        <v>High Price</v>
      </c>
      <c r="AA508" s="7" t="str">
        <f t="shared" si="79"/>
        <v>Q2</v>
      </c>
      <c r="AB508" s="28" t="str">
        <f t="shared" si="80"/>
        <v>Apr</v>
      </c>
      <c r="AC508" s="28" t="str">
        <f t="shared" si="81"/>
        <v>2025</v>
      </c>
    </row>
    <row r="509" spans="1:29" x14ac:dyDescent="0.25">
      <c r="A509" s="4" t="s">
        <v>521</v>
      </c>
      <c r="B509" s="14">
        <v>45589</v>
      </c>
      <c r="C509" s="14">
        <v>45593</v>
      </c>
      <c r="D509" s="16">
        <f t="shared" si="73"/>
        <v>4</v>
      </c>
      <c r="E509" s="4" t="s">
        <v>647</v>
      </c>
      <c r="F509" s="4" t="s">
        <v>659</v>
      </c>
      <c r="G509" s="4" t="s">
        <v>685</v>
      </c>
      <c r="H509" s="4" t="s">
        <v>705</v>
      </c>
      <c r="I509" s="4" t="s">
        <v>710</v>
      </c>
      <c r="J509" s="4" t="s">
        <v>714</v>
      </c>
      <c r="K509" s="4" t="s">
        <v>729</v>
      </c>
      <c r="L509" s="4" t="s">
        <v>1240</v>
      </c>
      <c r="M509" s="9">
        <v>6</v>
      </c>
      <c r="N509" s="16">
        <f>ROUND(IF('Dashboard Visualization'!$U$3="",'Working Data'!$M509,'Working Data'!$M509*(100% +'Dashboard Visualization'!$U$3)),0)</f>
        <v>6</v>
      </c>
      <c r="O509" s="19">
        <v>1331.77</v>
      </c>
      <c r="P509" s="20">
        <f>IF('Dashboard Visualization'!$U$2="",'Working Data'!$O509*'Working Data'!$N509,'Working Data'!$O509*'Working Data'!$N509*(100%+'Dashboard Visualization'!$U$2))</f>
        <v>7990.62</v>
      </c>
      <c r="Q509" s="19">
        <v>2606.11</v>
      </c>
      <c r="R509" s="20">
        <f t="shared" si="74"/>
        <v>2553.9877999999999</v>
      </c>
      <c r="S509" s="11">
        <v>0.02</v>
      </c>
      <c r="T509" s="22">
        <f>IF('Dashboard Visualization'!$U$1="",$S509,IF(S509&gt;'Dashboard Visualization'!$U$1,'Dashboard Visualization'!$U$1,S509))</f>
        <v>0.02</v>
      </c>
      <c r="U509" s="20">
        <f t="shared" si="75"/>
        <v>15017.448263999999</v>
      </c>
      <c r="V509" s="20">
        <f t="shared" si="76"/>
        <v>7026.8282639999989</v>
      </c>
      <c r="W509" s="22">
        <f t="shared" si="72"/>
        <v>0.4679109353647512</v>
      </c>
      <c r="X509" s="28" t="str">
        <f>TEXT(B509,"MMM-YYYY")</f>
        <v>Oct-2024</v>
      </c>
      <c r="Y509" s="7" t="str">
        <f t="shared" si="77"/>
        <v>Q4-2024</v>
      </c>
      <c r="Z509" s="7" t="str">
        <f t="shared" si="78"/>
        <v>Medium Price</v>
      </c>
      <c r="AA509" s="7" t="str">
        <f t="shared" si="79"/>
        <v>Q4</v>
      </c>
      <c r="AB509" s="28" t="str">
        <f t="shared" si="80"/>
        <v>Oct</v>
      </c>
      <c r="AC509" s="28" t="str">
        <f t="shared" si="81"/>
        <v>2024</v>
      </c>
    </row>
    <row r="510" spans="1:29" x14ac:dyDescent="0.25">
      <c r="A510" s="4" t="s">
        <v>522</v>
      </c>
      <c r="B510" s="14">
        <v>45029</v>
      </c>
      <c r="C510" s="14">
        <v>45036</v>
      </c>
      <c r="D510" s="16">
        <f t="shared" si="73"/>
        <v>7</v>
      </c>
      <c r="E510" s="4" t="s">
        <v>649</v>
      </c>
      <c r="F510" s="4" t="s">
        <v>657</v>
      </c>
      <c r="G510" s="4" t="s">
        <v>679</v>
      </c>
      <c r="H510" s="4" t="s">
        <v>705</v>
      </c>
      <c r="I510" s="4" t="s">
        <v>708</v>
      </c>
      <c r="J510" s="4" t="s">
        <v>720</v>
      </c>
      <c r="K510" s="4" t="s">
        <v>731</v>
      </c>
      <c r="L510" s="4" t="s">
        <v>1241</v>
      </c>
      <c r="M510" s="9">
        <v>10</v>
      </c>
      <c r="N510" s="16">
        <f>ROUND(IF('Dashboard Visualization'!$U$3="",'Working Data'!$M510,'Working Data'!$M510*(100% +'Dashboard Visualization'!$U$3)),0)</f>
        <v>10</v>
      </c>
      <c r="O510" s="19">
        <v>227.02</v>
      </c>
      <c r="P510" s="20">
        <f>IF('Dashboard Visualization'!$U$2="",'Working Data'!$O510*'Working Data'!$N510,'Working Data'!$O510*'Working Data'!$N510*(100%+'Dashboard Visualization'!$U$2))</f>
        <v>2270.2000000000003</v>
      </c>
      <c r="Q510" s="19">
        <v>434.72</v>
      </c>
      <c r="R510" s="20">
        <f t="shared" si="74"/>
        <v>392.11744000000004</v>
      </c>
      <c r="S510" s="11">
        <v>9.8000000000000004E-2</v>
      </c>
      <c r="T510" s="22">
        <f>IF('Dashboard Visualization'!$U$1="",$S510,IF(S510&gt;'Dashboard Visualization'!$U$1,'Dashboard Visualization'!$U$1,S510))</f>
        <v>9.8000000000000004E-2</v>
      </c>
      <c r="U510" s="20">
        <f t="shared" si="75"/>
        <v>3536.8993088000007</v>
      </c>
      <c r="V510" s="20">
        <f t="shared" si="76"/>
        <v>1266.6993088000004</v>
      </c>
      <c r="W510" s="22">
        <f t="shared" si="72"/>
        <v>0.35813835741616468</v>
      </c>
      <c r="X510" s="28" t="str">
        <f>TEXT(B510,"MMM-YYYY")</f>
        <v>Apr-2023</v>
      </c>
      <c r="Y510" s="7" t="str">
        <f t="shared" si="77"/>
        <v>Q2-2023</v>
      </c>
      <c r="Z510" s="7" t="str">
        <f t="shared" si="78"/>
        <v>Low Price</v>
      </c>
      <c r="AA510" s="7" t="str">
        <f t="shared" si="79"/>
        <v>Q2</v>
      </c>
      <c r="AB510" s="28" t="str">
        <f t="shared" si="80"/>
        <v>Apr</v>
      </c>
      <c r="AC510" s="28" t="str">
        <f t="shared" si="81"/>
        <v>2023</v>
      </c>
    </row>
    <row r="511" spans="1:29" x14ac:dyDescent="0.25">
      <c r="A511" s="4" t="s">
        <v>523</v>
      </c>
      <c r="B511" s="14">
        <v>45608</v>
      </c>
      <c r="C511" s="14">
        <v>45617</v>
      </c>
      <c r="D511" s="16">
        <f t="shared" si="73"/>
        <v>9</v>
      </c>
      <c r="E511" s="4" t="s">
        <v>647</v>
      </c>
      <c r="F511" s="4" t="s">
        <v>654</v>
      </c>
      <c r="G511" s="4" t="s">
        <v>691</v>
      </c>
      <c r="H511" s="4" t="s">
        <v>701</v>
      </c>
      <c r="I511" s="4" t="s">
        <v>711</v>
      </c>
      <c r="J511" s="4" t="s">
        <v>722</v>
      </c>
      <c r="K511" s="4" t="s">
        <v>731</v>
      </c>
      <c r="L511" s="4" t="s">
        <v>1242</v>
      </c>
      <c r="M511" s="9">
        <v>5</v>
      </c>
      <c r="N511" s="16">
        <f>ROUND(IF('Dashboard Visualization'!$U$3="",'Working Data'!$M511,'Working Data'!$M511*(100% +'Dashboard Visualization'!$U$3)),0)</f>
        <v>5</v>
      </c>
      <c r="O511" s="19">
        <v>903.41</v>
      </c>
      <c r="P511" s="20">
        <f>IF('Dashboard Visualization'!$U$2="",'Working Data'!$O511*'Working Data'!$N511,'Working Data'!$O511*'Working Data'!$N511*(100%+'Dashboard Visualization'!$U$2))</f>
        <v>4517.05</v>
      </c>
      <c r="Q511" s="19">
        <v>1860.41</v>
      </c>
      <c r="R511" s="20">
        <f t="shared" si="74"/>
        <v>1659.4857200000001</v>
      </c>
      <c r="S511" s="11">
        <v>0.108</v>
      </c>
      <c r="T511" s="22">
        <f>IF('Dashboard Visualization'!$U$1="",$S511,IF(S511&gt;'Dashboard Visualization'!$U$1,'Dashboard Visualization'!$U$1,S511))</f>
        <v>0.108</v>
      </c>
      <c r="U511" s="20">
        <f t="shared" si="75"/>
        <v>7401.3063112000009</v>
      </c>
      <c r="V511" s="20">
        <f t="shared" si="76"/>
        <v>2884.2563112000007</v>
      </c>
      <c r="W511" s="22">
        <f t="shared" si="72"/>
        <v>0.38969557398744731</v>
      </c>
      <c r="X511" s="28" t="str">
        <f>TEXT(B511,"MMM-YYYY")</f>
        <v>Nov-2024</v>
      </c>
      <c r="Y511" s="7" t="str">
        <f t="shared" si="77"/>
        <v>Q4-2024</v>
      </c>
      <c r="Z511" s="7" t="str">
        <f t="shared" si="78"/>
        <v>High Price</v>
      </c>
      <c r="AA511" s="7" t="str">
        <f t="shared" si="79"/>
        <v>Q4</v>
      </c>
      <c r="AB511" s="28" t="str">
        <f t="shared" si="80"/>
        <v>Nov</v>
      </c>
      <c r="AC511" s="28" t="str">
        <f t="shared" si="81"/>
        <v>2024</v>
      </c>
    </row>
    <row r="512" spans="1:29" x14ac:dyDescent="0.25">
      <c r="A512" s="4" t="s">
        <v>524</v>
      </c>
      <c r="B512" s="14">
        <v>45056</v>
      </c>
      <c r="C512" s="14">
        <v>45060</v>
      </c>
      <c r="D512" s="16">
        <f t="shared" si="73"/>
        <v>4</v>
      </c>
      <c r="E512" s="4" t="s">
        <v>647</v>
      </c>
      <c r="F512" s="4" t="s">
        <v>654</v>
      </c>
      <c r="G512" s="4" t="s">
        <v>680</v>
      </c>
      <c r="H512" s="4" t="s">
        <v>703</v>
      </c>
      <c r="I512" s="4" t="s">
        <v>710</v>
      </c>
      <c r="J512" s="4" t="s">
        <v>712</v>
      </c>
      <c r="K512" s="4" t="s">
        <v>732</v>
      </c>
      <c r="L512" s="4" t="s">
        <v>1243</v>
      </c>
      <c r="M512" s="9">
        <v>14</v>
      </c>
      <c r="N512" s="16">
        <f>ROUND(IF('Dashboard Visualization'!$U$3="",'Working Data'!$M512,'Working Data'!$M512*(100% +'Dashboard Visualization'!$U$3)),0)</f>
        <v>14</v>
      </c>
      <c r="O512" s="19">
        <v>622.6</v>
      </c>
      <c r="P512" s="20">
        <f>IF('Dashboard Visualization'!$U$2="",'Working Data'!$O512*'Working Data'!$N512,'Working Data'!$O512*'Working Data'!$N512*(100%+'Dashboard Visualization'!$U$2))</f>
        <v>8716.4</v>
      </c>
      <c r="Q512" s="19">
        <v>833.69</v>
      </c>
      <c r="R512" s="20">
        <f t="shared" si="74"/>
        <v>659.44879000000003</v>
      </c>
      <c r="S512" s="11">
        <v>0.20899999999999999</v>
      </c>
      <c r="T512" s="22">
        <f>IF('Dashboard Visualization'!$U$1="",$S512,IF(S512&gt;'Dashboard Visualization'!$U$1,'Dashboard Visualization'!$U$1,S512))</f>
        <v>0.20899999999999999</v>
      </c>
      <c r="U512" s="20">
        <f t="shared" si="75"/>
        <v>7302.7359004600012</v>
      </c>
      <c r="V512" s="20">
        <f t="shared" si="76"/>
        <v>-1413.6640995399985</v>
      </c>
      <c r="W512" s="22">
        <f t="shared" si="72"/>
        <v>0</v>
      </c>
      <c r="X512" s="28" t="str">
        <f>TEXT(B512,"MMM-YYYY")</f>
        <v>May-2023</v>
      </c>
      <c r="Y512" s="7" t="str">
        <f t="shared" si="77"/>
        <v>Q2-2023</v>
      </c>
      <c r="Z512" s="7" t="str">
        <f t="shared" si="78"/>
        <v>High Price</v>
      </c>
      <c r="AA512" s="7" t="str">
        <f t="shared" si="79"/>
        <v>Q2</v>
      </c>
      <c r="AB512" s="28" t="str">
        <f t="shared" si="80"/>
        <v>May</v>
      </c>
      <c r="AC512" s="28" t="str">
        <f t="shared" si="81"/>
        <v>2023</v>
      </c>
    </row>
    <row r="513" spans="1:29" x14ac:dyDescent="0.25">
      <c r="A513" s="4" t="s">
        <v>525</v>
      </c>
      <c r="B513" s="14">
        <v>45353</v>
      </c>
      <c r="C513" s="14">
        <v>45374</v>
      </c>
      <c r="D513" s="16">
        <f t="shared" si="73"/>
        <v>21</v>
      </c>
      <c r="E513" s="4" t="s">
        <v>648</v>
      </c>
      <c r="F513" s="4" t="s">
        <v>660</v>
      </c>
      <c r="G513" s="4" t="s">
        <v>677</v>
      </c>
      <c r="H513" s="4" t="s">
        <v>705</v>
      </c>
      <c r="I513" s="4" t="s">
        <v>708</v>
      </c>
      <c r="J513" s="4" t="s">
        <v>721</v>
      </c>
      <c r="K513" s="4" t="s">
        <v>727</v>
      </c>
      <c r="L513" s="4" t="s">
        <v>1244</v>
      </c>
      <c r="M513" s="9">
        <v>12</v>
      </c>
      <c r="N513" s="16">
        <f>ROUND(IF('Dashboard Visualization'!$U$3="",'Working Data'!$M513,'Working Data'!$M513*(100% +'Dashboard Visualization'!$U$3)),0)</f>
        <v>12</v>
      </c>
      <c r="O513" s="19">
        <v>225.01</v>
      </c>
      <c r="P513" s="20">
        <f>IF('Dashboard Visualization'!$U$2="",'Working Data'!$O513*'Working Data'!$N513,'Working Data'!$O513*'Working Data'!$N513*(100%+'Dashboard Visualization'!$U$2))</f>
        <v>2700.12</v>
      </c>
      <c r="Q513" s="19">
        <v>333.48</v>
      </c>
      <c r="R513" s="20">
        <f t="shared" si="74"/>
        <v>293.79588000000001</v>
      </c>
      <c r="S513" s="11">
        <v>0.11899999999999999</v>
      </c>
      <c r="T513" s="22">
        <f>IF('Dashboard Visualization'!$U$1="",$S513,IF(S513&gt;'Dashboard Visualization'!$U$1,'Dashboard Visualization'!$U$1,S513))</f>
        <v>0.11899999999999999</v>
      </c>
      <c r="U513" s="20">
        <f t="shared" si="75"/>
        <v>3106.0100433600001</v>
      </c>
      <c r="V513" s="20">
        <f t="shared" si="76"/>
        <v>405.89004336000016</v>
      </c>
      <c r="W513" s="22">
        <f t="shared" si="72"/>
        <v>0.13067892173359458</v>
      </c>
      <c r="X513" s="28" t="str">
        <f>TEXT(B513,"MMM-YYYY")</f>
        <v>Mar-2024</v>
      </c>
      <c r="Y513" s="7" t="str">
        <f t="shared" si="77"/>
        <v>Q1-2024</v>
      </c>
      <c r="Z513" s="7" t="str">
        <f t="shared" si="78"/>
        <v>Low Price</v>
      </c>
      <c r="AA513" s="7" t="str">
        <f t="shared" si="79"/>
        <v>Q1</v>
      </c>
      <c r="AB513" s="28" t="str">
        <f t="shared" si="80"/>
        <v>Mar</v>
      </c>
      <c r="AC513" s="28" t="str">
        <f t="shared" si="81"/>
        <v>2024</v>
      </c>
    </row>
    <row r="514" spans="1:29" x14ac:dyDescent="0.25">
      <c r="A514" s="4" t="s">
        <v>526</v>
      </c>
      <c r="B514" s="14">
        <v>45575</v>
      </c>
      <c r="C514" s="14">
        <v>45576</v>
      </c>
      <c r="D514" s="16">
        <f t="shared" si="73"/>
        <v>1</v>
      </c>
      <c r="E514" s="4" t="s">
        <v>649</v>
      </c>
      <c r="F514" s="4" t="s">
        <v>658</v>
      </c>
      <c r="G514" s="4" t="s">
        <v>693</v>
      </c>
      <c r="H514" s="4" t="s">
        <v>703</v>
      </c>
      <c r="I514" s="4" t="s">
        <v>710</v>
      </c>
      <c r="J514" s="4" t="s">
        <v>716</v>
      </c>
      <c r="K514" s="4" t="s">
        <v>727</v>
      </c>
      <c r="L514" s="4" t="s">
        <v>1245</v>
      </c>
      <c r="M514" s="9">
        <v>33</v>
      </c>
      <c r="N514" s="16">
        <f>ROUND(IF('Dashboard Visualization'!$U$3="",'Working Data'!$M514,'Working Data'!$M514*(100% +'Dashboard Visualization'!$U$3)),0)</f>
        <v>33</v>
      </c>
      <c r="O514" s="19">
        <v>1389.46</v>
      </c>
      <c r="P514" s="20">
        <f>IF('Dashboard Visualization'!$U$2="",'Working Data'!$O514*'Working Data'!$N514,'Working Data'!$O514*'Working Data'!$N514*(100%+'Dashboard Visualization'!$U$2))</f>
        <v>45852.18</v>
      </c>
      <c r="Q514" s="19">
        <v>1784.7</v>
      </c>
      <c r="R514" s="20">
        <f t="shared" si="74"/>
        <v>1524.1338000000001</v>
      </c>
      <c r="S514" s="11">
        <v>0.14599999999999999</v>
      </c>
      <c r="T514" s="22">
        <f>IF('Dashboard Visualization'!$U$1="",$S514,IF(S514&gt;'Dashboard Visualization'!$U$1,'Dashboard Visualization'!$U$1,S514))</f>
        <v>0.14599999999999999</v>
      </c>
      <c r="U514" s="20">
        <f t="shared" si="75"/>
        <v>42953.138751599996</v>
      </c>
      <c r="V514" s="20">
        <f t="shared" si="76"/>
        <v>-2899.0412484000044</v>
      </c>
      <c r="W514" s="22">
        <f t="shared" ref="W514:W577" si="82">IFERROR(IF(V514&lt;=0,0,V514/U514),0)</f>
        <v>0</v>
      </c>
      <c r="X514" s="28" t="str">
        <f>TEXT(B514,"MMM-YYYY")</f>
        <v>Oct-2024</v>
      </c>
      <c r="Y514" s="7" t="str">
        <f t="shared" si="77"/>
        <v>Q4-2024</v>
      </c>
      <c r="Z514" s="7" t="str">
        <f t="shared" si="78"/>
        <v>High Price</v>
      </c>
      <c r="AA514" s="7" t="str">
        <f t="shared" si="79"/>
        <v>Q4</v>
      </c>
      <c r="AB514" s="28" t="str">
        <f t="shared" si="80"/>
        <v>Oct</v>
      </c>
      <c r="AC514" s="28" t="str">
        <f t="shared" si="81"/>
        <v>2024</v>
      </c>
    </row>
    <row r="515" spans="1:29" x14ac:dyDescent="0.25">
      <c r="A515" s="4" t="s">
        <v>527</v>
      </c>
      <c r="B515" s="14">
        <v>45078</v>
      </c>
      <c r="C515" s="14">
        <v>45085</v>
      </c>
      <c r="D515" s="16">
        <f t="shared" ref="D515:D578" si="83">IFERROR(DATEDIF(B515,C515,"D"),"")</f>
        <v>7</v>
      </c>
      <c r="E515" s="4" t="s">
        <v>649</v>
      </c>
      <c r="F515" s="4" t="s">
        <v>656</v>
      </c>
      <c r="G515" s="4" t="s">
        <v>698</v>
      </c>
      <c r="H515" s="4" t="s">
        <v>704</v>
      </c>
      <c r="I515" s="4" t="s">
        <v>708</v>
      </c>
      <c r="J515" s="4" t="s">
        <v>720</v>
      </c>
      <c r="K515" s="4" t="s">
        <v>730</v>
      </c>
      <c r="L515" s="4" t="s">
        <v>1246</v>
      </c>
      <c r="M515" s="9">
        <v>5</v>
      </c>
      <c r="N515" s="16">
        <f>ROUND(IF('Dashboard Visualization'!$U$3="",'Working Data'!$M515,'Working Data'!$M515*(100% +'Dashboard Visualization'!$U$3)),0)</f>
        <v>5</v>
      </c>
      <c r="O515" s="19">
        <v>804.17</v>
      </c>
      <c r="P515" s="20">
        <f>IF('Dashboard Visualization'!$U$2="",'Working Data'!$O515*'Working Data'!$N515,'Working Data'!$O515*'Working Data'!$N515*(100%+'Dashboard Visualization'!$U$2))</f>
        <v>4020.85</v>
      </c>
      <c r="Q515" s="19">
        <v>1072.29</v>
      </c>
      <c r="R515" s="20">
        <f t="shared" ref="R515:R578" si="84">(1-T515)*Q515</f>
        <v>1037.9767199999999</v>
      </c>
      <c r="S515" s="11">
        <v>3.2000000000000001E-2</v>
      </c>
      <c r="T515" s="22">
        <f>IF('Dashboard Visualization'!$U$1="",$S515,IF(S515&gt;'Dashboard Visualization'!$U$1,'Dashboard Visualization'!$U$1,S515))</f>
        <v>3.2000000000000001E-2</v>
      </c>
      <c r="U515" s="20">
        <f t="shared" ref="U515:U578" si="85">IFERROR(R515*(1-T515)*N515,"-")</f>
        <v>5023.8073247999992</v>
      </c>
      <c r="V515" s="20">
        <f t="shared" ref="V515:V578" si="86">IFERROR(U515-P515,"-")</f>
        <v>1002.9573247999992</v>
      </c>
      <c r="W515" s="22">
        <f t="shared" si="82"/>
        <v>0.1996408818962673</v>
      </c>
      <c r="X515" s="28" t="str">
        <f>TEXT(B515,"MMM-YYYY")</f>
        <v>Jun-2023</v>
      </c>
      <c r="Y515" s="7" t="str">
        <f t="shared" ref="Y515:Y578" si="87">"Q" &amp; ROUNDUP(MONTH(X515)/3,0) &amp; "-" &amp; TEXT(X515,"YYYY")</f>
        <v>Q2-2023</v>
      </c>
      <c r="Z515" s="7" t="str">
        <f t="shared" ref="Z515:Z578" si="88">IF(R515&lt;QUARTILE(R:R,1), "Low Price", IF(R515&lt;QUARTILE(R:R,3), "High Price", "Medium Price"))</f>
        <v>High Price</v>
      </c>
      <c r="AA515" s="7" t="str">
        <f t="shared" ref="AA515:AA578" si="89">"Q"&amp;ROUNDUP(MONTH(X515)/3,0)</f>
        <v>Q2</v>
      </c>
      <c r="AB515" s="28" t="str">
        <f t="shared" ref="AB515:AB578" si="90">TEXT(X515,"MMM")</f>
        <v>Jun</v>
      </c>
      <c r="AC515" s="28" t="str">
        <f t="shared" ref="AC515:AC578" si="91">TEXT(X515,"YYYY")</f>
        <v>2023</v>
      </c>
    </row>
    <row r="516" spans="1:29" x14ac:dyDescent="0.25">
      <c r="A516" s="4" t="s">
        <v>528</v>
      </c>
      <c r="B516" s="14">
        <v>45661</v>
      </c>
      <c r="C516" s="14">
        <v>45662</v>
      </c>
      <c r="D516" s="16">
        <f t="shared" si="83"/>
        <v>1</v>
      </c>
      <c r="E516" s="4" t="s">
        <v>647</v>
      </c>
      <c r="F516" s="4" t="s">
        <v>654</v>
      </c>
      <c r="G516" s="4" t="s">
        <v>680</v>
      </c>
      <c r="H516" s="4" t="s">
        <v>702</v>
      </c>
      <c r="I516" s="4" t="s">
        <v>707</v>
      </c>
      <c r="J516" s="4" t="s">
        <v>714</v>
      </c>
      <c r="K516" s="4" t="s">
        <v>727</v>
      </c>
      <c r="L516" s="4" t="s">
        <v>1247</v>
      </c>
      <c r="M516" s="9">
        <v>11</v>
      </c>
      <c r="N516" s="16">
        <f>ROUND(IF('Dashboard Visualization'!$U$3="",'Working Data'!$M516,'Working Data'!$M516*(100% +'Dashboard Visualization'!$U$3)),0)</f>
        <v>11</v>
      </c>
      <c r="O516" s="19">
        <v>1428.33</v>
      </c>
      <c r="P516" s="20">
        <f>IF('Dashboard Visualization'!$U$2="",'Working Data'!$O516*'Working Data'!$N516,'Working Data'!$O516*'Working Data'!$N516*(100%+'Dashboard Visualization'!$U$2))</f>
        <v>15711.63</v>
      </c>
      <c r="Q516" s="19">
        <v>3028.05</v>
      </c>
      <c r="R516" s="20">
        <f t="shared" si="84"/>
        <v>3028.05</v>
      </c>
      <c r="S516" s="11">
        <v>0</v>
      </c>
      <c r="T516" s="22">
        <f>IF('Dashboard Visualization'!$U$1="",$S516,IF(S516&gt;'Dashboard Visualization'!$U$1,'Dashboard Visualization'!$U$1,S516))</f>
        <v>0</v>
      </c>
      <c r="U516" s="20">
        <f t="shared" si="85"/>
        <v>33308.550000000003</v>
      </c>
      <c r="V516" s="20">
        <f t="shared" si="86"/>
        <v>17596.920000000006</v>
      </c>
      <c r="W516" s="22">
        <f t="shared" si="82"/>
        <v>0.52830039134096207</v>
      </c>
      <c r="X516" s="28" t="str">
        <f>TEXT(B516,"MMM-YYYY")</f>
        <v>Jan-2025</v>
      </c>
      <c r="Y516" s="7" t="str">
        <f t="shared" si="87"/>
        <v>Q1-2025</v>
      </c>
      <c r="Z516" s="7" t="str">
        <f t="shared" si="88"/>
        <v>Medium Price</v>
      </c>
      <c r="AA516" s="7" t="str">
        <f t="shared" si="89"/>
        <v>Q1</v>
      </c>
      <c r="AB516" s="28" t="str">
        <f t="shared" si="90"/>
        <v>Jan</v>
      </c>
      <c r="AC516" s="28" t="str">
        <f t="shared" si="91"/>
        <v>2025</v>
      </c>
    </row>
    <row r="517" spans="1:29" x14ac:dyDescent="0.25">
      <c r="A517" s="4" t="s">
        <v>529</v>
      </c>
      <c r="B517" s="14">
        <v>45874</v>
      </c>
      <c r="C517" s="14">
        <v>45897</v>
      </c>
      <c r="D517" s="16">
        <f t="shared" si="83"/>
        <v>23</v>
      </c>
      <c r="E517" s="4" t="s">
        <v>647</v>
      </c>
      <c r="F517" s="4" t="s">
        <v>654</v>
      </c>
      <c r="G517" s="4" t="s">
        <v>691</v>
      </c>
      <c r="H517" s="4" t="s">
        <v>703</v>
      </c>
      <c r="I517" s="4" t="s">
        <v>710</v>
      </c>
      <c r="J517" s="4" t="s">
        <v>725</v>
      </c>
      <c r="K517" s="4" t="s">
        <v>731</v>
      </c>
      <c r="L517" s="4" t="s">
        <v>1248</v>
      </c>
      <c r="M517" s="9">
        <v>11</v>
      </c>
      <c r="N517" s="16">
        <f>ROUND(IF('Dashboard Visualization'!$U$3="",'Working Data'!$M517,'Working Data'!$M517*(100% +'Dashboard Visualization'!$U$3)),0)</f>
        <v>11</v>
      </c>
      <c r="O517" s="19">
        <v>638.54</v>
      </c>
      <c r="P517" s="20">
        <f>IF('Dashboard Visualization'!$U$2="",'Working Data'!$O517*'Working Data'!$N517,'Working Data'!$O517*'Working Data'!$N517*(100%+'Dashboard Visualization'!$U$2))</f>
        <v>7023.94</v>
      </c>
      <c r="Q517" s="19">
        <v>987.24</v>
      </c>
      <c r="R517" s="20">
        <f t="shared" si="84"/>
        <v>987.24</v>
      </c>
      <c r="S517" s="11">
        <v>0</v>
      </c>
      <c r="T517" s="22">
        <f>IF('Dashboard Visualization'!$U$1="",$S517,IF(S517&gt;'Dashboard Visualization'!$U$1,'Dashboard Visualization'!$U$1,S517))</f>
        <v>0</v>
      </c>
      <c r="U517" s="20">
        <f t="shared" si="85"/>
        <v>10859.64</v>
      </c>
      <c r="V517" s="20">
        <f t="shared" si="86"/>
        <v>3835.7</v>
      </c>
      <c r="W517" s="22">
        <f t="shared" si="82"/>
        <v>0.35320692030306716</v>
      </c>
      <c r="X517" s="28" t="str">
        <f>TEXT(B517,"MMM-YYYY")</f>
        <v>Aug-2025</v>
      </c>
      <c r="Y517" s="7" t="str">
        <f t="shared" si="87"/>
        <v>Q3-2025</v>
      </c>
      <c r="Z517" s="7" t="str">
        <f t="shared" si="88"/>
        <v>High Price</v>
      </c>
      <c r="AA517" s="7" t="str">
        <f t="shared" si="89"/>
        <v>Q3</v>
      </c>
      <c r="AB517" s="28" t="str">
        <f t="shared" si="90"/>
        <v>Aug</v>
      </c>
      <c r="AC517" s="28" t="str">
        <f t="shared" si="91"/>
        <v>2025</v>
      </c>
    </row>
    <row r="518" spans="1:29" x14ac:dyDescent="0.25">
      <c r="A518" s="4" t="s">
        <v>530</v>
      </c>
      <c r="B518" s="14">
        <v>45199</v>
      </c>
      <c r="C518" s="14">
        <v>45229</v>
      </c>
      <c r="D518" s="16">
        <f t="shared" si="83"/>
        <v>30</v>
      </c>
      <c r="E518" s="4" t="s">
        <v>647</v>
      </c>
      <c r="F518" s="4" t="s">
        <v>652</v>
      </c>
      <c r="G518" s="4" t="s">
        <v>689</v>
      </c>
      <c r="H518" s="4" t="s">
        <v>706</v>
      </c>
      <c r="I518" s="4" t="s">
        <v>708</v>
      </c>
      <c r="J518" s="4" t="s">
        <v>726</v>
      </c>
      <c r="K518" s="4" t="s">
        <v>728</v>
      </c>
      <c r="L518" s="4" t="s">
        <v>1249</v>
      </c>
      <c r="M518" s="9">
        <v>27</v>
      </c>
      <c r="N518" s="16">
        <f>ROUND(IF('Dashboard Visualization'!$U$3="",'Working Data'!$M518,'Working Data'!$M518*(100% +'Dashboard Visualization'!$U$3)),0)</f>
        <v>27</v>
      </c>
      <c r="O518" s="19">
        <v>649.13</v>
      </c>
      <c r="P518" s="20">
        <f>IF('Dashboard Visualization'!$U$2="",'Working Data'!$O518*'Working Data'!$N518,'Working Data'!$O518*'Working Data'!$N518*(100%+'Dashboard Visualization'!$U$2))</f>
        <v>17526.509999999998</v>
      </c>
      <c r="Q518" s="19">
        <v>975.43</v>
      </c>
      <c r="R518" s="20">
        <f t="shared" si="84"/>
        <v>822.28748999999993</v>
      </c>
      <c r="S518" s="11">
        <v>0.157</v>
      </c>
      <c r="T518" s="22">
        <f>IF('Dashboard Visualization'!$U$1="",$S518,IF(S518&gt;'Dashboard Visualization'!$U$1,'Dashboard Visualization'!$U$1,S518))</f>
        <v>0.157</v>
      </c>
      <c r="U518" s="20">
        <f t="shared" si="85"/>
        <v>18716.085559889998</v>
      </c>
      <c r="V518" s="20">
        <f t="shared" si="86"/>
        <v>1189.5755598899996</v>
      </c>
      <c r="W518" s="22">
        <f t="shared" si="82"/>
        <v>6.3558993470266612E-2</v>
      </c>
      <c r="X518" s="28" t="str">
        <f>TEXT(B518,"MMM-YYYY")</f>
        <v>Sep-2023</v>
      </c>
      <c r="Y518" s="7" t="str">
        <f t="shared" si="87"/>
        <v>Q3-2023</v>
      </c>
      <c r="Z518" s="7" t="str">
        <f t="shared" si="88"/>
        <v>High Price</v>
      </c>
      <c r="AA518" s="7" t="str">
        <f t="shared" si="89"/>
        <v>Q3</v>
      </c>
      <c r="AB518" s="28" t="str">
        <f t="shared" si="90"/>
        <v>Sep</v>
      </c>
      <c r="AC518" s="28" t="str">
        <f t="shared" si="91"/>
        <v>2023</v>
      </c>
    </row>
    <row r="519" spans="1:29" x14ac:dyDescent="0.25">
      <c r="A519" s="4" t="s">
        <v>531</v>
      </c>
      <c r="B519" s="14">
        <v>45794</v>
      </c>
      <c r="C519" s="14">
        <v>45807</v>
      </c>
      <c r="D519" s="16">
        <f t="shared" si="83"/>
        <v>13</v>
      </c>
      <c r="E519" s="4" t="s">
        <v>646</v>
      </c>
      <c r="F519" s="4" t="s">
        <v>651</v>
      </c>
      <c r="G519" s="4" t="s">
        <v>665</v>
      </c>
      <c r="H519" s="4" t="s">
        <v>704</v>
      </c>
      <c r="I519" s="4" t="s">
        <v>710</v>
      </c>
      <c r="J519" s="4" t="s">
        <v>721</v>
      </c>
      <c r="K519" s="4" t="s">
        <v>733</v>
      </c>
      <c r="L519" s="4" t="s">
        <v>1250</v>
      </c>
      <c r="M519" s="9">
        <v>8</v>
      </c>
      <c r="N519" s="16">
        <f>ROUND(IF('Dashboard Visualization'!$U$3="",'Working Data'!$M519,'Working Data'!$M519*(100% +'Dashboard Visualization'!$U$3)),0)</f>
        <v>8</v>
      </c>
      <c r="O519" s="19">
        <v>66.400000000000006</v>
      </c>
      <c r="P519" s="20">
        <f>IF('Dashboard Visualization'!$U$2="",'Working Data'!$O519*'Working Data'!$N519,'Working Data'!$O519*'Working Data'!$N519*(100%+'Dashboard Visualization'!$U$2))</f>
        <v>531.20000000000005</v>
      </c>
      <c r="Q519" s="19">
        <v>141.43</v>
      </c>
      <c r="R519" s="20">
        <f t="shared" si="84"/>
        <v>126.29699000000001</v>
      </c>
      <c r="S519" s="11">
        <v>0.107</v>
      </c>
      <c r="T519" s="22">
        <f>IF('Dashboard Visualization'!$U$1="",$S519,IF(S519&gt;'Dashboard Visualization'!$U$1,'Dashboard Visualization'!$U$1,S519))</f>
        <v>0.107</v>
      </c>
      <c r="U519" s="20">
        <f t="shared" si="85"/>
        <v>902.26569656000004</v>
      </c>
      <c r="V519" s="20">
        <f t="shared" si="86"/>
        <v>371.06569655999999</v>
      </c>
      <c r="W519" s="22">
        <f t="shared" si="82"/>
        <v>0.41125989603143953</v>
      </c>
      <c r="X519" s="28" t="str">
        <f>TEXT(B519,"MMM-YYYY")</f>
        <v>May-2025</v>
      </c>
      <c r="Y519" s="7" t="str">
        <f t="shared" si="87"/>
        <v>Q2-2025</v>
      </c>
      <c r="Z519" s="7" t="str">
        <f t="shared" si="88"/>
        <v>Low Price</v>
      </c>
      <c r="AA519" s="7" t="str">
        <f t="shared" si="89"/>
        <v>Q2</v>
      </c>
      <c r="AB519" s="28" t="str">
        <f t="shared" si="90"/>
        <v>May</v>
      </c>
      <c r="AC519" s="28" t="str">
        <f t="shared" si="91"/>
        <v>2025</v>
      </c>
    </row>
    <row r="520" spans="1:29" x14ac:dyDescent="0.25">
      <c r="A520" s="4" t="s">
        <v>532</v>
      </c>
      <c r="B520" s="14">
        <v>45413</v>
      </c>
      <c r="C520" s="14">
        <v>45438</v>
      </c>
      <c r="D520" s="16">
        <f t="shared" si="83"/>
        <v>25</v>
      </c>
      <c r="E520" s="4" t="s">
        <v>649</v>
      </c>
      <c r="F520" s="4" t="s">
        <v>656</v>
      </c>
      <c r="G520" s="4" t="s">
        <v>671</v>
      </c>
      <c r="H520" s="4" t="s">
        <v>703</v>
      </c>
      <c r="I520" s="4" t="s">
        <v>707</v>
      </c>
      <c r="J520" s="4" t="s">
        <v>717</v>
      </c>
      <c r="K520" s="4" t="s">
        <v>729</v>
      </c>
      <c r="L520" s="4" t="s">
        <v>1251</v>
      </c>
      <c r="M520" s="9">
        <v>7</v>
      </c>
      <c r="N520" s="16">
        <f>ROUND(IF('Dashboard Visualization'!$U$3="",'Working Data'!$M520,'Working Data'!$M520*(100% +'Dashboard Visualization'!$U$3)),0)</f>
        <v>7</v>
      </c>
      <c r="O520" s="19">
        <v>930.71</v>
      </c>
      <c r="P520" s="20">
        <f>IF('Dashboard Visualization'!$U$2="",'Working Data'!$O520*'Working Data'!$N520,'Working Data'!$O520*'Working Data'!$N520*(100%+'Dashboard Visualization'!$U$2))</f>
        <v>6514.97</v>
      </c>
      <c r="Q520" s="19">
        <v>1625.42</v>
      </c>
      <c r="R520" s="20">
        <f t="shared" si="84"/>
        <v>1401.11204</v>
      </c>
      <c r="S520" s="11">
        <v>0.13800000000000001</v>
      </c>
      <c r="T520" s="22">
        <f>IF('Dashboard Visualization'!$U$1="",$S520,IF(S520&gt;'Dashboard Visualization'!$U$1,'Dashboard Visualization'!$U$1,S520))</f>
        <v>0.13800000000000001</v>
      </c>
      <c r="U520" s="20">
        <f t="shared" si="85"/>
        <v>8454.3100493599995</v>
      </c>
      <c r="V520" s="20">
        <f t="shared" si="86"/>
        <v>1939.3400493599993</v>
      </c>
      <c r="W520" s="22">
        <f t="shared" si="82"/>
        <v>0.22939069398180037</v>
      </c>
      <c r="X520" s="28" t="str">
        <f>TEXT(B520,"MMM-YYYY")</f>
        <v>May-2024</v>
      </c>
      <c r="Y520" s="7" t="str">
        <f t="shared" si="87"/>
        <v>Q2-2024</v>
      </c>
      <c r="Z520" s="7" t="str">
        <f t="shared" si="88"/>
        <v>High Price</v>
      </c>
      <c r="AA520" s="7" t="str">
        <f t="shared" si="89"/>
        <v>Q2</v>
      </c>
      <c r="AB520" s="28" t="str">
        <f t="shared" si="90"/>
        <v>May</v>
      </c>
      <c r="AC520" s="28" t="str">
        <f t="shared" si="91"/>
        <v>2024</v>
      </c>
    </row>
    <row r="521" spans="1:29" x14ac:dyDescent="0.25">
      <c r="A521" s="4" t="s">
        <v>533</v>
      </c>
      <c r="B521" s="14">
        <v>45047</v>
      </c>
      <c r="C521" s="14">
        <v>45064</v>
      </c>
      <c r="D521" s="16">
        <f t="shared" si="83"/>
        <v>17</v>
      </c>
      <c r="E521" s="4" t="s">
        <v>646</v>
      </c>
      <c r="F521" s="4" t="s">
        <v>651</v>
      </c>
      <c r="G521" s="4" t="s">
        <v>663</v>
      </c>
      <c r="H521" s="4" t="s">
        <v>701</v>
      </c>
      <c r="I521" s="4" t="s">
        <v>711</v>
      </c>
      <c r="J521" s="4" t="s">
        <v>721</v>
      </c>
      <c r="K521" s="4" t="s">
        <v>727</v>
      </c>
      <c r="L521" s="4" t="s">
        <v>1252</v>
      </c>
      <c r="M521" s="9">
        <v>3</v>
      </c>
      <c r="N521" s="16">
        <f>ROUND(IF('Dashboard Visualization'!$U$3="",'Working Data'!$M521,'Working Data'!$M521*(100% +'Dashboard Visualization'!$U$3)),0)</f>
        <v>3</v>
      </c>
      <c r="O521" s="19">
        <v>327.97</v>
      </c>
      <c r="P521" s="20">
        <f>IF('Dashboard Visualization'!$U$2="",'Working Data'!$O521*'Working Data'!$N521,'Working Data'!$O521*'Working Data'!$N521*(100%+'Dashboard Visualization'!$U$2))</f>
        <v>983.91000000000008</v>
      </c>
      <c r="Q521" s="19">
        <v>299.94</v>
      </c>
      <c r="R521" s="20">
        <f t="shared" si="84"/>
        <v>285.24293999999998</v>
      </c>
      <c r="S521" s="11">
        <v>4.9000000000000002E-2</v>
      </c>
      <c r="T521" s="22">
        <f>IF('Dashboard Visualization'!$U$1="",$S521,IF(S521&gt;'Dashboard Visualization'!$U$1,'Dashboard Visualization'!$U$1,S521))</f>
        <v>4.9000000000000002E-2</v>
      </c>
      <c r="U521" s="20">
        <f t="shared" si="85"/>
        <v>813.79810781999981</v>
      </c>
      <c r="V521" s="20">
        <f t="shared" si="86"/>
        <v>-170.11189218000027</v>
      </c>
      <c r="W521" s="22">
        <f t="shared" si="82"/>
        <v>0</v>
      </c>
      <c r="X521" s="28" t="str">
        <f>TEXT(B521,"MMM-YYYY")</f>
        <v>May-2023</v>
      </c>
      <c r="Y521" s="7" t="str">
        <f t="shared" si="87"/>
        <v>Q2-2023</v>
      </c>
      <c r="Z521" s="7" t="str">
        <f t="shared" si="88"/>
        <v>Low Price</v>
      </c>
      <c r="AA521" s="7" t="str">
        <f t="shared" si="89"/>
        <v>Q2</v>
      </c>
      <c r="AB521" s="28" t="str">
        <f t="shared" si="90"/>
        <v>May</v>
      </c>
      <c r="AC521" s="28" t="str">
        <f t="shared" si="91"/>
        <v>2023</v>
      </c>
    </row>
    <row r="522" spans="1:29" x14ac:dyDescent="0.25">
      <c r="A522" s="4" t="s">
        <v>534</v>
      </c>
      <c r="B522" s="14">
        <v>45482</v>
      </c>
      <c r="C522" s="14">
        <v>45512</v>
      </c>
      <c r="D522" s="16">
        <f t="shared" si="83"/>
        <v>30</v>
      </c>
      <c r="E522" s="4" t="s">
        <v>649</v>
      </c>
      <c r="F522" s="4" t="s">
        <v>657</v>
      </c>
      <c r="G522" s="4" t="s">
        <v>673</v>
      </c>
      <c r="H522" s="4" t="s">
        <v>701</v>
      </c>
      <c r="I522" s="4" t="s">
        <v>711</v>
      </c>
      <c r="J522" s="4" t="s">
        <v>713</v>
      </c>
      <c r="K522" s="4" t="s">
        <v>727</v>
      </c>
      <c r="L522" s="4" t="s">
        <v>1253</v>
      </c>
      <c r="M522" s="9">
        <v>6</v>
      </c>
      <c r="N522" s="16">
        <f>ROUND(IF('Dashboard Visualization'!$U$3="",'Working Data'!$M522,'Working Data'!$M522*(100% +'Dashboard Visualization'!$U$3)),0)</f>
        <v>6</v>
      </c>
      <c r="O522" s="19">
        <v>1062.3800000000001</v>
      </c>
      <c r="P522" s="20">
        <f>IF('Dashboard Visualization'!$U$2="",'Working Data'!$O522*'Working Data'!$N522,'Working Data'!$O522*'Working Data'!$N522*(100%+'Dashboard Visualization'!$U$2))</f>
        <v>6374.2800000000007</v>
      </c>
      <c r="Q522" s="19">
        <v>1503.96</v>
      </c>
      <c r="R522" s="20">
        <f t="shared" si="84"/>
        <v>1233.2472</v>
      </c>
      <c r="S522" s="11">
        <v>0.18</v>
      </c>
      <c r="T522" s="22">
        <f>IF('Dashboard Visualization'!$U$1="",$S522,IF(S522&gt;'Dashboard Visualization'!$U$1,'Dashboard Visualization'!$U$1,S522))</f>
        <v>0.18</v>
      </c>
      <c r="U522" s="20">
        <f t="shared" si="85"/>
        <v>6067.5762240000004</v>
      </c>
      <c r="V522" s="20">
        <f t="shared" si="86"/>
        <v>-306.70377600000029</v>
      </c>
      <c r="W522" s="22">
        <f t="shared" si="82"/>
        <v>0</v>
      </c>
      <c r="X522" s="28" t="str">
        <f>TEXT(B522,"MMM-YYYY")</f>
        <v>Jul-2024</v>
      </c>
      <c r="Y522" s="7" t="str">
        <f t="shared" si="87"/>
        <v>Q3-2024</v>
      </c>
      <c r="Z522" s="7" t="str">
        <f t="shared" si="88"/>
        <v>High Price</v>
      </c>
      <c r="AA522" s="7" t="str">
        <f t="shared" si="89"/>
        <v>Q3</v>
      </c>
      <c r="AB522" s="28" t="str">
        <f t="shared" si="90"/>
        <v>Jul</v>
      </c>
      <c r="AC522" s="28" t="str">
        <f t="shared" si="91"/>
        <v>2024</v>
      </c>
    </row>
    <row r="523" spans="1:29" x14ac:dyDescent="0.25">
      <c r="A523" s="4" t="s">
        <v>535</v>
      </c>
      <c r="B523" s="14">
        <v>45056</v>
      </c>
      <c r="C523" s="14">
        <v>45073</v>
      </c>
      <c r="D523" s="16">
        <f t="shared" si="83"/>
        <v>17</v>
      </c>
      <c r="E523" s="4" t="s">
        <v>647</v>
      </c>
      <c r="F523" s="4" t="s">
        <v>654</v>
      </c>
      <c r="G523" s="4" t="s">
        <v>691</v>
      </c>
      <c r="H523" s="4" t="s">
        <v>704</v>
      </c>
      <c r="I523" s="4" t="s">
        <v>707</v>
      </c>
      <c r="J523" s="4" t="s">
        <v>724</v>
      </c>
      <c r="K523" s="4" t="s">
        <v>731</v>
      </c>
      <c r="L523" s="4" t="s">
        <v>1254</v>
      </c>
      <c r="M523" s="9">
        <v>23</v>
      </c>
      <c r="N523" s="16">
        <f>ROUND(IF('Dashboard Visualization'!$U$3="",'Working Data'!$M523,'Working Data'!$M523*(100% +'Dashboard Visualization'!$U$3)),0)</f>
        <v>23</v>
      </c>
      <c r="O523" s="19">
        <v>1286.1600000000001</v>
      </c>
      <c r="P523" s="20">
        <f>IF('Dashboard Visualization'!$U$2="",'Working Data'!$O523*'Working Data'!$N523,'Working Data'!$O523*'Working Data'!$N523*(100%+'Dashboard Visualization'!$U$2))</f>
        <v>29581.68</v>
      </c>
      <c r="Q523" s="19">
        <v>3101.11</v>
      </c>
      <c r="R523" s="20">
        <f t="shared" si="84"/>
        <v>2790.9990000000003</v>
      </c>
      <c r="S523" s="11">
        <v>0.1</v>
      </c>
      <c r="T523" s="22">
        <f>IF('Dashboard Visualization'!$U$1="",$S523,IF(S523&gt;'Dashboard Visualization'!$U$1,'Dashboard Visualization'!$U$1,S523))</f>
        <v>0.1</v>
      </c>
      <c r="U523" s="20">
        <f t="shared" si="85"/>
        <v>57773.679300000003</v>
      </c>
      <c r="V523" s="20">
        <f t="shared" si="86"/>
        <v>28191.999300000003</v>
      </c>
      <c r="W523" s="22">
        <f t="shared" si="82"/>
        <v>0.48797306388620471</v>
      </c>
      <c r="X523" s="28" t="str">
        <f>TEXT(B523,"MMM-YYYY")</f>
        <v>May-2023</v>
      </c>
      <c r="Y523" s="7" t="str">
        <f t="shared" si="87"/>
        <v>Q2-2023</v>
      </c>
      <c r="Z523" s="7" t="str">
        <f t="shared" si="88"/>
        <v>Medium Price</v>
      </c>
      <c r="AA523" s="7" t="str">
        <f t="shared" si="89"/>
        <v>Q2</v>
      </c>
      <c r="AB523" s="28" t="str">
        <f t="shared" si="90"/>
        <v>May</v>
      </c>
      <c r="AC523" s="28" t="str">
        <f t="shared" si="91"/>
        <v>2023</v>
      </c>
    </row>
    <row r="524" spans="1:29" x14ac:dyDescent="0.25">
      <c r="A524" s="4" t="s">
        <v>536</v>
      </c>
      <c r="B524" s="14">
        <v>45482</v>
      </c>
      <c r="C524" s="14">
        <v>45485</v>
      </c>
      <c r="D524" s="16">
        <f t="shared" si="83"/>
        <v>3</v>
      </c>
      <c r="E524" s="4" t="s">
        <v>647</v>
      </c>
      <c r="F524" s="4" t="s">
        <v>659</v>
      </c>
      <c r="G524" s="4" t="s">
        <v>685</v>
      </c>
      <c r="H524" s="4" t="s">
        <v>705</v>
      </c>
      <c r="I524" s="4" t="s">
        <v>707</v>
      </c>
      <c r="J524" s="4" t="s">
        <v>726</v>
      </c>
      <c r="K524" s="4" t="s">
        <v>733</v>
      </c>
      <c r="L524" s="4" t="s">
        <v>1255</v>
      </c>
      <c r="M524" s="9">
        <v>23</v>
      </c>
      <c r="N524" s="16">
        <f>ROUND(IF('Dashboard Visualization'!$U$3="",'Working Data'!$M524,'Working Data'!$M524*(100% +'Dashboard Visualization'!$U$3)),0)</f>
        <v>23</v>
      </c>
      <c r="O524" s="19">
        <v>748.39</v>
      </c>
      <c r="P524" s="20">
        <f>IF('Dashboard Visualization'!$U$2="",'Working Data'!$O524*'Working Data'!$N524,'Working Data'!$O524*'Working Data'!$N524*(100%+'Dashboard Visualization'!$U$2))</f>
        <v>17212.97</v>
      </c>
      <c r="Q524" s="19">
        <v>979.42</v>
      </c>
      <c r="R524" s="20">
        <f t="shared" si="84"/>
        <v>979.42</v>
      </c>
      <c r="S524" s="11">
        <v>0</v>
      </c>
      <c r="T524" s="22">
        <f>IF('Dashboard Visualization'!$U$1="",$S524,IF(S524&gt;'Dashboard Visualization'!$U$1,'Dashboard Visualization'!$U$1,S524))</f>
        <v>0</v>
      </c>
      <c r="U524" s="20">
        <f t="shared" si="85"/>
        <v>22526.66</v>
      </c>
      <c r="V524" s="20">
        <f t="shared" si="86"/>
        <v>5313.6899999999987</v>
      </c>
      <c r="W524" s="22">
        <f t="shared" si="82"/>
        <v>0.23588450307324738</v>
      </c>
      <c r="X524" s="28" t="str">
        <f>TEXT(B524,"MMM-YYYY")</f>
        <v>Jul-2024</v>
      </c>
      <c r="Y524" s="7" t="str">
        <f t="shared" si="87"/>
        <v>Q3-2024</v>
      </c>
      <c r="Z524" s="7" t="str">
        <f t="shared" si="88"/>
        <v>High Price</v>
      </c>
      <c r="AA524" s="7" t="str">
        <f t="shared" si="89"/>
        <v>Q3</v>
      </c>
      <c r="AB524" s="28" t="str">
        <f t="shared" si="90"/>
        <v>Jul</v>
      </c>
      <c r="AC524" s="28" t="str">
        <f t="shared" si="91"/>
        <v>2024</v>
      </c>
    </row>
    <row r="525" spans="1:29" x14ac:dyDescent="0.25">
      <c r="A525" s="4" t="s">
        <v>537</v>
      </c>
      <c r="B525" s="14">
        <v>45406</v>
      </c>
      <c r="C525" s="14">
        <v>45422</v>
      </c>
      <c r="D525" s="16">
        <f t="shared" si="83"/>
        <v>16</v>
      </c>
      <c r="E525" s="4" t="s">
        <v>646</v>
      </c>
      <c r="F525" s="4" t="s">
        <v>650</v>
      </c>
      <c r="G525" s="4" t="s">
        <v>662</v>
      </c>
      <c r="H525" s="4" t="s">
        <v>703</v>
      </c>
      <c r="I525" s="4" t="s">
        <v>708</v>
      </c>
      <c r="J525" s="4" t="s">
        <v>725</v>
      </c>
      <c r="K525" s="4" t="s">
        <v>732</v>
      </c>
      <c r="L525" s="4" t="s">
        <v>1256</v>
      </c>
      <c r="M525" s="9">
        <v>15</v>
      </c>
      <c r="N525" s="16">
        <f>ROUND(IF('Dashboard Visualization'!$U$3="",'Working Data'!$M525,'Working Data'!$M525*(100% +'Dashboard Visualization'!$U$3)),0)</f>
        <v>15</v>
      </c>
      <c r="O525" s="19">
        <v>513.30999999999995</v>
      </c>
      <c r="P525" s="20">
        <f>IF('Dashboard Visualization'!$U$2="",'Working Data'!$O525*'Working Data'!$N525,'Working Data'!$O525*'Working Data'!$N525*(100%+'Dashboard Visualization'!$U$2))</f>
        <v>7699.65</v>
      </c>
      <c r="Q525" s="19">
        <v>1186.26</v>
      </c>
      <c r="R525" s="20">
        <f t="shared" si="84"/>
        <v>1074.7515599999999</v>
      </c>
      <c r="S525" s="11">
        <v>9.4E-2</v>
      </c>
      <c r="T525" s="22">
        <f>IF('Dashboard Visualization'!$U$1="",$S525,IF(S525&gt;'Dashboard Visualization'!$U$1,'Dashboard Visualization'!$U$1,S525))</f>
        <v>9.4E-2</v>
      </c>
      <c r="U525" s="20">
        <f t="shared" si="85"/>
        <v>14605.8737004</v>
      </c>
      <c r="V525" s="20">
        <f t="shared" si="86"/>
        <v>6906.2237003999999</v>
      </c>
      <c r="W525" s="22">
        <f t="shared" si="82"/>
        <v>0.47283879362936465</v>
      </c>
      <c r="X525" s="28" t="str">
        <f>TEXT(B525,"MMM-YYYY")</f>
        <v>Apr-2024</v>
      </c>
      <c r="Y525" s="7" t="str">
        <f t="shared" si="87"/>
        <v>Q2-2024</v>
      </c>
      <c r="Z525" s="7" t="str">
        <f t="shared" si="88"/>
        <v>High Price</v>
      </c>
      <c r="AA525" s="7" t="str">
        <f t="shared" si="89"/>
        <v>Q2</v>
      </c>
      <c r="AB525" s="28" t="str">
        <f t="shared" si="90"/>
        <v>Apr</v>
      </c>
      <c r="AC525" s="28" t="str">
        <f t="shared" si="91"/>
        <v>2024</v>
      </c>
    </row>
    <row r="526" spans="1:29" x14ac:dyDescent="0.25">
      <c r="A526" s="4" t="s">
        <v>538</v>
      </c>
      <c r="B526" s="14">
        <v>45304</v>
      </c>
      <c r="C526" s="14">
        <v>45306</v>
      </c>
      <c r="D526" s="16">
        <f t="shared" si="83"/>
        <v>2</v>
      </c>
      <c r="E526" s="4" t="s">
        <v>648</v>
      </c>
      <c r="F526" s="4" t="s">
        <v>660</v>
      </c>
      <c r="G526" s="4" t="s">
        <v>686</v>
      </c>
      <c r="H526" s="4" t="s">
        <v>703</v>
      </c>
      <c r="I526" s="4" t="s">
        <v>711</v>
      </c>
      <c r="J526" s="4" t="s">
        <v>718</v>
      </c>
      <c r="K526" s="4" t="s">
        <v>727</v>
      </c>
      <c r="L526" s="4" t="s">
        <v>1257</v>
      </c>
      <c r="M526" s="9">
        <v>4</v>
      </c>
      <c r="N526" s="16">
        <f>ROUND(IF('Dashboard Visualization'!$U$3="",'Working Data'!$M526,'Working Data'!$M526*(100% +'Dashboard Visualization'!$U$3)),0)</f>
        <v>4</v>
      </c>
      <c r="O526" s="19">
        <v>1061.3699999999999</v>
      </c>
      <c r="P526" s="20">
        <f>IF('Dashboard Visualization'!$U$2="",'Working Data'!$O526*'Working Data'!$N526,'Working Data'!$O526*'Working Data'!$N526*(100%+'Dashboard Visualization'!$U$2))</f>
        <v>4245.4799999999996</v>
      </c>
      <c r="Q526" s="19">
        <v>1938.33</v>
      </c>
      <c r="R526" s="20">
        <f t="shared" si="84"/>
        <v>1608.8138999999999</v>
      </c>
      <c r="S526" s="11">
        <v>0.17</v>
      </c>
      <c r="T526" s="22">
        <f>IF('Dashboard Visualization'!$U$1="",$S526,IF(S526&gt;'Dashboard Visualization'!$U$1,'Dashboard Visualization'!$U$1,S526))</f>
        <v>0.17</v>
      </c>
      <c r="U526" s="20">
        <f t="shared" si="85"/>
        <v>5341.2621479999989</v>
      </c>
      <c r="V526" s="20">
        <f t="shared" si="86"/>
        <v>1095.7821479999993</v>
      </c>
      <c r="W526" s="22">
        <f t="shared" si="82"/>
        <v>0.20515415975422735</v>
      </c>
      <c r="X526" s="28" t="str">
        <f>TEXT(B526,"MMM-YYYY")</f>
        <v>Jan-2024</v>
      </c>
      <c r="Y526" s="7" t="str">
        <f t="shared" si="87"/>
        <v>Q1-2024</v>
      </c>
      <c r="Z526" s="7" t="str">
        <f t="shared" si="88"/>
        <v>High Price</v>
      </c>
      <c r="AA526" s="7" t="str">
        <f t="shared" si="89"/>
        <v>Q1</v>
      </c>
      <c r="AB526" s="28" t="str">
        <f t="shared" si="90"/>
        <v>Jan</v>
      </c>
      <c r="AC526" s="28" t="str">
        <f t="shared" si="91"/>
        <v>2024</v>
      </c>
    </row>
    <row r="527" spans="1:29" x14ac:dyDescent="0.25">
      <c r="A527" s="4" t="s">
        <v>539</v>
      </c>
      <c r="B527" s="14">
        <v>45398</v>
      </c>
      <c r="C527" s="14">
        <v>45409</v>
      </c>
      <c r="D527" s="16">
        <f t="shared" si="83"/>
        <v>11</v>
      </c>
      <c r="E527" s="4" t="s">
        <v>646</v>
      </c>
      <c r="F527" s="4" t="s">
        <v>650</v>
      </c>
      <c r="G527" s="4" t="s">
        <v>678</v>
      </c>
      <c r="H527" s="4" t="s">
        <v>706</v>
      </c>
      <c r="I527" s="4" t="s">
        <v>708</v>
      </c>
      <c r="J527" s="4" t="s">
        <v>726</v>
      </c>
      <c r="K527" s="4" t="s">
        <v>728</v>
      </c>
      <c r="L527" s="4" t="s">
        <v>1258</v>
      </c>
      <c r="M527" s="9">
        <v>13</v>
      </c>
      <c r="N527" s="16">
        <f>ROUND(IF('Dashboard Visualization'!$U$3="",'Working Data'!$M527,'Working Data'!$M527*(100% +'Dashboard Visualization'!$U$3)),0)</f>
        <v>13</v>
      </c>
      <c r="O527" s="19">
        <v>401.3</v>
      </c>
      <c r="P527" s="20">
        <f>IF('Dashboard Visualization'!$U$2="",'Working Data'!$O527*'Working Data'!$N527,'Working Data'!$O527*'Working Data'!$N527*(100%+'Dashboard Visualization'!$U$2))</f>
        <v>5216.9000000000005</v>
      </c>
      <c r="Q527" s="19">
        <v>826.47</v>
      </c>
      <c r="R527" s="20">
        <f t="shared" si="84"/>
        <v>640.51425000000006</v>
      </c>
      <c r="S527" s="11">
        <v>0.22500000000000001</v>
      </c>
      <c r="T527" s="22">
        <f>IF('Dashboard Visualization'!$U$1="",$S527,IF(S527&gt;'Dashboard Visualization'!$U$1,'Dashboard Visualization'!$U$1,S527))</f>
        <v>0.22500000000000001</v>
      </c>
      <c r="U527" s="20">
        <f t="shared" si="85"/>
        <v>6453.1810687500001</v>
      </c>
      <c r="V527" s="20">
        <f t="shared" si="86"/>
        <v>1236.2810687499996</v>
      </c>
      <c r="W527" s="22">
        <f t="shared" si="82"/>
        <v>0.19157699986705484</v>
      </c>
      <c r="X527" s="28" t="str">
        <f>TEXT(B527,"MMM-YYYY")</f>
        <v>Apr-2024</v>
      </c>
      <c r="Y527" s="7" t="str">
        <f t="shared" si="87"/>
        <v>Q2-2024</v>
      </c>
      <c r="Z527" s="7" t="str">
        <f t="shared" si="88"/>
        <v>High Price</v>
      </c>
      <c r="AA527" s="7" t="str">
        <f t="shared" si="89"/>
        <v>Q2</v>
      </c>
      <c r="AB527" s="28" t="str">
        <f t="shared" si="90"/>
        <v>Apr</v>
      </c>
      <c r="AC527" s="28" t="str">
        <f t="shared" si="91"/>
        <v>2024</v>
      </c>
    </row>
    <row r="528" spans="1:29" x14ac:dyDescent="0.25">
      <c r="A528" s="4" t="s">
        <v>540</v>
      </c>
      <c r="B528" s="14">
        <v>45695</v>
      </c>
      <c r="C528" s="14">
        <v>45704</v>
      </c>
      <c r="D528" s="16">
        <f t="shared" si="83"/>
        <v>9</v>
      </c>
      <c r="E528" s="4" t="s">
        <v>646</v>
      </c>
      <c r="F528" s="4" t="s">
        <v>651</v>
      </c>
      <c r="G528" s="4" t="s">
        <v>665</v>
      </c>
      <c r="H528" s="4" t="s">
        <v>705</v>
      </c>
      <c r="I528" s="4" t="s">
        <v>710</v>
      </c>
      <c r="J528" s="4" t="s">
        <v>712</v>
      </c>
      <c r="K528" s="4" t="s">
        <v>728</v>
      </c>
      <c r="L528" s="4" t="s">
        <v>1259</v>
      </c>
      <c r="M528" s="9">
        <v>21</v>
      </c>
      <c r="N528" s="16">
        <f>ROUND(IF('Dashboard Visualization'!$U$3="",'Working Data'!$M528,'Working Data'!$M528*(100% +'Dashboard Visualization'!$U$3)),0)</f>
        <v>21</v>
      </c>
      <c r="O528" s="19">
        <v>90.68</v>
      </c>
      <c r="P528" s="20">
        <f>IF('Dashboard Visualization'!$U$2="",'Working Data'!$O528*'Working Data'!$N528,'Working Data'!$O528*'Working Data'!$N528*(100%+'Dashboard Visualization'!$U$2))</f>
        <v>1904.2800000000002</v>
      </c>
      <c r="Q528" s="19">
        <v>118.17</v>
      </c>
      <c r="R528" s="20">
        <f t="shared" si="84"/>
        <v>102.21705</v>
      </c>
      <c r="S528" s="11">
        <v>0.13500000000000001</v>
      </c>
      <c r="T528" s="22">
        <f>IF('Dashboard Visualization'!$U$1="",$S528,IF(S528&gt;'Dashboard Visualization'!$U$1,'Dashboard Visualization'!$U$1,S528))</f>
        <v>0.13500000000000001</v>
      </c>
      <c r="U528" s="20">
        <f t="shared" si="85"/>
        <v>1856.7727132500002</v>
      </c>
      <c r="V528" s="20">
        <f t="shared" si="86"/>
        <v>-47.507286750000048</v>
      </c>
      <c r="W528" s="22">
        <f t="shared" si="82"/>
        <v>0</v>
      </c>
      <c r="X528" s="28" t="str">
        <f>TEXT(B528,"MMM-YYYY")</f>
        <v>Feb-2025</v>
      </c>
      <c r="Y528" s="7" t="str">
        <f t="shared" si="87"/>
        <v>Q1-2025</v>
      </c>
      <c r="Z528" s="7" t="str">
        <f t="shared" si="88"/>
        <v>Low Price</v>
      </c>
      <c r="AA528" s="7" t="str">
        <f t="shared" si="89"/>
        <v>Q1</v>
      </c>
      <c r="AB528" s="28" t="str">
        <f t="shared" si="90"/>
        <v>Feb</v>
      </c>
      <c r="AC528" s="28" t="str">
        <f t="shared" si="91"/>
        <v>2025</v>
      </c>
    </row>
    <row r="529" spans="1:29" x14ac:dyDescent="0.25">
      <c r="A529" s="4" t="s">
        <v>541</v>
      </c>
      <c r="B529" s="14">
        <v>44938</v>
      </c>
      <c r="C529" s="14">
        <v>44952</v>
      </c>
      <c r="D529" s="16">
        <f t="shared" si="83"/>
        <v>14</v>
      </c>
      <c r="E529" s="4" t="s">
        <v>647</v>
      </c>
      <c r="F529" s="4" t="s">
        <v>659</v>
      </c>
      <c r="G529" s="4" t="s">
        <v>676</v>
      </c>
      <c r="H529" s="4" t="s">
        <v>703</v>
      </c>
      <c r="I529" s="4" t="s">
        <v>707</v>
      </c>
      <c r="J529" s="4" t="s">
        <v>724</v>
      </c>
      <c r="K529" s="4" t="s">
        <v>728</v>
      </c>
      <c r="L529" s="4" t="s">
        <v>1260</v>
      </c>
      <c r="M529" s="9">
        <v>8</v>
      </c>
      <c r="N529" s="16">
        <f>ROUND(IF('Dashboard Visualization'!$U$3="",'Working Data'!$M529,'Working Data'!$M529*(100% +'Dashboard Visualization'!$U$3)),0)</f>
        <v>8</v>
      </c>
      <c r="O529" s="19">
        <v>1083.0899999999999</v>
      </c>
      <c r="P529" s="20">
        <f>IF('Dashboard Visualization'!$U$2="",'Working Data'!$O529*'Working Data'!$N529,'Working Data'!$O529*'Working Data'!$N529*(100%+'Dashboard Visualization'!$U$2))</f>
        <v>8664.7199999999993</v>
      </c>
      <c r="Q529" s="19">
        <v>1425.87</v>
      </c>
      <c r="R529" s="20">
        <f t="shared" si="84"/>
        <v>1425.87</v>
      </c>
      <c r="S529" s="11">
        <v>0</v>
      </c>
      <c r="T529" s="22">
        <f>IF('Dashboard Visualization'!$U$1="",$S529,IF(S529&gt;'Dashboard Visualization'!$U$1,'Dashboard Visualization'!$U$1,S529))</f>
        <v>0</v>
      </c>
      <c r="U529" s="20">
        <f t="shared" si="85"/>
        <v>11406.96</v>
      </c>
      <c r="V529" s="20">
        <f t="shared" si="86"/>
        <v>2742.24</v>
      </c>
      <c r="W529" s="22">
        <f t="shared" si="82"/>
        <v>0.24040059752992909</v>
      </c>
      <c r="X529" s="28" t="str">
        <f>TEXT(B529,"MMM-YYYY")</f>
        <v>Jan-2023</v>
      </c>
      <c r="Y529" s="7" t="str">
        <f t="shared" si="87"/>
        <v>Q1-2023</v>
      </c>
      <c r="Z529" s="7" t="str">
        <f t="shared" si="88"/>
        <v>High Price</v>
      </c>
      <c r="AA529" s="7" t="str">
        <f t="shared" si="89"/>
        <v>Q1</v>
      </c>
      <c r="AB529" s="28" t="str">
        <f t="shared" si="90"/>
        <v>Jan</v>
      </c>
      <c r="AC529" s="28" t="str">
        <f t="shared" si="91"/>
        <v>2023</v>
      </c>
    </row>
    <row r="530" spans="1:29" x14ac:dyDescent="0.25">
      <c r="A530" s="4" t="s">
        <v>542</v>
      </c>
      <c r="B530" s="14">
        <v>45448</v>
      </c>
      <c r="C530" s="14">
        <v>45466</v>
      </c>
      <c r="D530" s="16">
        <f t="shared" si="83"/>
        <v>18</v>
      </c>
      <c r="E530" s="4" t="s">
        <v>646</v>
      </c>
      <c r="F530" s="4" t="s">
        <v>650</v>
      </c>
      <c r="G530" s="4" t="s">
        <v>664</v>
      </c>
      <c r="H530" s="4" t="s">
        <v>704</v>
      </c>
      <c r="I530" s="4" t="s">
        <v>710</v>
      </c>
      <c r="J530" s="4" t="s">
        <v>726</v>
      </c>
      <c r="K530" s="4" t="s">
        <v>731</v>
      </c>
      <c r="L530" s="4" t="s">
        <v>1261</v>
      </c>
      <c r="M530" s="9">
        <v>39</v>
      </c>
      <c r="N530" s="16">
        <f>ROUND(IF('Dashboard Visualization'!$U$3="",'Working Data'!$M530,'Working Data'!$M530*(100% +'Dashboard Visualization'!$U$3)),0)</f>
        <v>39</v>
      </c>
      <c r="O530" s="19">
        <v>1208.74</v>
      </c>
      <c r="P530" s="20">
        <f>IF('Dashboard Visualization'!$U$2="",'Working Data'!$O530*'Working Data'!$N530,'Working Data'!$O530*'Working Data'!$N530*(100%+'Dashboard Visualization'!$U$2))</f>
        <v>47140.86</v>
      </c>
      <c r="Q530" s="19">
        <v>1594.78</v>
      </c>
      <c r="R530" s="20">
        <f t="shared" si="84"/>
        <v>1500.6879800000002</v>
      </c>
      <c r="S530" s="11">
        <v>5.8999999999999997E-2</v>
      </c>
      <c r="T530" s="22">
        <f>IF('Dashboard Visualization'!$U$1="",$S530,IF(S530&gt;'Dashboard Visualization'!$U$1,'Dashboard Visualization'!$U$1,S530))</f>
        <v>5.8999999999999997E-2</v>
      </c>
      <c r="U530" s="20">
        <f t="shared" si="85"/>
        <v>55073.748178020003</v>
      </c>
      <c r="V530" s="20">
        <f t="shared" si="86"/>
        <v>7932.8881780200027</v>
      </c>
      <c r="W530" s="22">
        <f t="shared" si="82"/>
        <v>0.1440411891411093</v>
      </c>
      <c r="X530" s="28" t="str">
        <f>TEXT(B530,"MMM-YYYY")</f>
        <v>Jun-2024</v>
      </c>
      <c r="Y530" s="7" t="str">
        <f t="shared" si="87"/>
        <v>Q2-2024</v>
      </c>
      <c r="Z530" s="7" t="str">
        <f t="shared" si="88"/>
        <v>High Price</v>
      </c>
      <c r="AA530" s="7" t="str">
        <f t="shared" si="89"/>
        <v>Q2</v>
      </c>
      <c r="AB530" s="28" t="str">
        <f t="shared" si="90"/>
        <v>Jun</v>
      </c>
      <c r="AC530" s="28" t="str">
        <f t="shared" si="91"/>
        <v>2024</v>
      </c>
    </row>
    <row r="531" spans="1:29" x14ac:dyDescent="0.25">
      <c r="A531" s="4" t="s">
        <v>543</v>
      </c>
      <c r="B531" s="14">
        <v>45162</v>
      </c>
      <c r="C531" s="14">
        <v>45189</v>
      </c>
      <c r="D531" s="16">
        <f t="shared" si="83"/>
        <v>27</v>
      </c>
      <c r="E531" s="4" t="s">
        <v>646</v>
      </c>
      <c r="F531" s="4" t="s">
        <v>661</v>
      </c>
      <c r="G531" s="4" t="s">
        <v>687</v>
      </c>
      <c r="H531" s="4" t="s">
        <v>705</v>
      </c>
      <c r="I531" s="4" t="s">
        <v>709</v>
      </c>
      <c r="J531" s="4" t="s">
        <v>724</v>
      </c>
      <c r="K531" s="4" t="s">
        <v>728</v>
      </c>
      <c r="L531" s="4" t="s">
        <v>1262</v>
      </c>
      <c r="M531" s="9">
        <v>10</v>
      </c>
      <c r="N531" s="16">
        <f>ROUND(IF('Dashboard Visualization'!$U$3="",'Working Data'!$M531,'Working Data'!$M531*(100% +'Dashboard Visualization'!$U$3)),0)</f>
        <v>10</v>
      </c>
      <c r="O531" s="19">
        <v>1399.64</v>
      </c>
      <c r="P531" s="20">
        <f>IF('Dashboard Visualization'!$U$2="",'Working Data'!$O531*'Working Data'!$N531,'Working Data'!$O531*'Working Data'!$N531*(100%+'Dashboard Visualization'!$U$2))</f>
        <v>13996.400000000001</v>
      </c>
      <c r="Q531" s="19">
        <v>3342.11</v>
      </c>
      <c r="R531" s="20">
        <f t="shared" si="84"/>
        <v>3342.11</v>
      </c>
      <c r="S531" s="11">
        <v>0</v>
      </c>
      <c r="T531" s="22">
        <f>IF('Dashboard Visualization'!$U$1="",$S531,IF(S531&gt;'Dashboard Visualization'!$U$1,'Dashboard Visualization'!$U$1,S531))</f>
        <v>0</v>
      </c>
      <c r="U531" s="20">
        <f t="shared" si="85"/>
        <v>33421.1</v>
      </c>
      <c r="V531" s="20">
        <f t="shared" si="86"/>
        <v>19424.699999999997</v>
      </c>
      <c r="W531" s="22">
        <f t="shared" si="82"/>
        <v>0.58121067229983447</v>
      </c>
      <c r="X531" s="28" t="str">
        <f>TEXT(B531,"MMM-YYYY")</f>
        <v>Aug-2023</v>
      </c>
      <c r="Y531" s="7" t="str">
        <f t="shared" si="87"/>
        <v>Q3-2023</v>
      </c>
      <c r="Z531" s="7" t="str">
        <f t="shared" si="88"/>
        <v>Medium Price</v>
      </c>
      <c r="AA531" s="7" t="str">
        <f t="shared" si="89"/>
        <v>Q3</v>
      </c>
      <c r="AB531" s="28" t="str">
        <f t="shared" si="90"/>
        <v>Aug</v>
      </c>
      <c r="AC531" s="28" t="str">
        <f t="shared" si="91"/>
        <v>2023</v>
      </c>
    </row>
    <row r="532" spans="1:29" x14ac:dyDescent="0.25">
      <c r="A532" s="4" t="s">
        <v>544</v>
      </c>
      <c r="B532" s="14">
        <v>45316</v>
      </c>
      <c r="C532" s="14">
        <v>45330</v>
      </c>
      <c r="D532" s="16">
        <f t="shared" si="83"/>
        <v>14</v>
      </c>
      <c r="E532" s="4" t="s">
        <v>647</v>
      </c>
      <c r="F532" s="4" t="s">
        <v>652</v>
      </c>
      <c r="G532" s="4" t="s">
        <v>666</v>
      </c>
      <c r="H532" s="4" t="s">
        <v>704</v>
      </c>
      <c r="I532" s="4" t="s">
        <v>709</v>
      </c>
      <c r="J532" s="4" t="s">
        <v>714</v>
      </c>
      <c r="K532" s="4" t="s">
        <v>729</v>
      </c>
      <c r="L532" s="4" t="s">
        <v>1263</v>
      </c>
      <c r="M532" s="9">
        <v>9</v>
      </c>
      <c r="N532" s="16">
        <f>ROUND(IF('Dashboard Visualization'!$U$3="",'Working Data'!$M532,'Working Data'!$M532*(100% +'Dashboard Visualization'!$U$3)),0)</f>
        <v>9</v>
      </c>
      <c r="O532" s="19">
        <v>937.16</v>
      </c>
      <c r="P532" s="20">
        <f>IF('Dashboard Visualization'!$U$2="",'Working Data'!$O532*'Working Data'!$N532,'Working Data'!$O532*'Working Data'!$N532*(100%+'Dashboard Visualization'!$U$2))</f>
        <v>8434.44</v>
      </c>
      <c r="Q532" s="19">
        <v>1069.77</v>
      </c>
      <c r="R532" s="20">
        <f t="shared" si="84"/>
        <v>1029.1187399999999</v>
      </c>
      <c r="S532" s="11">
        <v>3.7999999999999999E-2</v>
      </c>
      <c r="T532" s="22">
        <f>IF('Dashboard Visualization'!$U$1="",$S532,IF(S532&gt;'Dashboard Visualization'!$U$1,'Dashboard Visualization'!$U$1,S532))</f>
        <v>3.7999999999999999E-2</v>
      </c>
      <c r="U532" s="20">
        <f t="shared" si="85"/>
        <v>8910.1100509199987</v>
      </c>
      <c r="V532" s="20">
        <f t="shared" si="86"/>
        <v>475.67005091999818</v>
      </c>
      <c r="W532" s="22">
        <f t="shared" si="82"/>
        <v>5.3385429383207637E-2</v>
      </c>
      <c r="X532" s="28" t="str">
        <f>TEXT(B532,"MMM-YYYY")</f>
        <v>Jan-2024</v>
      </c>
      <c r="Y532" s="7" t="str">
        <f t="shared" si="87"/>
        <v>Q1-2024</v>
      </c>
      <c r="Z532" s="7" t="str">
        <f t="shared" si="88"/>
        <v>High Price</v>
      </c>
      <c r="AA532" s="7" t="str">
        <f t="shared" si="89"/>
        <v>Q1</v>
      </c>
      <c r="AB532" s="28" t="str">
        <f t="shared" si="90"/>
        <v>Jan</v>
      </c>
      <c r="AC532" s="28" t="str">
        <f t="shared" si="91"/>
        <v>2024</v>
      </c>
    </row>
    <row r="533" spans="1:29" x14ac:dyDescent="0.25">
      <c r="A533" s="4" t="s">
        <v>545</v>
      </c>
      <c r="B533" s="14">
        <v>45727</v>
      </c>
      <c r="C533" s="14">
        <v>45742</v>
      </c>
      <c r="D533" s="16">
        <f t="shared" si="83"/>
        <v>15</v>
      </c>
      <c r="E533" s="4" t="s">
        <v>649</v>
      </c>
      <c r="F533" s="4" t="s">
        <v>656</v>
      </c>
      <c r="G533" s="4" t="s">
        <v>671</v>
      </c>
      <c r="H533" s="4" t="s">
        <v>705</v>
      </c>
      <c r="I533" s="4" t="s">
        <v>708</v>
      </c>
      <c r="J533" s="4" t="s">
        <v>714</v>
      </c>
      <c r="K533" s="4" t="s">
        <v>730</v>
      </c>
      <c r="L533" s="4" t="s">
        <v>1264</v>
      </c>
      <c r="M533" s="9">
        <v>5</v>
      </c>
      <c r="N533" s="16">
        <f>ROUND(IF('Dashboard Visualization'!$U$3="",'Working Data'!$M533,'Working Data'!$M533*(100% +'Dashboard Visualization'!$U$3)),0)</f>
        <v>5</v>
      </c>
      <c r="O533" s="19">
        <v>116.97</v>
      </c>
      <c r="P533" s="20">
        <f>IF('Dashboard Visualization'!$U$2="",'Working Data'!$O533*'Working Data'!$N533,'Working Data'!$O533*'Working Data'!$N533*(100%+'Dashboard Visualization'!$U$2))</f>
        <v>584.85</v>
      </c>
      <c r="Q533" s="19">
        <v>140.82</v>
      </c>
      <c r="R533" s="20">
        <f t="shared" si="84"/>
        <v>123.63995999999999</v>
      </c>
      <c r="S533" s="11">
        <v>0.122</v>
      </c>
      <c r="T533" s="22">
        <f>IF('Dashboard Visualization'!$U$1="",$S533,IF(S533&gt;'Dashboard Visualization'!$U$1,'Dashboard Visualization'!$U$1,S533))</f>
        <v>0.122</v>
      </c>
      <c r="U533" s="20">
        <f t="shared" si="85"/>
        <v>542.77942439999993</v>
      </c>
      <c r="V533" s="20">
        <f t="shared" si="86"/>
        <v>-42.070575600000097</v>
      </c>
      <c r="W533" s="22">
        <f t="shared" si="82"/>
        <v>0</v>
      </c>
      <c r="X533" s="28" t="str">
        <f>TEXT(B533,"MMM-YYYY")</f>
        <v>Mar-2025</v>
      </c>
      <c r="Y533" s="7" t="str">
        <f t="shared" si="87"/>
        <v>Q1-2025</v>
      </c>
      <c r="Z533" s="7" t="str">
        <f t="shared" si="88"/>
        <v>Low Price</v>
      </c>
      <c r="AA533" s="7" t="str">
        <f t="shared" si="89"/>
        <v>Q1</v>
      </c>
      <c r="AB533" s="28" t="str">
        <f t="shared" si="90"/>
        <v>Mar</v>
      </c>
      <c r="AC533" s="28" t="str">
        <f t="shared" si="91"/>
        <v>2025</v>
      </c>
    </row>
    <row r="534" spans="1:29" x14ac:dyDescent="0.25">
      <c r="A534" s="4" t="s">
        <v>546</v>
      </c>
      <c r="B534" s="14">
        <v>45769</v>
      </c>
      <c r="C534" s="14">
        <v>45789</v>
      </c>
      <c r="D534" s="16">
        <f t="shared" si="83"/>
        <v>20</v>
      </c>
      <c r="E534" s="4" t="s">
        <v>649</v>
      </c>
      <c r="F534" s="4" t="s">
        <v>657</v>
      </c>
      <c r="G534" s="4" t="s">
        <v>679</v>
      </c>
      <c r="H534" s="4" t="s">
        <v>706</v>
      </c>
      <c r="I534" s="4" t="s">
        <v>709</v>
      </c>
      <c r="J534" s="4" t="s">
        <v>723</v>
      </c>
      <c r="K534" s="4" t="s">
        <v>732</v>
      </c>
      <c r="L534" s="4" t="s">
        <v>1265</v>
      </c>
      <c r="M534" s="9">
        <v>9</v>
      </c>
      <c r="N534" s="16">
        <f>ROUND(IF('Dashboard Visualization'!$U$3="",'Working Data'!$M534,'Working Data'!$M534*(100% +'Dashboard Visualization'!$U$3)),0)</f>
        <v>9</v>
      </c>
      <c r="O534" s="19">
        <v>59.51</v>
      </c>
      <c r="P534" s="20">
        <f>IF('Dashboard Visualization'!$U$2="",'Working Data'!$O534*'Working Data'!$N534,'Working Data'!$O534*'Working Data'!$N534*(100%+'Dashboard Visualization'!$U$2))</f>
        <v>535.59</v>
      </c>
      <c r="Q534" s="19">
        <v>67.040000000000006</v>
      </c>
      <c r="R534" s="20">
        <f t="shared" si="84"/>
        <v>59.397440000000003</v>
      </c>
      <c r="S534" s="11">
        <v>0.114</v>
      </c>
      <c r="T534" s="22">
        <f>IF('Dashboard Visualization'!$U$1="",$S534,IF(S534&gt;'Dashboard Visualization'!$U$1,'Dashboard Visualization'!$U$1,S534))</f>
        <v>0.114</v>
      </c>
      <c r="U534" s="20">
        <f t="shared" si="85"/>
        <v>473.63518656000008</v>
      </c>
      <c r="V534" s="20">
        <f t="shared" si="86"/>
        <v>-61.954813439999953</v>
      </c>
      <c r="W534" s="22">
        <f t="shared" si="82"/>
        <v>0</v>
      </c>
      <c r="X534" s="28" t="str">
        <f>TEXT(B534,"MMM-YYYY")</f>
        <v>Apr-2025</v>
      </c>
      <c r="Y534" s="7" t="str">
        <f t="shared" si="87"/>
        <v>Q2-2025</v>
      </c>
      <c r="Z534" s="7" t="str">
        <f t="shared" si="88"/>
        <v>Low Price</v>
      </c>
      <c r="AA534" s="7" t="str">
        <f t="shared" si="89"/>
        <v>Q2</v>
      </c>
      <c r="AB534" s="28" t="str">
        <f t="shared" si="90"/>
        <v>Apr</v>
      </c>
      <c r="AC534" s="28" t="str">
        <f t="shared" si="91"/>
        <v>2025</v>
      </c>
    </row>
    <row r="535" spans="1:29" x14ac:dyDescent="0.25">
      <c r="A535" s="4" t="s">
        <v>547</v>
      </c>
      <c r="B535" s="14">
        <v>45155</v>
      </c>
      <c r="C535" s="14">
        <v>45172</v>
      </c>
      <c r="D535" s="16">
        <f t="shared" si="83"/>
        <v>17</v>
      </c>
      <c r="E535" s="4" t="s">
        <v>646</v>
      </c>
      <c r="F535" s="4" t="s">
        <v>661</v>
      </c>
      <c r="G535" s="4" t="s">
        <v>687</v>
      </c>
      <c r="H535" s="4" t="s">
        <v>706</v>
      </c>
      <c r="I535" s="4" t="s">
        <v>707</v>
      </c>
      <c r="J535" s="4" t="s">
        <v>720</v>
      </c>
      <c r="K535" s="4" t="s">
        <v>730</v>
      </c>
      <c r="L535" s="4" t="s">
        <v>1266</v>
      </c>
      <c r="M535" s="9">
        <v>10</v>
      </c>
      <c r="N535" s="16">
        <f>ROUND(IF('Dashboard Visualization'!$U$3="",'Working Data'!$M535,'Working Data'!$M535*(100% +'Dashboard Visualization'!$U$3)),0)</f>
        <v>10</v>
      </c>
      <c r="O535" s="19">
        <v>676.37</v>
      </c>
      <c r="P535" s="20">
        <f>IF('Dashboard Visualization'!$U$2="",'Working Data'!$O535*'Working Data'!$N535,'Working Data'!$O535*'Working Data'!$N535*(100%+'Dashboard Visualization'!$U$2))</f>
        <v>6763.7</v>
      </c>
      <c r="Q535" s="19">
        <v>1276.67</v>
      </c>
      <c r="R535" s="20">
        <f t="shared" si="84"/>
        <v>1192.40978</v>
      </c>
      <c r="S535" s="11">
        <v>6.6000000000000003E-2</v>
      </c>
      <c r="T535" s="22">
        <f>IF('Dashboard Visualization'!$U$1="",$S535,IF(S535&gt;'Dashboard Visualization'!$U$1,'Dashboard Visualization'!$U$1,S535))</f>
        <v>6.6000000000000003E-2</v>
      </c>
      <c r="U535" s="20">
        <f t="shared" si="85"/>
        <v>11137.1073452</v>
      </c>
      <c r="V535" s="20">
        <f t="shared" si="86"/>
        <v>4373.4073452000002</v>
      </c>
      <c r="W535" s="22">
        <f t="shared" si="82"/>
        <v>0.39268790446604629</v>
      </c>
      <c r="X535" s="28" t="str">
        <f>TEXT(B535,"MMM-YYYY")</f>
        <v>Aug-2023</v>
      </c>
      <c r="Y535" s="7" t="str">
        <f t="shared" si="87"/>
        <v>Q3-2023</v>
      </c>
      <c r="Z535" s="7" t="str">
        <f t="shared" si="88"/>
        <v>High Price</v>
      </c>
      <c r="AA535" s="7" t="str">
        <f t="shared" si="89"/>
        <v>Q3</v>
      </c>
      <c r="AB535" s="28" t="str">
        <f t="shared" si="90"/>
        <v>Aug</v>
      </c>
      <c r="AC535" s="28" t="str">
        <f t="shared" si="91"/>
        <v>2023</v>
      </c>
    </row>
    <row r="536" spans="1:29" x14ac:dyDescent="0.25">
      <c r="A536" s="4" t="s">
        <v>548</v>
      </c>
      <c r="B536" s="14">
        <v>45832</v>
      </c>
      <c r="C536" s="14">
        <v>45852</v>
      </c>
      <c r="D536" s="16">
        <f t="shared" si="83"/>
        <v>20</v>
      </c>
      <c r="E536" s="4" t="s">
        <v>646</v>
      </c>
      <c r="F536" s="4" t="s">
        <v>661</v>
      </c>
      <c r="G536" s="4" t="s">
        <v>682</v>
      </c>
      <c r="H536" s="4" t="s">
        <v>706</v>
      </c>
      <c r="I536" s="4" t="s">
        <v>709</v>
      </c>
      <c r="J536" s="4" t="s">
        <v>713</v>
      </c>
      <c r="K536" s="4" t="s">
        <v>731</v>
      </c>
      <c r="L536" s="4" t="s">
        <v>1267</v>
      </c>
      <c r="M536" s="9">
        <v>20</v>
      </c>
      <c r="N536" s="16">
        <f>ROUND(IF('Dashboard Visualization'!$U$3="",'Working Data'!$M536,'Working Data'!$M536*(100% +'Dashboard Visualization'!$U$3)),0)</f>
        <v>20</v>
      </c>
      <c r="O536" s="19">
        <v>1151.06</v>
      </c>
      <c r="P536" s="20">
        <f>IF('Dashboard Visualization'!$U$2="",'Working Data'!$O536*'Working Data'!$N536,'Working Data'!$O536*'Working Data'!$N536*(100%+'Dashboard Visualization'!$U$2))</f>
        <v>23021.199999999997</v>
      </c>
      <c r="Q536" s="19">
        <v>2821.36</v>
      </c>
      <c r="R536" s="20">
        <f t="shared" si="84"/>
        <v>2121.6627200000003</v>
      </c>
      <c r="S536" s="11">
        <v>0.248</v>
      </c>
      <c r="T536" s="22">
        <f>IF('Dashboard Visualization'!$U$1="",$S536,IF(S536&gt;'Dashboard Visualization'!$U$1,'Dashboard Visualization'!$U$1,S536))</f>
        <v>0.248</v>
      </c>
      <c r="U536" s="20">
        <f t="shared" si="85"/>
        <v>31909.807308800006</v>
      </c>
      <c r="V536" s="20">
        <f t="shared" si="86"/>
        <v>8888.6073088000085</v>
      </c>
      <c r="W536" s="22">
        <f t="shared" si="82"/>
        <v>0.27855408911694463</v>
      </c>
      <c r="X536" s="28" t="str">
        <f>TEXT(B536,"MMM-YYYY")</f>
        <v>Jun-2025</v>
      </c>
      <c r="Y536" s="7" t="str">
        <f t="shared" si="87"/>
        <v>Q2-2025</v>
      </c>
      <c r="Z536" s="7" t="str">
        <f t="shared" si="88"/>
        <v>Medium Price</v>
      </c>
      <c r="AA536" s="7" t="str">
        <f t="shared" si="89"/>
        <v>Q2</v>
      </c>
      <c r="AB536" s="28" t="str">
        <f t="shared" si="90"/>
        <v>Jun</v>
      </c>
      <c r="AC536" s="28" t="str">
        <f t="shared" si="91"/>
        <v>2025</v>
      </c>
    </row>
    <row r="537" spans="1:29" x14ac:dyDescent="0.25">
      <c r="A537" s="4" t="s">
        <v>549</v>
      </c>
      <c r="B537" s="14">
        <v>45667</v>
      </c>
      <c r="C537" s="14">
        <v>45694</v>
      </c>
      <c r="D537" s="16">
        <f t="shared" si="83"/>
        <v>27</v>
      </c>
      <c r="E537" s="4" t="s">
        <v>648</v>
      </c>
      <c r="F537" s="4" t="s">
        <v>655</v>
      </c>
      <c r="G537" s="4" t="s">
        <v>672</v>
      </c>
      <c r="H537" s="4" t="s">
        <v>703</v>
      </c>
      <c r="I537" s="4" t="s">
        <v>707</v>
      </c>
      <c r="J537" s="4" t="s">
        <v>717</v>
      </c>
      <c r="K537" s="4" t="s">
        <v>731</v>
      </c>
      <c r="L537" s="4" t="s">
        <v>1268</v>
      </c>
      <c r="M537" s="9">
        <v>12</v>
      </c>
      <c r="N537" s="16">
        <f>ROUND(IF('Dashboard Visualization'!$U$3="",'Working Data'!$M537,'Working Data'!$M537*(100% +'Dashboard Visualization'!$U$3)),0)</f>
        <v>12</v>
      </c>
      <c r="O537" s="19">
        <v>725.62</v>
      </c>
      <c r="P537" s="20">
        <f>IF('Dashboard Visualization'!$U$2="",'Working Data'!$O537*'Working Data'!$N537,'Working Data'!$O537*'Working Data'!$N537*(100%+'Dashboard Visualization'!$U$2))</f>
        <v>8707.44</v>
      </c>
      <c r="Q537" s="19">
        <v>1559.19</v>
      </c>
      <c r="R537" s="20">
        <f t="shared" si="84"/>
        <v>1262.9439000000002</v>
      </c>
      <c r="S537" s="11">
        <v>0.19</v>
      </c>
      <c r="T537" s="22">
        <f>IF('Dashboard Visualization'!$U$1="",$S537,IF(S537&gt;'Dashboard Visualization'!$U$1,'Dashboard Visualization'!$U$1,S537))</f>
        <v>0.19</v>
      </c>
      <c r="U537" s="20">
        <f t="shared" si="85"/>
        <v>12275.814708000002</v>
      </c>
      <c r="V537" s="20">
        <f t="shared" si="86"/>
        <v>3568.3747080000012</v>
      </c>
      <c r="W537" s="22">
        <f t="shared" si="82"/>
        <v>0.29068333083217152</v>
      </c>
      <c r="X537" s="28" t="str">
        <f>TEXT(B537,"MMM-YYYY")</f>
        <v>Jan-2025</v>
      </c>
      <c r="Y537" s="7" t="str">
        <f t="shared" si="87"/>
        <v>Q1-2025</v>
      </c>
      <c r="Z537" s="7" t="str">
        <f t="shared" si="88"/>
        <v>High Price</v>
      </c>
      <c r="AA537" s="7" t="str">
        <f t="shared" si="89"/>
        <v>Q1</v>
      </c>
      <c r="AB537" s="28" t="str">
        <f t="shared" si="90"/>
        <v>Jan</v>
      </c>
      <c r="AC537" s="28" t="str">
        <f t="shared" si="91"/>
        <v>2025</v>
      </c>
    </row>
    <row r="538" spans="1:29" x14ac:dyDescent="0.25">
      <c r="A538" s="4" t="s">
        <v>550</v>
      </c>
      <c r="B538" s="14">
        <v>45108</v>
      </c>
      <c r="C538" s="14">
        <v>45118</v>
      </c>
      <c r="D538" s="16">
        <f t="shared" si="83"/>
        <v>10</v>
      </c>
      <c r="E538" s="4" t="s">
        <v>649</v>
      </c>
      <c r="F538" s="4" t="s">
        <v>657</v>
      </c>
      <c r="G538" s="4" t="s">
        <v>690</v>
      </c>
      <c r="H538" s="4" t="s">
        <v>701</v>
      </c>
      <c r="I538" s="4" t="s">
        <v>711</v>
      </c>
      <c r="J538" s="4" t="s">
        <v>721</v>
      </c>
      <c r="K538" s="4" t="s">
        <v>729</v>
      </c>
      <c r="L538" s="4" t="s">
        <v>1269</v>
      </c>
      <c r="M538" s="9">
        <v>14</v>
      </c>
      <c r="N538" s="16">
        <f>ROUND(IF('Dashboard Visualization'!$U$3="",'Working Data'!$M538,'Working Data'!$M538*(100% +'Dashboard Visualization'!$U$3)),0)</f>
        <v>14</v>
      </c>
      <c r="O538" s="19">
        <v>479.5</v>
      </c>
      <c r="P538" s="20">
        <f>IF('Dashboard Visualization'!$U$2="",'Working Data'!$O538*'Working Data'!$N538,'Working Data'!$O538*'Working Data'!$N538*(100%+'Dashboard Visualization'!$U$2))</f>
        <v>6713</v>
      </c>
      <c r="Q538" s="19">
        <v>656.66</v>
      </c>
      <c r="R538" s="20">
        <f t="shared" si="84"/>
        <v>558.81765999999993</v>
      </c>
      <c r="S538" s="11">
        <v>0.14899999999999999</v>
      </c>
      <c r="T538" s="22">
        <f>IF('Dashboard Visualization'!$U$1="",$S538,IF(S538&gt;'Dashboard Visualization'!$U$1,'Dashboard Visualization'!$U$1,S538))</f>
        <v>0.14899999999999999</v>
      </c>
      <c r="U538" s="20">
        <f t="shared" si="85"/>
        <v>6657.7536012399987</v>
      </c>
      <c r="V538" s="20">
        <f t="shared" si="86"/>
        <v>-55.246398760001284</v>
      </c>
      <c r="W538" s="22">
        <f t="shared" si="82"/>
        <v>0</v>
      </c>
      <c r="X538" s="28" t="str">
        <f>TEXT(B538,"MMM-YYYY")</f>
        <v>Jul-2023</v>
      </c>
      <c r="Y538" s="7" t="str">
        <f t="shared" si="87"/>
        <v>Q3-2023</v>
      </c>
      <c r="Z538" s="7" t="str">
        <f t="shared" si="88"/>
        <v>High Price</v>
      </c>
      <c r="AA538" s="7" t="str">
        <f t="shared" si="89"/>
        <v>Q3</v>
      </c>
      <c r="AB538" s="28" t="str">
        <f t="shared" si="90"/>
        <v>Jul</v>
      </c>
      <c r="AC538" s="28" t="str">
        <f t="shared" si="91"/>
        <v>2023</v>
      </c>
    </row>
    <row r="539" spans="1:29" x14ac:dyDescent="0.25">
      <c r="A539" s="4" t="s">
        <v>551</v>
      </c>
      <c r="B539" s="14">
        <v>45520</v>
      </c>
      <c r="C539" s="14">
        <v>45530</v>
      </c>
      <c r="D539" s="16">
        <f t="shared" si="83"/>
        <v>10</v>
      </c>
      <c r="E539" s="4" t="s">
        <v>648</v>
      </c>
      <c r="F539" s="4" t="s">
        <v>660</v>
      </c>
      <c r="G539" s="4" t="s">
        <v>677</v>
      </c>
      <c r="H539" s="4" t="s">
        <v>701</v>
      </c>
      <c r="I539" s="4" t="s">
        <v>710</v>
      </c>
      <c r="J539" s="4" t="s">
        <v>716</v>
      </c>
      <c r="K539" s="4" t="s">
        <v>731</v>
      </c>
      <c r="L539" s="4" t="s">
        <v>1121</v>
      </c>
      <c r="M539" s="9">
        <v>21</v>
      </c>
      <c r="N539" s="16">
        <f>ROUND(IF('Dashboard Visualization'!$U$3="",'Working Data'!$M539,'Working Data'!$M539*(100% +'Dashboard Visualization'!$U$3)),0)</f>
        <v>21</v>
      </c>
      <c r="O539" s="19">
        <v>1291.7</v>
      </c>
      <c r="P539" s="20">
        <f>IF('Dashboard Visualization'!$U$2="",'Working Data'!$O539*'Working Data'!$N539,'Working Data'!$O539*'Working Data'!$N539*(100%+'Dashboard Visualization'!$U$2))</f>
        <v>27125.7</v>
      </c>
      <c r="Q539" s="19">
        <v>2657.84</v>
      </c>
      <c r="R539" s="20">
        <f t="shared" si="84"/>
        <v>2426.6079200000004</v>
      </c>
      <c r="S539" s="11">
        <v>8.6999999999999994E-2</v>
      </c>
      <c r="T539" s="22">
        <f>IF('Dashboard Visualization'!$U$1="",$S539,IF(S539&gt;'Dashboard Visualization'!$U$1,'Dashboard Visualization'!$U$1,S539))</f>
        <v>8.6999999999999994E-2</v>
      </c>
      <c r="U539" s="20">
        <f t="shared" si="85"/>
        <v>46525.35365016001</v>
      </c>
      <c r="V539" s="20">
        <f t="shared" si="86"/>
        <v>19399.653650160009</v>
      </c>
      <c r="W539" s="22">
        <f t="shared" si="82"/>
        <v>0.41696950432730973</v>
      </c>
      <c r="X539" s="28" t="str">
        <f>TEXT(B539,"MMM-YYYY")</f>
        <v>Aug-2024</v>
      </c>
      <c r="Y539" s="7" t="str">
        <f t="shared" si="87"/>
        <v>Q3-2024</v>
      </c>
      <c r="Z539" s="7" t="str">
        <f t="shared" si="88"/>
        <v>Medium Price</v>
      </c>
      <c r="AA539" s="7" t="str">
        <f t="shared" si="89"/>
        <v>Q3</v>
      </c>
      <c r="AB539" s="28" t="str">
        <f t="shared" si="90"/>
        <v>Aug</v>
      </c>
      <c r="AC539" s="28" t="str">
        <f t="shared" si="91"/>
        <v>2024</v>
      </c>
    </row>
    <row r="540" spans="1:29" x14ac:dyDescent="0.25">
      <c r="A540" s="4" t="s">
        <v>552</v>
      </c>
      <c r="B540" s="14">
        <v>45114</v>
      </c>
      <c r="C540" s="14">
        <v>45120</v>
      </c>
      <c r="D540" s="16">
        <f t="shared" si="83"/>
        <v>6</v>
      </c>
      <c r="E540" s="4" t="s">
        <v>646</v>
      </c>
      <c r="F540" s="4" t="s">
        <v>661</v>
      </c>
      <c r="G540" s="4" t="s">
        <v>695</v>
      </c>
      <c r="H540" s="4" t="s">
        <v>705</v>
      </c>
      <c r="I540" s="4" t="s">
        <v>709</v>
      </c>
      <c r="J540" s="4" t="s">
        <v>717</v>
      </c>
      <c r="K540" s="4" t="s">
        <v>733</v>
      </c>
      <c r="L540" s="4" t="s">
        <v>1270</v>
      </c>
      <c r="M540" s="9">
        <v>15</v>
      </c>
      <c r="N540" s="16">
        <f>ROUND(IF('Dashboard Visualization'!$U$3="",'Working Data'!$M540,'Working Data'!$M540*(100% +'Dashboard Visualization'!$U$3)),0)</f>
        <v>15</v>
      </c>
      <c r="O540" s="19">
        <v>612.59</v>
      </c>
      <c r="P540" s="20">
        <f>IF('Dashboard Visualization'!$U$2="",'Working Data'!$O540*'Working Data'!$N540,'Working Data'!$O540*'Working Data'!$N540*(100%+'Dashboard Visualization'!$U$2))</f>
        <v>9188.85</v>
      </c>
      <c r="Q540" s="19">
        <v>1424.74</v>
      </c>
      <c r="R540" s="20">
        <f t="shared" si="84"/>
        <v>1362.05144</v>
      </c>
      <c r="S540" s="11">
        <v>4.3999999999999997E-2</v>
      </c>
      <c r="T540" s="22">
        <f>IF('Dashboard Visualization'!$U$1="",$S540,IF(S540&gt;'Dashboard Visualization'!$U$1,'Dashboard Visualization'!$U$1,S540))</f>
        <v>4.3999999999999997E-2</v>
      </c>
      <c r="U540" s="20">
        <f t="shared" si="85"/>
        <v>19531.817649599998</v>
      </c>
      <c r="V540" s="20">
        <f t="shared" si="86"/>
        <v>10342.967649599997</v>
      </c>
      <c r="W540" s="22">
        <f t="shared" si="82"/>
        <v>0.52954455315692628</v>
      </c>
      <c r="X540" s="28" t="str">
        <f>TEXT(B540,"MMM-YYYY")</f>
        <v>Jul-2023</v>
      </c>
      <c r="Y540" s="7" t="str">
        <f t="shared" si="87"/>
        <v>Q3-2023</v>
      </c>
      <c r="Z540" s="7" t="str">
        <f t="shared" si="88"/>
        <v>High Price</v>
      </c>
      <c r="AA540" s="7" t="str">
        <f t="shared" si="89"/>
        <v>Q3</v>
      </c>
      <c r="AB540" s="28" t="str">
        <f t="shared" si="90"/>
        <v>Jul</v>
      </c>
      <c r="AC540" s="28" t="str">
        <f t="shared" si="91"/>
        <v>2023</v>
      </c>
    </row>
    <row r="541" spans="1:29" x14ac:dyDescent="0.25">
      <c r="A541" s="4" t="s">
        <v>553</v>
      </c>
      <c r="B541" s="14">
        <v>45288</v>
      </c>
      <c r="C541" s="14">
        <v>45292</v>
      </c>
      <c r="D541" s="16">
        <f t="shared" si="83"/>
        <v>4</v>
      </c>
      <c r="E541" s="4" t="s">
        <v>646</v>
      </c>
      <c r="F541" s="4" t="s">
        <v>661</v>
      </c>
      <c r="G541" s="4" t="s">
        <v>695</v>
      </c>
      <c r="H541" s="4" t="s">
        <v>702</v>
      </c>
      <c r="I541" s="4" t="s">
        <v>710</v>
      </c>
      <c r="J541" s="4" t="s">
        <v>720</v>
      </c>
      <c r="K541" s="4" t="s">
        <v>728</v>
      </c>
      <c r="L541" s="4" t="s">
        <v>1271</v>
      </c>
      <c r="M541" s="9">
        <v>32</v>
      </c>
      <c r="N541" s="16">
        <f>ROUND(IF('Dashboard Visualization'!$U$3="",'Working Data'!$M541,'Working Data'!$M541*(100% +'Dashboard Visualization'!$U$3)),0)</f>
        <v>32</v>
      </c>
      <c r="O541" s="19">
        <v>1141.8</v>
      </c>
      <c r="P541" s="20">
        <f>IF('Dashboard Visualization'!$U$2="",'Working Data'!$O541*'Working Data'!$N541,'Working Data'!$O541*'Working Data'!$N541*(100%+'Dashboard Visualization'!$U$2))</f>
        <v>36537.599999999999</v>
      </c>
      <c r="Q541" s="19">
        <v>2318.7399999999998</v>
      </c>
      <c r="R541" s="20">
        <f t="shared" si="84"/>
        <v>2070.6348199999998</v>
      </c>
      <c r="S541" s="11">
        <v>0.107</v>
      </c>
      <c r="T541" s="22">
        <f>IF('Dashboard Visualization'!$U$1="",$S541,IF(S541&gt;'Dashboard Visualization'!$U$1,'Dashboard Visualization'!$U$1,S541))</f>
        <v>0.107</v>
      </c>
      <c r="U541" s="20">
        <f t="shared" si="85"/>
        <v>59170.460616319993</v>
      </c>
      <c r="V541" s="20">
        <f t="shared" si="86"/>
        <v>22632.860616319995</v>
      </c>
      <c r="W541" s="22">
        <f t="shared" si="82"/>
        <v>0.38250269442853641</v>
      </c>
      <c r="X541" s="28" t="str">
        <f>TEXT(B541,"MMM-YYYY")</f>
        <v>Dec-2023</v>
      </c>
      <c r="Y541" s="7" t="str">
        <f t="shared" si="87"/>
        <v>Q4-2023</v>
      </c>
      <c r="Z541" s="7" t="str">
        <f t="shared" si="88"/>
        <v>Medium Price</v>
      </c>
      <c r="AA541" s="7" t="str">
        <f t="shared" si="89"/>
        <v>Q4</v>
      </c>
      <c r="AB541" s="28" t="str">
        <f t="shared" si="90"/>
        <v>Dec</v>
      </c>
      <c r="AC541" s="28" t="str">
        <f t="shared" si="91"/>
        <v>2023</v>
      </c>
    </row>
    <row r="542" spans="1:29" x14ac:dyDescent="0.25">
      <c r="A542" s="4" t="s">
        <v>554</v>
      </c>
      <c r="B542" s="14">
        <v>44952</v>
      </c>
      <c r="C542" s="14">
        <v>44972</v>
      </c>
      <c r="D542" s="16">
        <f t="shared" si="83"/>
        <v>20</v>
      </c>
      <c r="E542" s="4" t="s">
        <v>649</v>
      </c>
      <c r="F542" s="4" t="s">
        <v>656</v>
      </c>
      <c r="G542" s="4" t="s">
        <v>671</v>
      </c>
      <c r="H542" s="4" t="s">
        <v>705</v>
      </c>
      <c r="I542" s="4" t="s">
        <v>708</v>
      </c>
      <c r="J542" s="4" t="s">
        <v>719</v>
      </c>
      <c r="K542" s="4" t="s">
        <v>729</v>
      </c>
      <c r="L542" s="4" t="s">
        <v>1272</v>
      </c>
      <c r="M542" s="9">
        <v>10</v>
      </c>
      <c r="N542" s="16">
        <f>ROUND(IF('Dashboard Visualization'!$U$3="",'Working Data'!$M542,'Working Data'!$M542*(100% +'Dashboard Visualization'!$U$3)),0)</f>
        <v>10</v>
      </c>
      <c r="O542" s="19">
        <v>492.62</v>
      </c>
      <c r="P542" s="20">
        <f>IF('Dashboard Visualization'!$U$2="",'Working Data'!$O542*'Working Data'!$N542,'Working Data'!$O542*'Working Data'!$N542*(100%+'Dashboard Visualization'!$U$2))</f>
        <v>4926.2</v>
      </c>
      <c r="Q542" s="19">
        <v>366.7</v>
      </c>
      <c r="R542" s="20">
        <f t="shared" si="84"/>
        <v>334.06369999999998</v>
      </c>
      <c r="S542" s="11">
        <v>8.8999999999999996E-2</v>
      </c>
      <c r="T542" s="22">
        <f>IF('Dashboard Visualization'!$U$1="",$S542,IF(S542&gt;'Dashboard Visualization'!$U$1,'Dashboard Visualization'!$U$1,S542))</f>
        <v>8.8999999999999996E-2</v>
      </c>
      <c r="U542" s="20">
        <f t="shared" si="85"/>
        <v>3043.320307</v>
      </c>
      <c r="V542" s="20">
        <f t="shared" si="86"/>
        <v>-1882.8796929999999</v>
      </c>
      <c r="W542" s="22">
        <f t="shared" si="82"/>
        <v>0</v>
      </c>
      <c r="X542" s="28" t="str">
        <f>TEXT(B542,"MMM-YYYY")</f>
        <v>Jan-2023</v>
      </c>
      <c r="Y542" s="7" t="str">
        <f t="shared" si="87"/>
        <v>Q1-2023</v>
      </c>
      <c r="Z542" s="7" t="str">
        <f t="shared" si="88"/>
        <v>Low Price</v>
      </c>
      <c r="AA542" s="7" t="str">
        <f t="shared" si="89"/>
        <v>Q1</v>
      </c>
      <c r="AB542" s="28" t="str">
        <f t="shared" si="90"/>
        <v>Jan</v>
      </c>
      <c r="AC542" s="28" t="str">
        <f t="shared" si="91"/>
        <v>2023</v>
      </c>
    </row>
    <row r="543" spans="1:29" x14ac:dyDescent="0.25">
      <c r="A543" s="4" t="s">
        <v>555</v>
      </c>
      <c r="B543" s="14">
        <v>45115</v>
      </c>
      <c r="C543" s="14">
        <v>45116</v>
      </c>
      <c r="D543" s="16">
        <f t="shared" si="83"/>
        <v>1</v>
      </c>
      <c r="E543" s="4" t="s">
        <v>646</v>
      </c>
      <c r="F543" s="4" t="s">
        <v>650</v>
      </c>
      <c r="G543" s="4" t="s">
        <v>664</v>
      </c>
      <c r="H543" s="4" t="s">
        <v>704</v>
      </c>
      <c r="I543" s="4" t="s">
        <v>708</v>
      </c>
      <c r="J543" s="4" t="s">
        <v>726</v>
      </c>
      <c r="K543" s="4" t="s">
        <v>731</v>
      </c>
      <c r="L543" s="4" t="s">
        <v>1273</v>
      </c>
      <c r="M543" s="9">
        <v>7</v>
      </c>
      <c r="N543" s="16">
        <f>ROUND(IF('Dashboard Visualization'!$U$3="",'Working Data'!$M543,'Working Data'!$M543*(100% +'Dashboard Visualization'!$U$3)),0)</f>
        <v>7</v>
      </c>
      <c r="O543" s="19">
        <v>1258.72</v>
      </c>
      <c r="P543" s="20">
        <f>IF('Dashboard Visualization'!$U$2="",'Working Data'!$O543*'Working Data'!$N543,'Working Data'!$O543*'Working Data'!$N543*(100%+'Dashboard Visualization'!$U$2))</f>
        <v>8811.0400000000009</v>
      </c>
      <c r="Q543" s="19">
        <v>2797.41</v>
      </c>
      <c r="R543" s="20">
        <f t="shared" si="84"/>
        <v>2797.41</v>
      </c>
      <c r="S543" s="11">
        <v>0</v>
      </c>
      <c r="T543" s="22">
        <f>IF('Dashboard Visualization'!$U$1="",$S543,IF(S543&gt;'Dashboard Visualization'!$U$1,'Dashboard Visualization'!$U$1,S543))</f>
        <v>0</v>
      </c>
      <c r="U543" s="20">
        <f t="shared" si="85"/>
        <v>19581.87</v>
      </c>
      <c r="V543" s="20">
        <f t="shared" si="86"/>
        <v>10770.829999999998</v>
      </c>
      <c r="W543" s="22">
        <f t="shared" si="82"/>
        <v>0.55004093071805704</v>
      </c>
      <c r="X543" s="28" t="str">
        <f>TEXT(B543,"MMM-YYYY")</f>
        <v>Jul-2023</v>
      </c>
      <c r="Y543" s="7" t="str">
        <f t="shared" si="87"/>
        <v>Q3-2023</v>
      </c>
      <c r="Z543" s="7" t="str">
        <f t="shared" si="88"/>
        <v>Medium Price</v>
      </c>
      <c r="AA543" s="7" t="str">
        <f t="shared" si="89"/>
        <v>Q3</v>
      </c>
      <c r="AB543" s="28" t="str">
        <f t="shared" si="90"/>
        <v>Jul</v>
      </c>
      <c r="AC543" s="28" t="str">
        <f t="shared" si="91"/>
        <v>2023</v>
      </c>
    </row>
    <row r="544" spans="1:29" x14ac:dyDescent="0.25">
      <c r="A544" s="4" t="s">
        <v>556</v>
      </c>
      <c r="B544" s="14">
        <v>45450</v>
      </c>
      <c r="C544" s="14">
        <v>45452</v>
      </c>
      <c r="D544" s="16">
        <f t="shared" si="83"/>
        <v>2</v>
      </c>
      <c r="E544" s="4" t="s">
        <v>647</v>
      </c>
      <c r="F544" s="4" t="s">
        <v>659</v>
      </c>
      <c r="G544" s="4" t="s">
        <v>685</v>
      </c>
      <c r="H544" s="4" t="s">
        <v>701</v>
      </c>
      <c r="I544" s="4" t="s">
        <v>707</v>
      </c>
      <c r="J544" s="4" t="s">
        <v>719</v>
      </c>
      <c r="K544" s="4" t="s">
        <v>732</v>
      </c>
      <c r="L544" s="4" t="s">
        <v>1274</v>
      </c>
      <c r="M544" s="9">
        <v>16</v>
      </c>
      <c r="N544" s="16">
        <f>ROUND(IF('Dashboard Visualization'!$U$3="",'Working Data'!$M544,'Working Data'!$M544*(100% +'Dashboard Visualization'!$U$3)),0)</f>
        <v>16</v>
      </c>
      <c r="O544" s="19">
        <v>1370.28</v>
      </c>
      <c r="P544" s="20">
        <f>IF('Dashboard Visualization'!$U$2="",'Working Data'!$O544*'Working Data'!$N544,'Working Data'!$O544*'Working Data'!$N544*(100%+'Dashboard Visualization'!$U$2))</f>
        <v>21924.48</v>
      </c>
      <c r="Q544" s="19">
        <v>2209.66</v>
      </c>
      <c r="R544" s="20">
        <f t="shared" si="84"/>
        <v>1915.7752199999998</v>
      </c>
      <c r="S544" s="11">
        <v>0.13300000000000001</v>
      </c>
      <c r="T544" s="22">
        <f>IF('Dashboard Visualization'!$U$1="",$S544,IF(S544&gt;'Dashboard Visualization'!$U$1,'Dashboard Visualization'!$U$1,S544))</f>
        <v>0.13300000000000001</v>
      </c>
      <c r="U544" s="20">
        <f t="shared" si="85"/>
        <v>26575.633851839997</v>
      </c>
      <c r="V544" s="20">
        <f t="shared" si="86"/>
        <v>4651.1538518399975</v>
      </c>
      <c r="W544" s="22">
        <f t="shared" si="82"/>
        <v>0.17501572597554316</v>
      </c>
      <c r="X544" s="28" t="str">
        <f>TEXT(B544,"MMM-YYYY")</f>
        <v>Jun-2024</v>
      </c>
      <c r="Y544" s="7" t="str">
        <f t="shared" si="87"/>
        <v>Q2-2024</v>
      </c>
      <c r="Z544" s="7" t="str">
        <f t="shared" si="88"/>
        <v>Medium Price</v>
      </c>
      <c r="AA544" s="7" t="str">
        <f t="shared" si="89"/>
        <v>Q2</v>
      </c>
      <c r="AB544" s="28" t="str">
        <f t="shared" si="90"/>
        <v>Jun</v>
      </c>
      <c r="AC544" s="28" t="str">
        <f t="shared" si="91"/>
        <v>2024</v>
      </c>
    </row>
    <row r="545" spans="1:29" x14ac:dyDescent="0.25">
      <c r="A545" s="4" t="s">
        <v>557</v>
      </c>
      <c r="B545" s="14">
        <v>44968</v>
      </c>
      <c r="C545" s="14">
        <v>44969</v>
      </c>
      <c r="D545" s="16">
        <f t="shared" si="83"/>
        <v>1</v>
      </c>
      <c r="E545" s="4" t="s">
        <v>646</v>
      </c>
      <c r="F545" s="4" t="s">
        <v>651</v>
      </c>
      <c r="G545" s="4" t="s">
        <v>663</v>
      </c>
      <c r="H545" s="4" t="s">
        <v>703</v>
      </c>
      <c r="I545" s="4" t="s">
        <v>711</v>
      </c>
      <c r="J545" s="4" t="s">
        <v>726</v>
      </c>
      <c r="K545" s="4" t="s">
        <v>733</v>
      </c>
      <c r="L545" s="4" t="s">
        <v>1275</v>
      </c>
      <c r="M545" s="9">
        <v>6</v>
      </c>
      <c r="N545" s="16">
        <f>ROUND(IF('Dashboard Visualization'!$U$3="",'Working Data'!$M545,'Working Data'!$M545*(100% +'Dashboard Visualization'!$U$3)),0)</f>
        <v>6</v>
      </c>
      <c r="O545" s="19">
        <v>944.61</v>
      </c>
      <c r="P545" s="20">
        <f>IF('Dashboard Visualization'!$U$2="",'Working Data'!$O545*'Working Data'!$N545,'Working Data'!$O545*'Working Data'!$N545*(100%+'Dashboard Visualization'!$U$2))</f>
        <v>5667.66</v>
      </c>
      <c r="Q545" s="19">
        <v>839.04</v>
      </c>
      <c r="R545" s="20">
        <f t="shared" si="84"/>
        <v>789.53664000000003</v>
      </c>
      <c r="S545" s="11">
        <v>5.8999999999999997E-2</v>
      </c>
      <c r="T545" s="22">
        <f>IF('Dashboard Visualization'!$U$1="",$S545,IF(S545&gt;'Dashboard Visualization'!$U$1,'Dashboard Visualization'!$U$1,S545))</f>
        <v>5.8999999999999997E-2</v>
      </c>
      <c r="U545" s="20">
        <f t="shared" si="85"/>
        <v>4457.7238694400003</v>
      </c>
      <c r="V545" s="20">
        <f t="shared" si="86"/>
        <v>-1209.9361305599996</v>
      </c>
      <c r="W545" s="22">
        <f t="shared" si="82"/>
        <v>0</v>
      </c>
      <c r="X545" s="28" t="str">
        <f>TEXT(B545,"MMM-YYYY")</f>
        <v>Feb-2023</v>
      </c>
      <c r="Y545" s="7" t="str">
        <f t="shared" si="87"/>
        <v>Q1-2023</v>
      </c>
      <c r="Z545" s="7" t="str">
        <f t="shared" si="88"/>
        <v>High Price</v>
      </c>
      <c r="AA545" s="7" t="str">
        <f t="shared" si="89"/>
        <v>Q1</v>
      </c>
      <c r="AB545" s="28" t="str">
        <f t="shared" si="90"/>
        <v>Feb</v>
      </c>
      <c r="AC545" s="28" t="str">
        <f t="shared" si="91"/>
        <v>2023</v>
      </c>
    </row>
    <row r="546" spans="1:29" x14ac:dyDescent="0.25">
      <c r="A546" s="4" t="s">
        <v>558</v>
      </c>
      <c r="B546" s="14">
        <v>45108</v>
      </c>
      <c r="C546" s="14">
        <v>45115</v>
      </c>
      <c r="D546" s="16">
        <f t="shared" si="83"/>
        <v>7</v>
      </c>
      <c r="E546" s="4" t="s">
        <v>649</v>
      </c>
      <c r="F546" s="4" t="s">
        <v>656</v>
      </c>
      <c r="G546" s="4" t="s">
        <v>698</v>
      </c>
      <c r="H546" s="4" t="s">
        <v>705</v>
      </c>
      <c r="I546" s="4" t="s">
        <v>710</v>
      </c>
      <c r="J546" s="4" t="s">
        <v>725</v>
      </c>
      <c r="K546" s="4" t="s">
        <v>731</v>
      </c>
      <c r="L546" s="4" t="s">
        <v>1276</v>
      </c>
      <c r="M546" s="9">
        <v>14</v>
      </c>
      <c r="N546" s="16">
        <f>ROUND(IF('Dashboard Visualization'!$U$3="",'Working Data'!$M546,'Working Data'!$M546*(100% +'Dashboard Visualization'!$U$3)),0)</f>
        <v>14</v>
      </c>
      <c r="O546" s="19">
        <v>460.21</v>
      </c>
      <c r="P546" s="20">
        <f>IF('Dashboard Visualization'!$U$2="",'Working Data'!$O546*'Working Data'!$N546,'Working Data'!$O546*'Working Data'!$N546*(100%+'Dashboard Visualization'!$U$2))</f>
        <v>6442.94</v>
      </c>
      <c r="Q546" s="19">
        <v>1139.1500000000001</v>
      </c>
      <c r="R546" s="20">
        <f t="shared" si="84"/>
        <v>1008.1477500000001</v>
      </c>
      <c r="S546" s="11">
        <v>0.115</v>
      </c>
      <c r="T546" s="22">
        <f>IF('Dashboard Visualization'!$U$1="",$S546,IF(S546&gt;'Dashboard Visualization'!$U$1,'Dashboard Visualization'!$U$1,S546))</f>
        <v>0.115</v>
      </c>
      <c r="U546" s="20">
        <f t="shared" si="85"/>
        <v>12490.9506225</v>
      </c>
      <c r="V546" s="20">
        <f t="shared" si="86"/>
        <v>6048.0106225000009</v>
      </c>
      <c r="W546" s="22">
        <f t="shared" si="82"/>
        <v>0.48419138024656783</v>
      </c>
      <c r="X546" s="28" t="str">
        <f>TEXT(B546,"MMM-YYYY")</f>
        <v>Jul-2023</v>
      </c>
      <c r="Y546" s="7" t="str">
        <f t="shared" si="87"/>
        <v>Q3-2023</v>
      </c>
      <c r="Z546" s="7" t="str">
        <f t="shared" si="88"/>
        <v>High Price</v>
      </c>
      <c r="AA546" s="7" t="str">
        <f t="shared" si="89"/>
        <v>Q3</v>
      </c>
      <c r="AB546" s="28" t="str">
        <f t="shared" si="90"/>
        <v>Jul</v>
      </c>
      <c r="AC546" s="28" t="str">
        <f t="shared" si="91"/>
        <v>2023</v>
      </c>
    </row>
    <row r="547" spans="1:29" x14ac:dyDescent="0.25">
      <c r="A547" s="4" t="s">
        <v>559</v>
      </c>
      <c r="B547" s="14">
        <v>45889</v>
      </c>
      <c r="C547" s="14">
        <v>45895</v>
      </c>
      <c r="D547" s="16">
        <f t="shared" si="83"/>
        <v>6</v>
      </c>
      <c r="E547" s="4" t="s">
        <v>648</v>
      </c>
      <c r="F547" s="4" t="s">
        <v>660</v>
      </c>
      <c r="G547" s="4" t="s">
        <v>700</v>
      </c>
      <c r="H547" s="4" t="s">
        <v>701</v>
      </c>
      <c r="I547" s="4" t="s">
        <v>707</v>
      </c>
      <c r="J547" s="4" t="s">
        <v>724</v>
      </c>
      <c r="K547" s="4" t="s">
        <v>729</v>
      </c>
      <c r="L547" s="4" t="s">
        <v>1277</v>
      </c>
      <c r="M547" s="9">
        <v>8</v>
      </c>
      <c r="N547" s="16">
        <f>ROUND(IF('Dashboard Visualization'!$U$3="",'Working Data'!$M547,'Working Data'!$M547*(100% +'Dashboard Visualization'!$U$3)),0)</f>
        <v>8</v>
      </c>
      <c r="O547" s="19">
        <v>1304.95</v>
      </c>
      <c r="P547" s="20">
        <f>IF('Dashboard Visualization'!$U$2="",'Working Data'!$O547*'Working Data'!$N547,'Working Data'!$O547*'Working Data'!$N547*(100%+'Dashboard Visualization'!$U$2))</f>
        <v>10439.6</v>
      </c>
      <c r="Q547" s="19">
        <v>1712.03</v>
      </c>
      <c r="R547" s="20">
        <f t="shared" si="84"/>
        <v>1349.0796399999999</v>
      </c>
      <c r="S547" s="11">
        <v>0.21199999999999999</v>
      </c>
      <c r="T547" s="22">
        <f>IF('Dashboard Visualization'!$U$1="",$S547,IF(S547&gt;'Dashboard Visualization'!$U$1,'Dashboard Visualization'!$U$1,S547))</f>
        <v>0.21199999999999999</v>
      </c>
      <c r="U547" s="20">
        <f t="shared" si="85"/>
        <v>8504.59805056</v>
      </c>
      <c r="V547" s="20">
        <f t="shared" si="86"/>
        <v>-1935.0019494400003</v>
      </c>
      <c r="W547" s="22">
        <f t="shared" si="82"/>
        <v>0</v>
      </c>
      <c r="X547" s="28" t="str">
        <f>TEXT(B547,"MMM-YYYY")</f>
        <v>Aug-2025</v>
      </c>
      <c r="Y547" s="7" t="str">
        <f t="shared" si="87"/>
        <v>Q3-2025</v>
      </c>
      <c r="Z547" s="7" t="str">
        <f t="shared" si="88"/>
        <v>High Price</v>
      </c>
      <c r="AA547" s="7" t="str">
        <f t="shared" si="89"/>
        <v>Q3</v>
      </c>
      <c r="AB547" s="28" t="str">
        <f t="shared" si="90"/>
        <v>Aug</v>
      </c>
      <c r="AC547" s="28" t="str">
        <f t="shared" si="91"/>
        <v>2025</v>
      </c>
    </row>
    <row r="548" spans="1:29" x14ac:dyDescent="0.25">
      <c r="A548" s="4" t="s">
        <v>560</v>
      </c>
      <c r="B548" s="14">
        <v>45355</v>
      </c>
      <c r="C548" s="14">
        <v>45367</v>
      </c>
      <c r="D548" s="16">
        <f t="shared" si="83"/>
        <v>12</v>
      </c>
      <c r="E548" s="4" t="s">
        <v>646</v>
      </c>
      <c r="F548" s="4" t="s">
        <v>661</v>
      </c>
      <c r="G548" s="4" t="s">
        <v>682</v>
      </c>
      <c r="H548" s="4" t="s">
        <v>706</v>
      </c>
      <c r="I548" s="4" t="s">
        <v>710</v>
      </c>
      <c r="J548" s="4" t="s">
        <v>724</v>
      </c>
      <c r="K548" s="4" t="s">
        <v>732</v>
      </c>
      <c r="L548" s="4" t="s">
        <v>1278</v>
      </c>
      <c r="M548" s="9">
        <v>6</v>
      </c>
      <c r="N548" s="16">
        <f>ROUND(IF('Dashboard Visualization'!$U$3="",'Working Data'!$M548,'Working Data'!$M548*(100% +'Dashboard Visualization'!$U$3)),0)</f>
        <v>6</v>
      </c>
      <c r="O548" s="19">
        <v>441.08</v>
      </c>
      <c r="P548" s="20">
        <f>IF('Dashboard Visualization'!$U$2="",'Working Data'!$O548*'Working Data'!$N548,'Working Data'!$O548*'Working Data'!$N548*(100%+'Dashboard Visualization'!$U$2))</f>
        <v>2646.48</v>
      </c>
      <c r="Q548" s="19">
        <v>1054.29</v>
      </c>
      <c r="R548" s="20">
        <f t="shared" si="84"/>
        <v>804.42327</v>
      </c>
      <c r="S548" s="11">
        <v>0.23699999999999999</v>
      </c>
      <c r="T548" s="22">
        <f>IF('Dashboard Visualization'!$U$1="",$S548,IF(S548&gt;'Dashboard Visualization'!$U$1,'Dashboard Visualization'!$U$1,S548))</f>
        <v>0.23699999999999999</v>
      </c>
      <c r="U548" s="20">
        <f t="shared" si="85"/>
        <v>3682.6497300599999</v>
      </c>
      <c r="V548" s="20">
        <f t="shared" si="86"/>
        <v>1036.1697300599999</v>
      </c>
      <c r="W548" s="22">
        <f t="shared" si="82"/>
        <v>0.28136526849191223</v>
      </c>
      <c r="X548" s="28" t="str">
        <f>TEXT(B548,"MMM-YYYY")</f>
        <v>Mar-2024</v>
      </c>
      <c r="Y548" s="7" t="str">
        <f t="shared" si="87"/>
        <v>Q1-2024</v>
      </c>
      <c r="Z548" s="7" t="str">
        <f t="shared" si="88"/>
        <v>High Price</v>
      </c>
      <c r="AA548" s="7" t="str">
        <f t="shared" si="89"/>
        <v>Q1</v>
      </c>
      <c r="AB548" s="28" t="str">
        <f t="shared" si="90"/>
        <v>Mar</v>
      </c>
      <c r="AC548" s="28" t="str">
        <f t="shared" si="91"/>
        <v>2024</v>
      </c>
    </row>
    <row r="549" spans="1:29" x14ac:dyDescent="0.25">
      <c r="A549" s="4" t="s">
        <v>561</v>
      </c>
      <c r="B549" s="14">
        <v>45177</v>
      </c>
      <c r="C549" s="14">
        <v>45201</v>
      </c>
      <c r="D549" s="16">
        <f t="shared" si="83"/>
        <v>24</v>
      </c>
      <c r="E549" s="4" t="s">
        <v>648</v>
      </c>
      <c r="F549" s="4" t="s">
        <v>653</v>
      </c>
      <c r="G549" s="4" t="s">
        <v>667</v>
      </c>
      <c r="H549" s="4" t="s">
        <v>702</v>
      </c>
      <c r="I549" s="4" t="s">
        <v>711</v>
      </c>
      <c r="J549" s="4" t="s">
        <v>720</v>
      </c>
      <c r="K549" s="4" t="s">
        <v>733</v>
      </c>
      <c r="L549" s="4" t="s">
        <v>1279</v>
      </c>
      <c r="M549" s="9">
        <v>8</v>
      </c>
      <c r="N549" s="16">
        <f>ROUND(IF('Dashboard Visualization'!$U$3="",'Working Data'!$M549,'Working Data'!$M549*(100% +'Dashboard Visualization'!$U$3)),0)</f>
        <v>8</v>
      </c>
      <c r="O549" s="19">
        <v>1299.03</v>
      </c>
      <c r="P549" s="20">
        <f>IF('Dashboard Visualization'!$U$2="",'Working Data'!$O549*'Working Data'!$N549,'Working Data'!$O549*'Working Data'!$N549*(100%+'Dashboard Visualization'!$U$2))</f>
        <v>10392.24</v>
      </c>
      <c r="Q549" s="19">
        <v>2451.2199999999998</v>
      </c>
      <c r="R549" s="20">
        <f t="shared" si="84"/>
        <v>1941.3662399999998</v>
      </c>
      <c r="S549" s="11">
        <v>0.20799999999999999</v>
      </c>
      <c r="T549" s="22">
        <f>IF('Dashboard Visualization'!$U$1="",$S549,IF(S549&gt;'Dashboard Visualization'!$U$1,'Dashboard Visualization'!$U$1,S549))</f>
        <v>0.20799999999999999</v>
      </c>
      <c r="U549" s="20">
        <f t="shared" si="85"/>
        <v>12300.49649664</v>
      </c>
      <c r="V549" s="20">
        <f t="shared" si="86"/>
        <v>1908.2564966400005</v>
      </c>
      <c r="W549" s="22">
        <f t="shared" si="82"/>
        <v>0.15513654242828809</v>
      </c>
      <c r="X549" s="28" t="str">
        <f>TEXT(B549,"MMM-YYYY")</f>
        <v>Sep-2023</v>
      </c>
      <c r="Y549" s="7" t="str">
        <f t="shared" si="87"/>
        <v>Q3-2023</v>
      </c>
      <c r="Z549" s="7" t="str">
        <f t="shared" si="88"/>
        <v>Medium Price</v>
      </c>
      <c r="AA549" s="7" t="str">
        <f t="shared" si="89"/>
        <v>Q3</v>
      </c>
      <c r="AB549" s="28" t="str">
        <f t="shared" si="90"/>
        <v>Sep</v>
      </c>
      <c r="AC549" s="28" t="str">
        <f t="shared" si="91"/>
        <v>2023</v>
      </c>
    </row>
    <row r="550" spans="1:29" x14ac:dyDescent="0.25">
      <c r="A550" s="4" t="s">
        <v>562</v>
      </c>
      <c r="B550" s="14">
        <v>44985</v>
      </c>
      <c r="C550" s="14">
        <v>44991</v>
      </c>
      <c r="D550" s="16">
        <f t="shared" si="83"/>
        <v>6</v>
      </c>
      <c r="E550" s="4" t="s">
        <v>649</v>
      </c>
      <c r="F550" s="4" t="s">
        <v>656</v>
      </c>
      <c r="G550" s="4" t="s">
        <v>698</v>
      </c>
      <c r="H550" s="4" t="s">
        <v>705</v>
      </c>
      <c r="I550" s="4" t="s">
        <v>709</v>
      </c>
      <c r="J550" s="4" t="s">
        <v>726</v>
      </c>
      <c r="K550" s="4" t="s">
        <v>728</v>
      </c>
      <c r="L550" s="4" t="s">
        <v>1280</v>
      </c>
      <c r="M550" s="9">
        <v>29</v>
      </c>
      <c r="N550" s="16">
        <f>ROUND(IF('Dashboard Visualization'!$U$3="",'Working Data'!$M550,'Working Data'!$M550*(100% +'Dashboard Visualization'!$U$3)),0)</f>
        <v>29</v>
      </c>
      <c r="O550" s="19">
        <v>880.02</v>
      </c>
      <c r="P550" s="20">
        <f>IF('Dashboard Visualization'!$U$2="",'Working Data'!$O550*'Working Data'!$N550,'Working Data'!$O550*'Working Data'!$N550*(100%+'Dashboard Visualization'!$U$2))</f>
        <v>25520.579999999998</v>
      </c>
      <c r="Q550" s="19">
        <v>1251.21</v>
      </c>
      <c r="R550" s="20">
        <f t="shared" si="84"/>
        <v>1097.3111699999999</v>
      </c>
      <c r="S550" s="11">
        <v>0.123</v>
      </c>
      <c r="T550" s="22">
        <f>IF('Dashboard Visualization'!$U$1="",$S550,IF(S550&gt;'Dashboard Visualization'!$U$1,'Dashboard Visualization'!$U$1,S550))</f>
        <v>0.123</v>
      </c>
      <c r="U550" s="20">
        <f t="shared" si="85"/>
        <v>27907.914986609998</v>
      </c>
      <c r="V550" s="20">
        <f t="shared" si="86"/>
        <v>2387.3349866099998</v>
      </c>
      <c r="W550" s="22">
        <f t="shared" si="82"/>
        <v>8.5543294357726993E-2</v>
      </c>
      <c r="X550" s="28" t="str">
        <f>TEXT(B550,"MMM-YYYY")</f>
        <v>Feb-2023</v>
      </c>
      <c r="Y550" s="7" t="str">
        <f t="shared" si="87"/>
        <v>Q1-2023</v>
      </c>
      <c r="Z550" s="7" t="str">
        <f t="shared" si="88"/>
        <v>High Price</v>
      </c>
      <c r="AA550" s="7" t="str">
        <f t="shared" si="89"/>
        <v>Q1</v>
      </c>
      <c r="AB550" s="28" t="str">
        <f t="shared" si="90"/>
        <v>Feb</v>
      </c>
      <c r="AC550" s="28" t="str">
        <f t="shared" si="91"/>
        <v>2023</v>
      </c>
    </row>
    <row r="551" spans="1:29" x14ac:dyDescent="0.25">
      <c r="A551" s="4" t="s">
        <v>563</v>
      </c>
      <c r="B551" s="14">
        <v>45486</v>
      </c>
      <c r="C551" s="14">
        <v>45507</v>
      </c>
      <c r="D551" s="16">
        <f t="shared" si="83"/>
        <v>21</v>
      </c>
      <c r="E551" s="4" t="s">
        <v>648</v>
      </c>
      <c r="F551" s="4" t="s">
        <v>655</v>
      </c>
      <c r="G551" s="4" t="s">
        <v>692</v>
      </c>
      <c r="H551" s="4" t="s">
        <v>701</v>
      </c>
      <c r="I551" s="4" t="s">
        <v>709</v>
      </c>
      <c r="J551" s="4" t="s">
        <v>724</v>
      </c>
      <c r="K551" s="4" t="s">
        <v>732</v>
      </c>
      <c r="L551" s="4" t="s">
        <v>1281</v>
      </c>
      <c r="M551" s="9">
        <v>12</v>
      </c>
      <c r="N551" s="16">
        <f>ROUND(IF('Dashboard Visualization'!$U$3="",'Working Data'!$M551,'Working Data'!$M551*(100% +'Dashboard Visualization'!$U$3)),0)</f>
        <v>12</v>
      </c>
      <c r="O551" s="19">
        <v>702.98</v>
      </c>
      <c r="P551" s="20">
        <f>IF('Dashboard Visualization'!$U$2="",'Working Data'!$O551*'Working Data'!$N551,'Working Data'!$O551*'Working Data'!$N551*(100%+'Dashboard Visualization'!$U$2))</f>
        <v>8435.76</v>
      </c>
      <c r="Q551" s="19">
        <v>1104.8</v>
      </c>
      <c r="R551" s="20">
        <f t="shared" si="84"/>
        <v>911.45999999999992</v>
      </c>
      <c r="S551" s="11">
        <v>0.17499999999999999</v>
      </c>
      <c r="T551" s="22">
        <f>IF('Dashboard Visualization'!$U$1="",$S551,IF(S551&gt;'Dashboard Visualization'!$U$1,'Dashboard Visualization'!$U$1,S551))</f>
        <v>0.17499999999999999</v>
      </c>
      <c r="U551" s="20">
        <f t="shared" si="85"/>
        <v>9023.4539999999997</v>
      </c>
      <c r="V551" s="20">
        <f t="shared" si="86"/>
        <v>587.69399999999951</v>
      </c>
      <c r="W551" s="22">
        <f t="shared" si="82"/>
        <v>6.5129605581188701E-2</v>
      </c>
      <c r="X551" s="28" t="str">
        <f>TEXT(B551,"MMM-YYYY")</f>
        <v>Jul-2024</v>
      </c>
      <c r="Y551" s="7" t="str">
        <f t="shared" si="87"/>
        <v>Q3-2024</v>
      </c>
      <c r="Z551" s="7" t="str">
        <f t="shared" si="88"/>
        <v>High Price</v>
      </c>
      <c r="AA551" s="7" t="str">
        <f t="shared" si="89"/>
        <v>Q3</v>
      </c>
      <c r="AB551" s="28" t="str">
        <f t="shared" si="90"/>
        <v>Jul</v>
      </c>
      <c r="AC551" s="28" t="str">
        <f t="shared" si="91"/>
        <v>2024</v>
      </c>
    </row>
    <row r="552" spans="1:29" x14ac:dyDescent="0.25">
      <c r="A552" s="4" t="s">
        <v>564</v>
      </c>
      <c r="B552" s="14">
        <v>45633</v>
      </c>
      <c r="C552" s="14">
        <v>45652</v>
      </c>
      <c r="D552" s="16">
        <f t="shared" si="83"/>
        <v>19</v>
      </c>
      <c r="E552" s="4" t="s">
        <v>649</v>
      </c>
      <c r="F552" s="4" t="s">
        <v>658</v>
      </c>
      <c r="G552" s="4" t="s">
        <v>683</v>
      </c>
      <c r="H552" s="4" t="s">
        <v>706</v>
      </c>
      <c r="I552" s="4" t="s">
        <v>708</v>
      </c>
      <c r="J552" s="4" t="s">
        <v>726</v>
      </c>
      <c r="K552" s="4" t="s">
        <v>729</v>
      </c>
      <c r="L552" s="4" t="s">
        <v>1282</v>
      </c>
      <c r="M552" s="9">
        <v>15</v>
      </c>
      <c r="N552" s="16">
        <f>ROUND(IF('Dashboard Visualization'!$U$3="",'Working Data'!$M552,'Working Data'!$M552*(100% +'Dashboard Visualization'!$U$3)),0)</f>
        <v>15</v>
      </c>
      <c r="O552" s="19">
        <v>1035.24</v>
      </c>
      <c r="P552" s="20">
        <f>IF('Dashboard Visualization'!$U$2="",'Working Data'!$O552*'Working Data'!$N552,'Working Data'!$O552*'Working Data'!$N552*(100%+'Dashboard Visualization'!$U$2))</f>
        <v>15528.6</v>
      </c>
      <c r="Q552" s="19">
        <v>2383.41</v>
      </c>
      <c r="R552" s="20">
        <f t="shared" si="84"/>
        <v>1978.2302999999997</v>
      </c>
      <c r="S552" s="11">
        <v>0.17</v>
      </c>
      <c r="T552" s="22">
        <f>IF('Dashboard Visualization'!$U$1="",$S552,IF(S552&gt;'Dashboard Visualization'!$U$1,'Dashboard Visualization'!$U$1,S552))</f>
        <v>0.17</v>
      </c>
      <c r="U552" s="20">
        <f t="shared" si="85"/>
        <v>24628.967234999996</v>
      </c>
      <c r="V552" s="20">
        <f t="shared" si="86"/>
        <v>9100.3672349999961</v>
      </c>
      <c r="W552" s="22">
        <f t="shared" si="82"/>
        <v>0.36949853187784298</v>
      </c>
      <c r="X552" s="28" t="str">
        <f>TEXT(B552,"MMM-YYYY")</f>
        <v>Dec-2024</v>
      </c>
      <c r="Y552" s="7" t="str">
        <f t="shared" si="87"/>
        <v>Q4-2024</v>
      </c>
      <c r="Z552" s="7" t="str">
        <f t="shared" si="88"/>
        <v>Medium Price</v>
      </c>
      <c r="AA552" s="7" t="str">
        <f t="shared" si="89"/>
        <v>Q4</v>
      </c>
      <c r="AB552" s="28" t="str">
        <f t="shared" si="90"/>
        <v>Dec</v>
      </c>
      <c r="AC552" s="28" t="str">
        <f t="shared" si="91"/>
        <v>2024</v>
      </c>
    </row>
    <row r="553" spans="1:29" x14ac:dyDescent="0.25">
      <c r="A553" s="4" t="s">
        <v>565</v>
      </c>
      <c r="B553" s="14">
        <v>45875</v>
      </c>
      <c r="C553" s="14">
        <v>45892</v>
      </c>
      <c r="D553" s="16">
        <f t="shared" si="83"/>
        <v>17</v>
      </c>
      <c r="E553" s="4" t="s">
        <v>648</v>
      </c>
      <c r="F553" s="4" t="s">
        <v>655</v>
      </c>
      <c r="G553" s="4" t="s">
        <v>672</v>
      </c>
      <c r="H553" s="4" t="s">
        <v>704</v>
      </c>
      <c r="I553" s="4" t="s">
        <v>710</v>
      </c>
      <c r="J553" s="4" t="s">
        <v>720</v>
      </c>
      <c r="K553" s="4" t="s">
        <v>732</v>
      </c>
      <c r="L553" s="4" t="s">
        <v>1283</v>
      </c>
      <c r="M553" s="9">
        <v>11</v>
      </c>
      <c r="N553" s="16">
        <f>ROUND(IF('Dashboard Visualization'!$U$3="",'Working Data'!$M553,'Working Data'!$M553*(100% +'Dashboard Visualization'!$U$3)),0)</f>
        <v>11</v>
      </c>
      <c r="O553" s="19">
        <v>86.64</v>
      </c>
      <c r="P553" s="20">
        <f>IF('Dashboard Visualization'!$U$2="",'Working Data'!$O553*'Working Data'!$N553,'Working Data'!$O553*'Working Data'!$N553*(100%+'Dashboard Visualization'!$U$2))</f>
        <v>953.04</v>
      </c>
      <c r="Q553" s="19">
        <v>213.06</v>
      </c>
      <c r="R553" s="20">
        <f t="shared" si="84"/>
        <v>167.89128000000002</v>
      </c>
      <c r="S553" s="11">
        <v>0.21199999999999999</v>
      </c>
      <c r="T553" s="22">
        <f>IF('Dashboard Visualization'!$U$1="",$S553,IF(S553&gt;'Dashboard Visualization'!$U$1,'Dashboard Visualization'!$U$1,S553))</f>
        <v>0.21199999999999999</v>
      </c>
      <c r="U553" s="20">
        <f t="shared" si="85"/>
        <v>1455.2816150400004</v>
      </c>
      <c r="V553" s="20">
        <f t="shared" si="86"/>
        <v>502.2416150400004</v>
      </c>
      <c r="W553" s="22">
        <f t="shared" si="82"/>
        <v>0.34511644333952202</v>
      </c>
      <c r="X553" s="28" t="str">
        <f>TEXT(B553,"MMM-YYYY")</f>
        <v>Aug-2025</v>
      </c>
      <c r="Y553" s="7" t="str">
        <f t="shared" si="87"/>
        <v>Q3-2025</v>
      </c>
      <c r="Z553" s="7" t="str">
        <f t="shared" si="88"/>
        <v>Low Price</v>
      </c>
      <c r="AA553" s="7" t="str">
        <f t="shared" si="89"/>
        <v>Q3</v>
      </c>
      <c r="AB553" s="28" t="str">
        <f t="shared" si="90"/>
        <v>Aug</v>
      </c>
      <c r="AC553" s="28" t="str">
        <f t="shared" si="91"/>
        <v>2025</v>
      </c>
    </row>
    <row r="554" spans="1:29" x14ac:dyDescent="0.25">
      <c r="A554" s="4" t="s">
        <v>566</v>
      </c>
      <c r="B554" s="14">
        <v>44988</v>
      </c>
      <c r="C554" s="14">
        <v>45005</v>
      </c>
      <c r="D554" s="16">
        <f t="shared" si="83"/>
        <v>17</v>
      </c>
      <c r="E554" s="4" t="s">
        <v>647</v>
      </c>
      <c r="F554" s="4" t="s">
        <v>652</v>
      </c>
      <c r="G554" s="4" t="s">
        <v>694</v>
      </c>
      <c r="H554" s="4" t="s">
        <v>705</v>
      </c>
      <c r="I554" s="4" t="s">
        <v>708</v>
      </c>
      <c r="J554" s="4" t="s">
        <v>726</v>
      </c>
      <c r="K554" s="4" t="s">
        <v>729</v>
      </c>
      <c r="L554" s="4" t="s">
        <v>1284</v>
      </c>
      <c r="M554" s="9">
        <v>11</v>
      </c>
      <c r="N554" s="16">
        <f>ROUND(IF('Dashboard Visualization'!$U$3="",'Working Data'!$M554,'Working Data'!$M554*(100% +'Dashboard Visualization'!$U$3)),0)</f>
        <v>11</v>
      </c>
      <c r="O554" s="19">
        <v>1171.17</v>
      </c>
      <c r="P554" s="20">
        <f>IF('Dashboard Visualization'!$U$2="",'Working Data'!$O554*'Working Data'!$N554,'Working Data'!$O554*'Working Data'!$N554*(100%+'Dashboard Visualization'!$U$2))</f>
        <v>12882.87</v>
      </c>
      <c r="Q554" s="19">
        <v>2030.64</v>
      </c>
      <c r="R554" s="20">
        <f t="shared" si="84"/>
        <v>1711.82952</v>
      </c>
      <c r="S554" s="11">
        <v>0.157</v>
      </c>
      <c r="T554" s="22">
        <f>IF('Dashboard Visualization'!$U$1="",$S554,IF(S554&gt;'Dashboard Visualization'!$U$1,'Dashboard Visualization'!$U$1,S554))</f>
        <v>0.157</v>
      </c>
      <c r="U554" s="20">
        <f t="shared" si="85"/>
        <v>15873.79513896</v>
      </c>
      <c r="V554" s="20">
        <f t="shared" si="86"/>
        <v>2990.9251389599995</v>
      </c>
      <c r="W554" s="22">
        <f t="shared" si="82"/>
        <v>0.18841903355670717</v>
      </c>
      <c r="X554" s="28" t="str">
        <f>TEXT(B554,"MMM-YYYY")</f>
        <v>Mar-2023</v>
      </c>
      <c r="Y554" s="7" t="str">
        <f t="shared" si="87"/>
        <v>Q1-2023</v>
      </c>
      <c r="Z554" s="7" t="str">
        <f t="shared" si="88"/>
        <v>Medium Price</v>
      </c>
      <c r="AA554" s="7" t="str">
        <f t="shared" si="89"/>
        <v>Q1</v>
      </c>
      <c r="AB554" s="28" t="str">
        <f t="shared" si="90"/>
        <v>Mar</v>
      </c>
      <c r="AC554" s="28" t="str">
        <f t="shared" si="91"/>
        <v>2023</v>
      </c>
    </row>
    <row r="555" spans="1:29" x14ac:dyDescent="0.25">
      <c r="A555" s="4" t="s">
        <v>567</v>
      </c>
      <c r="B555" s="14">
        <v>45704</v>
      </c>
      <c r="C555" s="14">
        <v>45733</v>
      </c>
      <c r="D555" s="16">
        <f t="shared" si="83"/>
        <v>29</v>
      </c>
      <c r="E555" s="4" t="s">
        <v>649</v>
      </c>
      <c r="F555" s="4" t="s">
        <v>656</v>
      </c>
      <c r="G555" s="4" t="s">
        <v>684</v>
      </c>
      <c r="H555" s="4" t="s">
        <v>704</v>
      </c>
      <c r="I555" s="4" t="s">
        <v>707</v>
      </c>
      <c r="J555" s="4" t="s">
        <v>716</v>
      </c>
      <c r="K555" s="4" t="s">
        <v>733</v>
      </c>
      <c r="L555" s="4" t="s">
        <v>1285</v>
      </c>
      <c r="M555" s="9">
        <v>22</v>
      </c>
      <c r="N555" s="16">
        <f>ROUND(IF('Dashboard Visualization'!$U$3="",'Working Data'!$M555,'Working Data'!$M555*(100% +'Dashboard Visualization'!$U$3)),0)</f>
        <v>22</v>
      </c>
      <c r="O555" s="19">
        <v>730.42</v>
      </c>
      <c r="P555" s="20">
        <f>IF('Dashboard Visualization'!$U$2="",'Working Data'!$O555*'Working Data'!$N555,'Working Data'!$O555*'Working Data'!$N555*(100%+'Dashboard Visualization'!$U$2))</f>
        <v>16069.24</v>
      </c>
      <c r="Q555" s="19">
        <v>956.7</v>
      </c>
      <c r="R555" s="20">
        <f t="shared" si="84"/>
        <v>916.51859999999999</v>
      </c>
      <c r="S555" s="11">
        <v>4.2000000000000003E-2</v>
      </c>
      <c r="T555" s="22">
        <f>IF('Dashboard Visualization'!$U$1="",$S555,IF(S555&gt;'Dashboard Visualization'!$U$1,'Dashboard Visualization'!$U$1,S555))</f>
        <v>4.2000000000000003E-2</v>
      </c>
      <c r="U555" s="20">
        <f t="shared" si="85"/>
        <v>19316.5460136</v>
      </c>
      <c r="V555" s="20">
        <f t="shared" si="86"/>
        <v>3247.3060136000004</v>
      </c>
      <c r="W555" s="22">
        <f t="shared" si="82"/>
        <v>0.16811007575131204</v>
      </c>
      <c r="X555" s="28" t="str">
        <f>TEXT(B555,"MMM-YYYY")</f>
        <v>Feb-2025</v>
      </c>
      <c r="Y555" s="7" t="str">
        <f t="shared" si="87"/>
        <v>Q1-2025</v>
      </c>
      <c r="Z555" s="7" t="str">
        <f t="shared" si="88"/>
        <v>High Price</v>
      </c>
      <c r="AA555" s="7" t="str">
        <f t="shared" si="89"/>
        <v>Q1</v>
      </c>
      <c r="AB555" s="28" t="str">
        <f t="shared" si="90"/>
        <v>Feb</v>
      </c>
      <c r="AC555" s="28" t="str">
        <f t="shared" si="91"/>
        <v>2025</v>
      </c>
    </row>
    <row r="556" spans="1:29" x14ac:dyDescent="0.25">
      <c r="A556" s="4" t="s">
        <v>568</v>
      </c>
      <c r="B556" s="14">
        <v>45703</v>
      </c>
      <c r="C556" s="14">
        <v>45717</v>
      </c>
      <c r="D556" s="16">
        <f t="shared" si="83"/>
        <v>14</v>
      </c>
      <c r="E556" s="4" t="s">
        <v>646</v>
      </c>
      <c r="F556" s="4" t="s">
        <v>650</v>
      </c>
      <c r="G556" s="4" t="s">
        <v>675</v>
      </c>
      <c r="H556" s="4" t="s">
        <v>702</v>
      </c>
      <c r="I556" s="4" t="s">
        <v>711</v>
      </c>
      <c r="J556" s="4" t="s">
        <v>716</v>
      </c>
      <c r="K556" s="4" t="s">
        <v>733</v>
      </c>
      <c r="L556" s="4" t="s">
        <v>1286</v>
      </c>
      <c r="M556" s="9">
        <v>12</v>
      </c>
      <c r="N556" s="16">
        <f>ROUND(IF('Dashboard Visualization'!$U$3="",'Working Data'!$M556,'Working Data'!$M556*(100% +'Dashboard Visualization'!$U$3)),0)</f>
        <v>12</v>
      </c>
      <c r="O556" s="19">
        <v>1162.8599999999999</v>
      </c>
      <c r="P556" s="20">
        <f>IF('Dashboard Visualization'!$U$2="",'Working Data'!$O556*'Working Data'!$N556,'Working Data'!$O556*'Working Data'!$N556*(100%+'Dashboard Visualization'!$U$2))</f>
        <v>13954.32</v>
      </c>
      <c r="Q556" s="19">
        <v>1447.68</v>
      </c>
      <c r="R556" s="20">
        <f t="shared" si="84"/>
        <v>1321.7318400000001</v>
      </c>
      <c r="S556" s="11">
        <v>8.6999999999999994E-2</v>
      </c>
      <c r="T556" s="22">
        <f>IF('Dashboard Visualization'!$U$1="",$S556,IF(S556&gt;'Dashboard Visualization'!$U$1,'Dashboard Visualization'!$U$1,S556))</f>
        <v>8.6999999999999994E-2</v>
      </c>
      <c r="U556" s="20">
        <f t="shared" si="85"/>
        <v>14480.894039040002</v>
      </c>
      <c r="V556" s="20">
        <f t="shared" si="86"/>
        <v>526.57403904000239</v>
      </c>
      <c r="W556" s="22">
        <f t="shared" si="82"/>
        <v>3.6363365246674446E-2</v>
      </c>
      <c r="X556" s="28" t="str">
        <f>TEXT(B556,"MMM-YYYY")</f>
        <v>Feb-2025</v>
      </c>
      <c r="Y556" s="7" t="str">
        <f t="shared" si="87"/>
        <v>Q1-2025</v>
      </c>
      <c r="Z556" s="7" t="str">
        <f t="shared" si="88"/>
        <v>High Price</v>
      </c>
      <c r="AA556" s="7" t="str">
        <f t="shared" si="89"/>
        <v>Q1</v>
      </c>
      <c r="AB556" s="28" t="str">
        <f t="shared" si="90"/>
        <v>Feb</v>
      </c>
      <c r="AC556" s="28" t="str">
        <f t="shared" si="91"/>
        <v>2025</v>
      </c>
    </row>
    <row r="557" spans="1:29" x14ac:dyDescent="0.25">
      <c r="A557" s="4" t="s">
        <v>569</v>
      </c>
      <c r="B557" s="14">
        <v>45535</v>
      </c>
      <c r="C557" s="14">
        <v>45561</v>
      </c>
      <c r="D557" s="16">
        <f t="shared" si="83"/>
        <v>26</v>
      </c>
      <c r="E557" s="4" t="s">
        <v>647</v>
      </c>
      <c r="F557" s="4" t="s">
        <v>652</v>
      </c>
      <c r="G557" s="4" t="s">
        <v>689</v>
      </c>
      <c r="H557" s="4" t="s">
        <v>702</v>
      </c>
      <c r="I557" s="4" t="s">
        <v>708</v>
      </c>
      <c r="J557" s="4" t="s">
        <v>714</v>
      </c>
      <c r="K557" s="4" t="s">
        <v>730</v>
      </c>
      <c r="L557" s="4" t="s">
        <v>1287</v>
      </c>
      <c r="M557" s="9">
        <v>13</v>
      </c>
      <c r="N557" s="16">
        <f>ROUND(IF('Dashboard Visualization'!$U$3="",'Working Data'!$M557,'Working Data'!$M557*(100% +'Dashboard Visualization'!$U$3)),0)</f>
        <v>13</v>
      </c>
      <c r="O557" s="19">
        <v>1189.03</v>
      </c>
      <c r="P557" s="20">
        <f>IF('Dashboard Visualization'!$U$2="",'Working Data'!$O557*'Working Data'!$N557,'Working Data'!$O557*'Working Data'!$N557*(100%+'Dashboard Visualization'!$U$2))</f>
        <v>15457.39</v>
      </c>
      <c r="Q557" s="19">
        <v>2949.62</v>
      </c>
      <c r="R557" s="20">
        <f t="shared" si="84"/>
        <v>2580.9175</v>
      </c>
      <c r="S557" s="11">
        <v>0.125</v>
      </c>
      <c r="T557" s="22">
        <f>IF('Dashboard Visualization'!$U$1="",$S557,IF(S557&gt;'Dashboard Visualization'!$U$1,'Dashboard Visualization'!$U$1,S557))</f>
        <v>0.125</v>
      </c>
      <c r="U557" s="20">
        <f t="shared" si="85"/>
        <v>29357.936562499999</v>
      </c>
      <c r="V557" s="20">
        <f t="shared" si="86"/>
        <v>13900.5465625</v>
      </c>
      <c r="W557" s="22">
        <f t="shared" si="82"/>
        <v>0.47348513520039731</v>
      </c>
      <c r="X557" s="28" t="str">
        <f>TEXT(B557,"MMM-YYYY")</f>
        <v>Aug-2024</v>
      </c>
      <c r="Y557" s="7" t="str">
        <f t="shared" si="87"/>
        <v>Q3-2024</v>
      </c>
      <c r="Z557" s="7" t="str">
        <f t="shared" si="88"/>
        <v>Medium Price</v>
      </c>
      <c r="AA557" s="7" t="str">
        <f t="shared" si="89"/>
        <v>Q3</v>
      </c>
      <c r="AB557" s="28" t="str">
        <f t="shared" si="90"/>
        <v>Aug</v>
      </c>
      <c r="AC557" s="28" t="str">
        <f t="shared" si="91"/>
        <v>2024</v>
      </c>
    </row>
    <row r="558" spans="1:29" x14ac:dyDescent="0.25">
      <c r="A558" s="4" t="s">
        <v>570</v>
      </c>
      <c r="B558" s="14">
        <v>45053</v>
      </c>
      <c r="C558" s="14">
        <v>45066</v>
      </c>
      <c r="D558" s="16">
        <f t="shared" si="83"/>
        <v>13</v>
      </c>
      <c r="E558" s="4" t="s">
        <v>647</v>
      </c>
      <c r="F558" s="4" t="s">
        <v>654</v>
      </c>
      <c r="G558" s="4" t="s">
        <v>691</v>
      </c>
      <c r="H558" s="4" t="s">
        <v>706</v>
      </c>
      <c r="I558" s="4" t="s">
        <v>707</v>
      </c>
      <c r="J558" s="4" t="s">
        <v>726</v>
      </c>
      <c r="K558" s="4" t="s">
        <v>733</v>
      </c>
      <c r="L558" s="4" t="s">
        <v>1288</v>
      </c>
      <c r="M558" s="9">
        <v>18</v>
      </c>
      <c r="N558" s="16">
        <f>ROUND(IF('Dashboard Visualization'!$U$3="",'Working Data'!$M558,'Working Data'!$M558*(100% +'Dashboard Visualization'!$U$3)),0)</f>
        <v>18</v>
      </c>
      <c r="O558" s="19">
        <v>1443.28</v>
      </c>
      <c r="P558" s="20">
        <f>IF('Dashboard Visualization'!$U$2="",'Working Data'!$O558*'Working Data'!$N558,'Working Data'!$O558*'Working Data'!$N558*(100%+'Dashboard Visualization'!$U$2))</f>
        <v>25979.040000000001</v>
      </c>
      <c r="Q558" s="19">
        <v>2580.5700000000002</v>
      </c>
      <c r="R558" s="20">
        <f t="shared" si="84"/>
        <v>2580.5700000000002</v>
      </c>
      <c r="S558" s="11">
        <v>0</v>
      </c>
      <c r="T558" s="22">
        <f>IF('Dashboard Visualization'!$U$1="",$S558,IF(S558&gt;'Dashboard Visualization'!$U$1,'Dashboard Visualization'!$U$1,S558))</f>
        <v>0</v>
      </c>
      <c r="U558" s="20">
        <f t="shared" si="85"/>
        <v>46450.26</v>
      </c>
      <c r="V558" s="20">
        <f t="shared" si="86"/>
        <v>20471.22</v>
      </c>
      <c r="W558" s="22">
        <f t="shared" si="82"/>
        <v>0.4407127107577008</v>
      </c>
      <c r="X558" s="28" t="str">
        <f>TEXT(B558,"MMM-YYYY")</f>
        <v>May-2023</v>
      </c>
      <c r="Y558" s="7" t="str">
        <f t="shared" si="87"/>
        <v>Q2-2023</v>
      </c>
      <c r="Z558" s="7" t="str">
        <f t="shared" si="88"/>
        <v>Medium Price</v>
      </c>
      <c r="AA558" s="7" t="str">
        <f t="shared" si="89"/>
        <v>Q2</v>
      </c>
      <c r="AB558" s="28" t="str">
        <f t="shared" si="90"/>
        <v>May</v>
      </c>
      <c r="AC558" s="28" t="str">
        <f t="shared" si="91"/>
        <v>2023</v>
      </c>
    </row>
    <row r="559" spans="1:29" x14ac:dyDescent="0.25">
      <c r="A559" s="4" t="s">
        <v>571</v>
      </c>
      <c r="B559" s="14">
        <v>45791</v>
      </c>
      <c r="C559" s="14">
        <v>45789</v>
      </c>
      <c r="D559" s="16" t="str">
        <f t="shared" si="83"/>
        <v/>
      </c>
      <c r="E559" s="4" t="s">
        <v>648</v>
      </c>
      <c r="F559" s="4" t="s">
        <v>653</v>
      </c>
      <c r="G559" s="4" t="s">
        <v>688</v>
      </c>
      <c r="H559" s="4" t="s">
        <v>703</v>
      </c>
      <c r="I559" s="4" t="s">
        <v>710</v>
      </c>
      <c r="J559" s="4" t="s">
        <v>721</v>
      </c>
      <c r="K559" s="4" t="s">
        <v>728</v>
      </c>
      <c r="L559" s="4" t="s">
        <v>1289</v>
      </c>
      <c r="M559" s="9">
        <v>27</v>
      </c>
      <c r="N559" s="16">
        <f>ROUND(IF('Dashboard Visualization'!$U$3="",'Working Data'!$M559,'Working Data'!$M559*(100% +'Dashboard Visualization'!$U$3)),0)</f>
        <v>27</v>
      </c>
      <c r="O559" s="19">
        <v>883.5</v>
      </c>
      <c r="P559" s="20">
        <f>IF('Dashboard Visualization'!$U$2="",'Working Data'!$O559*'Working Data'!$N559,'Working Data'!$O559*'Working Data'!$N559*(100%+'Dashboard Visualization'!$U$2))</f>
        <v>23854.5</v>
      </c>
      <c r="Q559" s="19">
        <v>1978.91</v>
      </c>
      <c r="R559" s="20">
        <f t="shared" si="84"/>
        <v>1872.0488599999999</v>
      </c>
      <c r="S559" s="11">
        <v>5.3999999999999999E-2</v>
      </c>
      <c r="T559" s="22">
        <f>IF('Dashboard Visualization'!$U$1="",$S559,IF(S559&gt;'Dashboard Visualization'!$U$1,'Dashboard Visualization'!$U$1,S559))</f>
        <v>5.3999999999999999E-2</v>
      </c>
      <c r="U559" s="20">
        <f t="shared" si="85"/>
        <v>47815.871982119999</v>
      </c>
      <c r="V559" s="20">
        <f t="shared" si="86"/>
        <v>23961.371982119999</v>
      </c>
      <c r="W559" s="22">
        <f t="shared" si="82"/>
        <v>0.50111753668488956</v>
      </c>
      <c r="X559" s="28" t="str">
        <f>TEXT(B559,"MMM-YYYY")</f>
        <v>May-2025</v>
      </c>
      <c r="Y559" s="7" t="str">
        <f t="shared" si="87"/>
        <v>Q2-2025</v>
      </c>
      <c r="Z559" s="7" t="str">
        <f t="shared" si="88"/>
        <v>Medium Price</v>
      </c>
      <c r="AA559" s="7" t="str">
        <f t="shared" si="89"/>
        <v>Q2</v>
      </c>
      <c r="AB559" s="28" t="str">
        <f t="shared" si="90"/>
        <v>May</v>
      </c>
      <c r="AC559" s="28" t="str">
        <f t="shared" si="91"/>
        <v>2025</v>
      </c>
    </row>
    <row r="560" spans="1:29" x14ac:dyDescent="0.25">
      <c r="A560" s="4" t="s">
        <v>572</v>
      </c>
      <c r="B560" s="14">
        <v>45362</v>
      </c>
      <c r="C560" s="14">
        <v>45380</v>
      </c>
      <c r="D560" s="16">
        <f t="shared" si="83"/>
        <v>18</v>
      </c>
      <c r="E560" s="4" t="s">
        <v>648</v>
      </c>
      <c r="F560" s="4" t="s">
        <v>660</v>
      </c>
      <c r="G560" s="4" t="s">
        <v>700</v>
      </c>
      <c r="H560" s="4" t="s">
        <v>701</v>
      </c>
      <c r="I560" s="4" t="s">
        <v>707</v>
      </c>
      <c r="J560" s="4" t="s">
        <v>724</v>
      </c>
      <c r="K560" s="4" t="s">
        <v>732</v>
      </c>
      <c r="L560" s="4" t="s">
        <v>1290</v>
      </c>
      <c r="M560" s="9">
        <v>9</v>
      </c>
      <c r="N560" s="16">
        <f>ROUND(IF('Dashboard Visualization'!$U$3="",'Working Data'!$M560,'Working Data'!$M560*(100% +'Dashboard Visualization'!$U$3)),0)</f>
        <v>9</v>
      </c>
      <c r="O560" s="19">
        <v>710.98</v>
      </c>
      <c r="P560" s="20">
        <f>IF('Dashboard Visualization'!$U$2="",'Working Data'!$O560*'Working Data'!$N560,'Working Data'!$O560*'Working Data'!$N560*(100%+'Dashboard Visualization'!$U$2))</f>
        <v>6398.82</v>
      </c>
      <c r="Q560" s="19">
        <v>1481.45</v>
      </c>
      <c r="R560" s="20">
        <f t="shared" si="84"/>
        <v>1168.8640500000001</v>
      </c>
      <c r="S560" s="11">
        <v>0.21099999999999999</v>
      </c>
      <c r="T560" s="22">
        <f>IF('Dashboard Visualization'!$U$1="",$S560,IF(S560&gt;'Dashboard Visualization'!$U$1,'Dashboard Visualization'!$U$1,S560))</f>
        <v>0.21099999999999999</v>
      </c>
      <c r="U560" s="20">
        <f t="shared" si="85"/>
        <v>8300.1036190500017</v>
      </c>
      <c r="V560" s="20">
        <f t="shared" si="86"/>
        <v>1901.283619050002</v>
      </c>
      <c r="W560" s="22">
        <f t="shared" si="82"/>
        <v>0.22906745581901733</v>
      </c>
      <c r="X560" s="28" t="str">
        <f>TEXT(B560,"MMM-YYYY")</f>
        <v>Mar-2024</v>
      </c>
      <c r="Y560" s="7" t="str">
        <f t="shared" si="87"/>
        <v>Q1-2024</v>
      </c>
      <c r="Z560" s="7" t="str">
        <f t="shared" si="88"/>
        <v>High Price</v>
      </c>
      <c r="AA560" s="7" t="str">
        <f t="shared" si="89"/>
        <v>Q1</v>
      </c>
      <c r="AB560" s="28" t="str">
        <f t="shared" si="90"/>
        <v>Mar</v>
      </c>
      <c r="AC560" s="28" t="str">
        <f t="shared" si="91"/>
        <v>2024</v>
      </c>
    </row>
    <row r="561" spans="1:29" x14ac:dyDescent="0.25">
      <c r="A561" s="4" t="s">
        <v>573</v>
      </c>
      <c r="B561" s="14">
        <v>45430</v>
      </c>
      <c r="C561" s="14">
        <v>45434</v>
      </c>
      <c r="D561" s="16">
        <f t="shared" si="83"/>
        <v>4</v>
      </c>
      <c r="E561" s="4" t="s">
        <v>646</v>
      </c>
      <c r="F561" s="4" t="s">
        <v>650</v>
      </c>
      <c r="G561" s="4" t="s">
        <v>664</v>
      </c>
      <c r="H561" s="4" t="s">
        <v>701</v>
      </c>
      <c r="I561" s="4" t="s">
        <v>711</v>
      </c>
      <c r="J561" s="4" t="s">
        <v>722</v>
      </c>
      <c r="K561" s="4" t="s">
        <v>733</v>
      </c>
      <c r="L561" s="4" t="s">
        <v>1291</v>
      </c>
      <c r="M561" s="9">
        <v>9</v>
      </c>
      <c r="N561" s="16">
        <f>ROUND(IF('Dashboard Visualization'!$U$3="",'Working Data'!$M561,'Working Data'!$M561*(100% +'Dashboard Visualization'!$U$3)),0)</f>
        <v>9</v>
      </c>
      <c r="O561" s="19">
        <v>857.42</v>
      </c>
      <c r="P561" s="20">
        <f>IF('Dashboard Visualization'!$U$2="",'Working Data'!$O561*'Working Data'!$N561,'Working Data'!$O561*'Working Data'!$N561*(100%+'Dashboard Visualization'!$U$2))</f>
        <v>7716.78</v>
      </c>
      <c r="Q561" s="19">
        <v>1658.92</v>
      </c>
      <c r="R561" s="20">
        <f t="shared" si="84"/>
        <v>1456.5317600000001</v>
      </c>
      <c r="S561" s="11">
        <v>0.122</v>
      </c>
      <c r="T561" s="22">
        <f>IF('Dashboard Visualization'!$U$1="",$S561,IF(S561&gt;'Dashboard Visualization'!$U$1,'Dashboard Visualization'!$U$1,S561))</f>
        <v>0.122</v>
      </c>
      <c r="U561" s="20">
        <f t="shared" si="85"/>
        <v>11509.513967520001</v>
      </c>
      <c r="V561" s="20">
        <f t="shared" si="86"/>
        <v>3792.733967520001</v>
      </c>
      <c r="W561" s="22">
        <f t="shared" si="82"/>
        <v>0.32953033275107413</v>
      </c>
      <c r="X561" s="28" t="str">
        <f>TEXT(B561,"MMM-YYYY")</f>
        <v>May-2024</v>
      </c>
      <c r="Y561" s="7" t="str">
        <f t="shared" si="87"/>
        <v>Q2-2024</v>
      </c>
      <c r="Z561" s="7" t="str">
        <f t="shared" si="88"/>
        <v>High Price</v>
      </c>
      <c r="AA561" s="7" t="str">
        <f t="shared" si="89"/>
        <v>Q2</v>
      </c>
      <c r="AB561" s="28" t="str">
        <f t="shared" si="90"/>
        <v>May</v>
      </c>
      <c r="AC561" s="28" t="str">
        <f t="shared" si="91"/>
        <v>2024</v>
      </c>
    </row>
    <row r="562" spans="1:29" x14ac:dyDescent="0.25">
      <c r="A562" s="4" t="s">
        <v>574</v>
      </c>
      <c r="B562" s="14">
        <v>45299</v>
      </c>
      <c r="C562" s="14">
        <v>45303</v>
      </c>
      <c r="D562" s="16">
        <f t="shared" si="83"/>
        <v>4</v>
      </c>
      <c r="E562" s="4" t="s">
        <v>647</v>
      </c>
      <c r="F562" s="4" t="s">
        <v>654</v>
      </c>
      <c r="G562" s="4" t="s">
        <v>668</v>
      </c>
      <c r="H562" s="4" t="s">
        <v>701</v>
      </c>
      <c r="I562" s="4" t="s">
        <v>711</v>
      </c>
      <c r="J562" s="4" t="s">
        <v>718</v>
      </c>
      <c r="K562" s="4" t="s">
        <v>728</v>
      </c>
      <c r="L562" s="4" t="s">
        <v>1292</v>
      </c>
      <c r="M562" s="9">
        <v>25</v>
      </c>
      <c r="N562" s="16">
        <f>ROUND(IF('Dashboard Visualization'!$U$3="",'Working Data'!$M562,'Working Data'!$M562*(100% +'Dashboard Visualization'!$U$3)),0)</f>
        <v>25</v>
      </c>
      <c r="O562" s="19">
        <v>802.32</v>
      </c>
      <c r="P562" s="20">
        <f>IF('Dashboard Visualization'!$U$2="",'Working Data'!$O562*'Working Data'!$N562,'Working Data'!$O562*'Working Data'!$N562*(100%+'Dashboard Visualization'!$U$2))</f>
        <v>20058</v>
      </c>
      <c r="Q562" s="19">
        <v>602.34</v>
      </c>
      <c r="R562" s="20">
        <f t="shared" si="84"/>
        <v>530.05920000000003</v>
      </c>
      <c r="S562" s="11">
        <v>0.12</v>
      </c>
      <c r="T562" s="22">
        <f>IF('Dashboard Visualization'!$U$1="",$S562,IF(S562&gt;'Dashboard Visualization'!$U$1,'Dashboard Visualization'!$U$1,S562))</f>
        <v>0.12</v>
      </c>
      <c r="U562" s="20">
        <f t="shared" si="85"/>
        <v>11661.3024</v>
      </c>
      <c r="V562" s="20">
        <f t="shared" si="86"/>
        <v>-8396.6975999999995</v>
      </c>
      <c r="W562" s="22">
        <f t="shared" si="82"/>
        <v>0</v>
      </c>
      <c r="X562" s="28" t="str">
        <f>TEXT(B562,"MMM-YYYY")</f>
        <v>Jan-2024</v>
      </c>
      <c r="Y562" s="7" t="str">
        <f t="shared" si="87"/>
        <v>Q1-2024</v>
      </c>
      <c r="Z562" s="7" t="str">
        <f t="shared" si="88"/>
        <v>Low Price</v>
      </c>
      <c r="AA562" s="7" t="str">
        <f t="shared" si="89"/>
        <v>Q1</v>
      </c>
      <c r="AB562" s="28" t="str">
        <f t="shared" si="90"/>
        <v>Jan</v>
      </c>
      <c r="AC562" s="28" t="str">
        <f t="shared" si="91"/>
        <v>2024</v>
      </c>
    </row>
    <row r="563" spans="1:29" x14ac:dyDescent="0.25">
      <c r="A563" s="4" t="s">
        <v>575</v>
      </c>
      <c r="B563" s="14">
        <v>45590</v>
      </c>
      <c r="C563" s="14">
        <v>45601</v>
      </c>
      <c r="D563" s="16">
        <f t="shared" si="83"/>
        <v>11</v>
      </c>
      <c r="E563" s="4" t="s">
        <v>648</v>
      </c>
      <c r="F563" s="4" t="s">
        <v>660</v>
      </c>
      <c r="G563" s="4" t="s">
        <v>700</v>
      </c>
      <c r="H563" s="4" t="s">
        <v>701</v>
      </c>
      <c r="I563" s="4" t="s">
        <v>710</v>
      </c>
      <c r="J563" s="4" t="s">
        <v>725</v>
      </c>
      <c r="K563" s="4" t="s">
        <v>727</v>
      </c>
      <c r="L563" s="4" t="s">
        <v>1293</v>
      </c>
      <c r="M563" s="9">
        <v>15</v>
      </c>
      <c r="N563" s="16">
        <f>ROUND(IF('Dashboard Visualization'!$U$3="",'Working Data'!$M563,'Working Data'!$M563*(100% +'Dashboard Visualization'!$U$3)),0)</f>
        <v>15</v>
      </c>
      <c r="O563" s="19">
        <v>446.66</v>
      </c>
      <c r="P563" s="20">
        <f>IF('Dashboard Visualization'!$U$2="",'Working Data'!$O563*'Working Data'!$N563,'Working Data'!$O563*'Working Data'!$N563*(100%+'Dashboard Visualization'!$U$2))</f>
        <v>6699.9000000000005</v>
      </c>
      <c r="Q563" s="19">
        <v>527.64</v>
      </c>
      <c r="R563" s="20">
        <f t="shared" si="84"/>
        <v>451.13219999999995</v>
      </c>
      <c r="S563" s="11">
        <v>0.14499999999999999</v>
      </c>
      <c r="T563" s="22">
        <f>IF('Dashboard Visualization'!$U$1="",$S563,IF(S563&gt;'Dashboard Visualization'!$U$1,'Dashboard Visualization'!$U$1,S563))</f>
        <v>0.14499999999999999</v>
      </c>
      <c r="U563" s="20">
        <f t="shared" si="85"/>
        <v>5785.7704649999987</v>
      </c>
      <c r="V563" s="20">
        <f t="shared" si="86"/>
        <v>-914.12953500000185</v>
      </c>
      <c r="W563" s="22">
        <f t="shared" si="82"/>
        <v>0</v>
      </c>
      <c r="X563" s="28" t="str">
        <f>TEXT(B563,"MMM-YYYY")</f>
        <v>Oct-2024</v>
      </c>
      <c r="Y563" s="7" t="str">
        <f t="shared" si="87"/>
        <v>Q4-2024</v>
      </c>
      <c r="Z563" s="7" t="str">
        <f t="shared" si="88"/>
        <v>Low Price</v>
      </c>
      <c r="AA563" s="7" t="str">
        <f t="shared" si="89"/>
        <v>Q4</v>
      </c>
      <c r="AB563" s="28" t="str">
        <f t="shared" si="90"/>
        <v>Oct</v>
      </c>
      <c r="AC563" s="28" t="str">
        <f t="shared" si="91"/>
        <v>2024</v>
      </c>
    </row>
    <row r="564" spans="1:29" x14ac:dyDescent="0.25">
      <c r="A564" s="4" t="s">
        <v>576</v>
      </c>
      <c r="B564" s="14">
        <v>45626</v>
      </c>
      <c r="C564" s="14">
        <v>45645</v>
      </c>
      <c r="D564" s="16">
        <f t="shared" si="83"/>
        <v>19</v>
      </c>
      <c r="E564" s="4" t="s">
        <v>646</v>
      </c>
      <c r="F564" s="4" t="s">
        <v>650</v>
      </c>
      <c r="G564" s="4" t="s">
        <v>662</v>
      </c>
      <c r="H564" s="4" t="s">
        <v>701</v>
      </c>
      <c r="I564" s="4" t="s">
        <v>708</v>
      </c>
      <c r="J564" s="4" t="s">
        <v>716</v>
      </c>
      <c r="K564" s="4" t="s">
        <v>730</v>
      </c>
      <c r="L564" s="4" t="s">
        <v>1294</v>
      </c>
      <c r="M564" s="9">
        <v>19</v>
      </c>
      <c r="N564" s="16">
        <f>ROUND(IF('Dashboard Visualization'!$U$3="",'Working Data'!$M564,'Working Data'!$M564*(100% +'Dashboard Visualization'!$U$3)),0)</f>
        <v>19</v>
      </c>
      <c r="O564" s="19">
        <v>1195.98</v>
      </c>
      <c r="P564" s="20">
        <f>IF('Dashboard Visualization'!$U$2="",'Working Data'!$O564*'Working Data'!$N564,'Working Data'!$O564*'Working Data'!$N564*(100%+'Dashboard Visualization'!$U$2))</f>
        <v>22723.62</v>
      </c>
      <c r="Q564" s="19">
        <v>1841.9</v>
      </c>
      <c r="R564" s="20">
        <f t="shared" si="84"/>
        <v>1740.5954999999999</v>
      </c>
      <c r="S564" s="11">
        <v>5.5E-2</v>
      </c>
      <c r="T564" s="22">
        <f>IF('Dashboard Visualization'!$U$1="",$S564,IF(S564&gt;'Dashboard Visualization'!$U$1,'Dashboard Visualization'!$U$1,S564))</f>
        <v>5.5E-2</v>
      </c>
      <c r="U564" s="20">
        <f t="shared" si="85"/>
        <v>31252.392202499996</v>
      </c>
      <c r="V564" s="20">
        <f t="shared" si="86"/>
        <v>8528.7722024999966</v>
      </c>
      <c r="W564" s="22">
        <f t="shared" si="82"/>
        <v>0.27289981986779716</v>
      </c>
      <c r="X564" s="28" t="str">
        <f>TEXT(B564,"MMM-YYYY")</f>
        <v>Nov-2024</v>
      </c>
      <c r="Y564" s="7" t="str">
        <f t="shared" si="87"/>
        <v>Q4-2024</v>
      </c>
      <c r="Z564" s="7" t="str">
        <f t="shared" si="88"/>
        <v>Medium Price</v>
      </c>
      <c r="AA564" s="7" t="str">
        <f t="shared" si="89"/>
        <v>Q4</v>
      </c>
      <c r="AB564" s="28" t="str">
        <f t="shared" si="90"/>
        <v>Nov</v>
      </c>
      <c r="AC564" s="28" t="str">
        <f t="shared" si="91"/>
        <v>2024</v>
      </c>
    </row>
    <row r="565" spans="1:29" x14ac:dyDescent="0.25">
      <c r="A565" s="4" t="s">
        <v>577</v>
      </c>
      <c r="B565" s="14">
        <v>45029</v>
      </c>
      <c r="C565" s="14">
        <v>45048</v>
      </c>
      <c r="D565" s="16">
        <f t="shared" si="83"/>
        <v>19</v>
      </c>
      <c r="E565" s="4" t="s">
        <v>648</v>
      </c>
      <c r="F565" s="4" t="s">
        <v>653</v>
      </c>
      <c r="G565" s="4" t="s">
        <v>681</v>
      </c>
      <c r="H565" s="4" t="s">
        <v>704</v>
      </c>
      <c r="I565" s="4" t="s">
        <v>710</v>
      </c>
      <c r="J565" s="4" t="s">
        <v>718</v>
      </c>
      <c r="K565" s="4" t="s">
        <v>732</v>
      </c>
      <c r="L565" s="4" t="s">
        <v>1295</v>
      </c>
      <c r="M565" s="9">
        <v>6</v>
      </c>
      <c r="N565" s="16">
        <f>ROUND(IF('Dashboard Visualization'!$U$3="",'Working Data'!$M565,'Working Data'!$M565*(100% +'Dashboard Visualization'!$U$3)),0)</f>
        <v>6</v>
      </c>
      <c r="O565" s="19">
        <v>671.05</v>
      </c>
      <c r="P565" s="20">
        <f>IF('Dashboard Visualization'!$U$2="",'Working Data'!$O565*'Working Data'!$N565,'Working Data'!$O565*'Working Data'!$N565*(100%+'Dashboard Visualization'!$U$2))</f>
        <v>4026.2999999999997</v>
      </c>
      <c r="Q565" s="19">
        <v>1645.48</v>
      </c>
      <c r="R565" s="20">
        <f t="shared" si="84"/>
        <v>1420.0492400000001</v>
      </c>
      <c r="S565" s="11">
        <v>0.13700000000000001</v>
      </c>
      <c r="T565" s="22">
        <f>IF('Dashboard Visualization'!$U$1="",$S565,IF(S565&gt;'Dashboard Visualization'!$U$1,'Dashboard Visualization'!$U$1,S565))</f>
        <v>0.13700000000000001</v>
      </c>
      <c r="U565" s="20">
        <f t="shared" si="85"/>
        <v>7353.0149647199996</v>
      </c>
      <c r="V565" s="20">
        <f t="shared" si="86"/>
        <v>3326.7149647199999</v>
      </c>
      <c r="W565" s="22">
        <f t="shared" si="82"/>
        <v>0.45242869498861138</v>
      </c>
      <c r="X565" s="28" t="str">
        <f>TEXT(B565,"MMM-YYYY")</f>
        <v>Apr-2023</v>
      </c>
      <c r="Y565" s="7" t="str">
        <f t="shared" si="87"/>
        <v>Q2-2023</v>
      </c>
      <c r="Z565" s="7" t="str">
        <f t="shared" si="88"/>
        <v>High Price</v>
      </c>
      <c r="AA565" s="7" t="str">
        <f t="shared" si="89"/>
        <v>Q2</v>
      </c>
      <c r="AB565" s="28" t="str">
        <f t="shared" si="90"/>
        <v>Apr</v>
      </c>
      <c r="AC565" s="28" t="str">
        <f t="shared" si="91"/>
        <v>2023</v>
      </c>
    </row>
    <row r="566" spans="1:29" x14ac:dyDescent="0.25">
      <c r="A566" s="4" t="s">
        <v>578</v>
      </c>
      <c r="B566" s="14">
        <v>45692</v>
      </c>
      <c r="C566" s="14">
        <v>45696</v>
      </c>
      <c r="D566" s="16">
        <f t="shared" si="83"/>
        <v>4</v>
      </c>
      <c r="E566" s="4" t="s">
        <v>649</v>
      </c>
      <c r="F566" s="4" t="s">
        <v>658</v>
      </c>
      <c r="G566" s="4" t="s">
        <v>693</v>
      </c>
      <c r="H566" s="4" t="s">
        <v>706</v>
      </c>
      <c r="I566" s="4" t="s">
        <v>709</v>
      </c>
      <c r="J566" s="4" t="s">
        <v>716</v>
      </c>
      <c r="K566" s="4" t="s">
        <v>729</v>
      </c>
      <c r="L566" s="4" t="s">
        <v>1296</v>
      </c>
      <c r="M566" s="9">
        <v>15</v>
      </c>
      <c r="N566" s="16">
        <f>ROUND(IF('Dashboard Visualization'!$U$3="",'Working Data'!$M566,'Working Data'!$M566*(100% +'Dashboard Visualization'!$U$3)),0)</f>
        <v>15</v>
      </c>
      <c r="O566" s="19">
        <v>586.21</v>
      </c>
      <c r="P566" s="20">
        <f>IF('Dashboard Visualization'!$U$2="",'Working Data'!$O566*'Working Data'!$N566,'Working Data'!$O566*'Working Data'!$N566*(100%+'Dashboard Visualization'!$U$2))</f>
        <v>8793.1500000000015</v>
      </c>
      <c r="Q566" s="19">
        <v>727.22</v>
      </c>
      <c r="R566" s="20">
        <f t="shared" si="84"/>
        <v>677.76904000000002</v>
      </c>
      <c r="S566" s="11">
        <v>6.8000000000000005E-2</v>
      </c>
      <c r="T566" s="22">
        <f>IF('Dashboard Visualization'!$U$1="",$S566,IF(S566&gt;'Dashboard Visualization'!$U$1,'Dashboard Visualization'!$U$1,S566))</f>
        <v>6.8000000000000005E-2</v>
      </c>
      <c r="U566" s="20">
        <f t="shared" si="85"/>
        <v>9475.2111791999996</v>
      </c>
      <c r="V566" s="20">
        <f t="shared" si="86"/>
        <v>682.06117919999815</v>
      </c>
      <c r="W566" s="22">
        <f t="shared" si="82"/>
        <v>7.1983744351498999E-2</v>
      </c>
      <c r="X566" s="28" t="str">
        <f>TEXT(B566,"MMM-YYYY")</f>
        <v>Feb-2025</v>
      </c>
      <c r="Y566" s="7" t="str">
        <f t="shared" si="87"/>
        <v>Q1-2025</v>
      </c>
      <c r="Z566" s="7" t="str">
        <f t="shared" si="88"/>
        <v>High Price</v>
      </c>
      <c r="AA566" s="7" t="str">
        <f t="shared" si="89"/>
        <v>Q1</v>
      </c>
      <c r="AB566" s="28" t="str">
        <f t="shared" si="90"/>
        <v>Feb</v>
      </c>
      <c r="AC566" s="28" t="str">
        <f t="shared" si="91"/>
        <v>2025</v>
      </c>
    </row>
    <row r="567" spans="1:29" x14ac:dyDescent="0.25">
      <c r="A567" s="4" t="s">
        <v>579</v>
      </c>
      <c r="B567" s="14">
        <v>45315</v>
      </c>
      <c r="C567" s="14">
        <v>45326</v>
      </c>
      <c r="D567" s="16">
        <f t="shared" si="83"/>
        <v>11</v>
      </c>
      <c r="E567" s="4" t="s">
        <v>649</v>
      </c>
      <c r="F567" s="4" t="s">
        <v>658</v>
      </c>
      <c r="G567" s="4" t="s">
        <v>693</v>
      </c>
      <c r="H567" s="4" t="s">
        <v>704</v>
      </c>
      <c r="I567" s="4" t="s">
        <v>707</v>
      </c>
      <c r="J567" s="4" t="s">
        <v>717</v>
      </c>
      <c r="K567" s="4" t="s">
        <v>731</v>
      </c>
      <c r="L567" s="4" t="s">
        <v>1297</v>
      </c>
      <c r="M567" s="9">
        <v>4</v>
      </c>
      <c r="N567" s="16">
        <f>ROUND(IF('Dashboard Visualization'!$U$3="",'Working Data'!$M567,'Working Data'!$M567*(100% +'Dashboard Visualization'!$U$3)),0)</f>
        <v>4</v>
      </c>
      <c r="O567" s="19">
        <v>525.34</v>
      </c>
      <c r="P567" s="20">
        <f>IF('Dashboard Visualization'!$U$2="",'Working Data'!$O567*'Working Data'!$N567,'Working Data'!$O567*'Working Data'!$N567*(100%+'Dashboard Visualization'!$U$2))</f>
        <v>2101.36</v>
      </c>
      <c r="Q567" s="19">
        <v>1233.79</v>
      </c>
      <c r="R567" s="20">
        <f t="shared" si="84"/>
        <v>1057.3580299999999</v>
      </c>
      <c r="S567" s="11">
        <v>0.14299999999999999</v>
      </c>
      <c r="T567" s="22">
        <f>IF('Dashboard Visualization'!$U$1="",$S567,IF(S567&gt;'Dashboard Visualization'!$U$1,'Dashboard Visualization'!$U$1,S567))</f>
        <v>0.14299999999999999</v>
      </c>
      <c r="U567" s="20">
        <f t="shared" si="85"/>
        <v>3624.6233268399997</v>
      </c>
      <c r="V567" s="20">
        <f t="shared" si="86"/>
        <v>1523.2633268399995</v>
      </c>
      <c r="W567" s="22">
        <f t="shared" si="82"/>
        <v>0.42025424147121049</v>
      </c>
      <c r="X567" s="28" t="str">
        <f>TEXT(B567,"MMM-YYYY")</f>
        <v>Jan-2024</v>
      </c>
      <c r="Y567" s="7" t="str">
        <f t="shared" si="87"/>
        <v>Q1-2024</v>
      </c>
      <c r="Z567" s="7" t="str">
        <f t="shared" si="88"/>
        <v>High Price</v>
      </c>
      <c r="AA567" s="7" t="str">
        <f t="shared" si="89"/>
        <v>Q1</v>
      </c>
      <c r="AB567" s="28" t="str">
        <f t="shared" si="90"/>
        <v>Jan</v>
      </c>
      <c r="AC567" s="28" t="str">
        <f t="shared" si="91"/>
        <v>2024</v>
      </c>
    </row>
    <row r="568" spans="1:29" x14ac:dyDescent="0.25">
      <c r="A568" s="4" t="s">
        <v>580</v>
      </c>
      <c r="B568" s="14">
        <v>45330</v>
      </c>
      <c r="C568" s="14">
        <v>45331</v>
      </c>
      <c r="D568" s="16">
        <f t="shared" si="83"/>
        <v>1</v>
      </c>
      <c r="E568" s="4" t="s">
        <v>646</v>
      </c>
      <c r="F568" s="4" t="s">
        <v>650</v>
      </c>
      <c r="G568" s="4" t="s">
        <v>675</v>
      </c>
      <c r="H568" s="4" t="s">
        <v>701</v>
      </c>
      <c r="I568" s="4" t="s">
        <v>711</v>
      </c>
      <c r="J568" s="4" t="s">
        <v>721</v>
      </c>
      <c r="K568" s="4" t="s">
        <v>727</v>
      </c>
      <c r="L568" s="4" t="s">
        <v>1298</v>
      </c>
      <c r="M568" s="9">
        <v>13</v>
      </c>
      <c r="N568" s="16">
        <f>ROUND(IF('Dashboard Visualization'!$U$3="",'Working Data'!$M568,'Working Data'!$M568*(100% +'Dashboard Visualization'!$U$3)),0)</f>
        <v>13</v>
      </c>
      <c r="O568" s="19">
        <v>1233.52</v>
      </c>
      <c r="P568" s="20">
        <f>IF('Dashboard Visualization'!$U$2="",'Working Data'!$O568*'Working Data'!$N568,'Working Data'!$O568*'Working Data'!$N568*(100%+'Dashboard Visualization'!$U$2))</f>
        <v>16035.76</v>
      </c>
      <c r="Q568" s="19">
        <v>1543.76</v>
      </c>
      <c r="R568" s="20">
        <f t="shared" si="84"/>
        <v>1349.2462399999999</v>
      </c>
      <c r="S568" s="11">
        <v>0.126</v>
      </c>
      <c r="T568" s="22">
        <f>IF('Dashboard Visualization'!$U$1="",$S568,IF(S568&gt;'Dashboard Visualization'!$U$1,'Dashboard Visualization'!$U$1,S568))</f>
        <v>0.126</v>
      </c>
      <c r="U568" s="20">
        <f t="shared" si="85"/>
        <v>15330.13577888</v>
      </c>
      <c r="V568" s="20">
        <f t="shared" si="86"/>
        <v>-705.62422112000058</v>
      </c>
      <c r="W568" s="22">
        <f t="shared" si="82"/>
        <v>0</v>
      </c>
      <c r="X568" s="28" t="str">
        <f>TEXT(B568,"MMM-YYYY")</f>
        <v>Feb-2024</v>
      </c>
      <c r="Y568" s="7" t="str">
        <f t="shared" si="87"/>
        <v>Q1-2024</v>
      </c>
      <c r="Z568" s="7" t="str">
        <f t="shared" si="88"/>
        <v>High Price</v>
      </c>
      <c r="AA568" s="7" t="str">
        <f t="shared" si="89"/>
        <v>Q1</v>
      </c>
      <c r="AB568" s="28" t="str">
        <f t="shared" si="90"/>
        <v>Feb</v>
      </c>
      <c r="AC568" s="28" t="str">
        <f t="shared" si="91"/>
        <v>2024</v>
      </c>
    </row>
    <row r="569" spans="1:29" x14ac:dyDescent="0.25">
      <c r="A569" s="4" t="s">
        <v>581</v>
      </c>
      <c r="B569" s="14">
        <v>45834</v>
      </c>
      <c r="C569" s="14">
        <v>45849</v>
      </c>
      <c r="D569" s="16">
        <f t="shared" si="83"/>
        <v>15</v>
      </c>
      <c r="E569" s="4" t="s">
        <v>646</v>
      </c>
      <c r="F569" s="4" t="s">
        <v>651</v>
      </c>
      <c r="G569" s="4" t="s">
        <v>663</v>
      </c>
      <c r="H569" s="4" t="s">
        <v>705</v>
      </c>
      <c r="I569" s="4" t="s">
        <v>708</v>
      </c>
      <c r="J569" s="4" t="s">
        <v>720</v>
      </c>
      <c r="K569" s="4" t="s">
        <v>731</v>
      </c>
      <c r="L569" s="4" t="s">
        <v>1299</v>
      </c>
      <c r="M569" s="9">
        <v>23</v>
      </c>
      <c r="N569" s="16">
        <f>ROUND(IF('Dashboard Visualization'!$U$3="",'Working Data'!$M569,'Working Data'!$M569*(100% +'Dashboard Visualization'!$U$3)),0)</f>
        <v>23</v>
      </c>
      <c r="O569" s="19">
        <v>1170.1500000000001</v>
      </c>
      <c r="P569" s="20">
        <f>IF('Dashboard Visualization'!$U$2="",'Working Data'!$O569*'Working Data'!$N569,'Working Data'!$O569*'Working Data'!$N569*(100%+'Dashboard Visualization'!$U$2))</f>
        <v>26913.45</v>
      </c>
      <c r="Q569" s="19">
        <v>2115.19</v>
      </c>
      <c r="R569" s="20">
        <f t="shared" si="84"/>
        <v>1920.5925200000001</v>
      </c>
      <c r="S569" s="11">
        <v>9.1999999999999998E-2</v>
      </c>
      <c r="T569" s="22">
        <f>IF('Dashboard Visualization'!$U$1="",$S569,IF(S569&gt;'Dashboard Visualization'!$U$1,'Dashboard Visualization'!$U$1,S569))</f>
        <v>9.1999999999999998E-2</v>
      </c>
      <c r="U569" s="20">
        <f t="shared" si="85"/>
        <v>40109.654187680004</v>
      </c>
      <c r="V569" s="20">
        <f t="shared" si="86"/>
        <v>13196.204187680003</v>
      </c>
      <c r="W569" s="22">
        <f t="shared" si="82"/>
        <v>0.32900319025271779</v>
      </c>
      <c r="X569" s="28" t="str">
        <f>TEXT(B569,"MMM-YYYY")</f>
        <v>Jun-2025</v>
      </c>
      <c r="Y569" s="7" t="str">
        <f t="shared" si="87"/>
        <v>Q2-2025</v>
      </c>
      <c r="Z569" s="7" t="str">
        <f t="shared" si="88"/>
        <v>Medium Price</v>
      </c>
      <c r="AA569" s="7" t="str">
        <f t="shared" si="89"/>
        <v>Q2</v>
      </c>
      <c r="AB569" s="28" t="str">
        <f t="shared" si="90"/>
        <v>Jun</v>
      </c>
      <c r="AC569" s="28" t="str">
        <f t="shared" si="91"/>
        <v>2025</v>
      </c>
    </row>
    <row r="570" spans="1:29" x14ac:dyDescent="0.25">
      <c r="A570" s="4" t="s">
        <v>582</v>
      </c>
      <c r="B570" s="14">
        <v>45600</v>
      </c>
      <c r="C570" s="14">
        <v>45603</v>
      </c>
      <c r="D570" s="16">
        <f t="shared" si="83"/>
        <v>3</v>
      </c>
      <c r="E570" s="4" t="s">
        <v>649</v>
      </c>
      <c r="F570" s="4" t="s">
        <v>657</v>
      </c>
      <c r="G570" s="4" t="s">
        <v>679</v>
      </c>
      <c r="H570" s="4" t="s">
        <v>701</v>
      </c>
      <c r="I570" s="4" t="s">
        <v>708</v>
      </c>
      <c r="J570" s="4" t="s">
        <v>719</v>
      </c>
      <c r="K570" s="4" t="s">
        <v>732</v>
      </c>
      <c r="L570" s="4" t="s">
        <v>1300</v>
      </c>
      <c r="M570" s="9">
        <v>17</v>
      </c>
      <c r="N570" s="16">
        <f>ROUND(IF('Dashboard Visualization'!$U$3="",'Working Data'!$M570,'Working Data'!$M570*(100% +'Dashboard Visualization'!$U$3)),0)</f>
        <v>17</v>
      </c>
      <c r="O570" s="19">
        <v>740.68</v>
      </c>
      <c r="P570" s="20">
        <f>IF('Dashboard Visualization'!$U$2="",'Working Data'!$O570*'Working Data'!$N570,'Working Data'!$O570*'Working Data'!$N570*(100%+'Dashboard Visualization'!$U$2))</f>
        <v>12591.56</v>
      </c>
      <c r="Q570" s="19">
        <v>1837.19</v>
      </c>
      <c r="R570" s="20">
        <f t="shared" si="84"/>
        <v>1475.2635699999998</v>
      </c>
      <c r="S570" s="11">
        <v>0.19700000000000001</v>
      </c>
      <c r="T570" s="22">
        <f>IF('Dashboard Visualization'!$U$1="",$S570,IF(S570&gt;'Dashboard Visualization'!$U$1,'Dashboard Visualization'!$U$1,S570))</f>
        <v>0.19700000000000001</v>
      </c>
      <c r="U570" s="20">
        <f t="shared" si="85"/>
        <v>20138.822994069997</v>
      </c>
      <c r="V570" s="20">
        <f t="shared" si="86"/>
        <v>7547.2629940699971</v>
      </c>
      <c r="W570" s="22">
        <f t="shared" si="82"/>
        <v>0.37476187145059753</v>
      </c>
      <c r="X570" s="28" t="str">
        <f>TEXT(B570,"MMM-YYYY")</f>
        <v>Nov-2024</v>
      </c>
      <c r="Y570" s="7" t="str">
        <f t="shared" si="87"/>
        <v>Q4-2024</v>
      </c>
      <c r="Z570" s="7" t="str">
        <f t="shared" si="88"/>
        <v>High Price</v>
      </c>
      <c r="AA570" s="7" t="str">
        <f t="shared" si="89"/>
        <v>Q4</v>
      </c>
      <c r="AB570" s="28" t="str">
        <f t="shared" si="90"/>
        <v>Nov</v>
      </c>
      <c r="AC570" s="28" t="str">
        <f t="shared" si="91"/>
        <v>2024</v>
      </c>
    </row>
    <row r="571" spans="1:29" x14ac:dyDescent="0.25">
      <c r="A571" s="4" t="s">
        <v>583</v>
      </c>
      <c r="B571" s="14">
        <v>45342</v>
      </c>
      <c r="C571" s="14">
        <v>45342</v>
      </c>
      <c r="D571" s="16">
        <f t="shared" si="83"/>
        <v>0</v>
      </c>
      <c r="E571" s="4" t="s">
        <v>648</v>
      </c>
      <c r="F571" s="4" t="s">
        <v>660</v>
      </c>
      <c r="G571" s="4" t="s">
        <v>700</v>
      </c>
      <c r="H571" s="4" t="s">
        <v>706</v>
      </c>
      <c r="I571" s="4" t="s">
        <v>708</v>
      </c>
      <c r="J571" s="4" t="s">
        <v>712</v>
      </c>
      <c r="K571" s="4" t="s">
        <v>729</v>
      </c>
      <c r="L571" s="4" t="s">
        <v>1301</v>
      </c>
      <c r="M571" s="9">
        <v>12</v>
      </c>
      <c r="N571" s="16">
        <f>ROUND(IF('Dashboard Visualization'!$U$3="",'Working Data'!$M571,'Working Data'!$M571*(100% +'Dashboard Visualization'!$U$3)),0)</f>
        <v>12</v>
      </c>
      <c r="O571" s="19">
        <v>1407.05</v>
      </c>
      <c r="P571" s="20">
        <f>IF('Dashboard Visualization'!$U$2="",'Working Data'!$O571*'Working Data'!$N571,'Working Data'!$O571*'Working Data'!$N571*(100%+'Dashboard Visualization'!$U$2))</f>
        <v>16884.599999999999</v>
      </c>
      <c r="Q571" s="19">
        <v>2858.93</v>
      </c>
      <c r="R571" s="20">
        <f t="shared" si="84"/>
        <v>2858.93</v>
      </c>
      <c r="S571" s="11">
        <v>0</v>
      </c>
      <c r="T571" s="22">
        <f>IF('Dashboard Visualization'!$U$1="",$S571,IF(S571&gt;'Dashboard Visualization'!$U$1,'Dashboard Visualization'!$U$1,S571))</f>
        <v>0</v>
      </c>
      <c r="U571" s="20">
        <f t="shared" si="85"/>
        <v>34307.159999999996</v>
      </c>
      <c r="V571" s="20">
        <f t="shared" si="86"/>
        <v>17422.559999999998</v>
      </c>
      <c r="W571" s="22">
        <f t="shared" si="82"/>
        <v>0.50784034586366222</v>
      </c>
      <c r="X571" s="28" t="str">
        <f>TEXT(B571,"MMM-YYYY")</f>
        <v>Feb-2024</v>
      </c>
      <c r="Y571" s="7" t="str">
        <f t="shared" si="87"/>
        <v>Q1-2024</v>
      </c>
      <c r="Z571" s="7" t="str">
        <f t="shared" si="88"/>
        <v>Medium Price</v>
      </c>
      <c r="AA571" s="7" t="str">
        <f t="shared" si="89"/>
        <v>Q1</v>
      </c>
      <c r="AB571" s="28" t="str">
        <f t="shared" si="90"/>
        <v>Feb</v>
      </c>
      <c r="AC571" s="28" t="str">
        <f t="shared" si="91"/>
        <v>2024</v>
      </c>
    </row>
    <row r="572" spans="1:29" x14ac:dyDescent="0.25">
      <c r="A572" s="4" t="s">
        <v>584</v>
      </c>
      <c r="B572" s="14">
        <v>45760</v>
      </c>
      <c r="C572" s="14">
        <v>45761</v>
      </c>
      <c r="D572" s="16">
        <f t="shared" si="83"/>
        <v>1</v>
      </c>
      <c r="E572" s="4" t="s">
        <v>647</v>
      </c>
      <c r="F572" s="4" t="s">
        <v>652</v>
      </c>
      <c r="G572" s="4" t="s">
        <v>666</v>
      </c>
      <c r="H572" s="4" t="s">
        <v>706</v>
      </c>
      <c r="I572" s="4" t="s">
        <v>708</v>
      </c>
      <c r="J572" s="4" t="s">
        <v>715</v>
      </c>
      <c r="K572" s="4" t="s">
        <v>727</v>
      </c>
      <c r="L572" s="4" t="s">
        <v>1302</v>
      </c>
      <c r="M572" s="9">
        <v>12</v>
      </c>
      <c r="N572" s="16">
        <f>ROUND(IF('Dashboard Visualization'!$U$3="",'Working Data'!$M572,'Working Data'!$M572*(100% +'Dashboard Visualization'!$U$3)),0)</f>
        <v>12</v>
      </c>
      <c r="O572" s="19">
        <v>138.9</v>
      </c>
      <c r="P572" s="20">
        <f>IF('Dashboard Visualization'!$U$2="",'Working Data'!$O572*'Working Data'!$N572,'Working Data'!$O572*'Working Data'!$N572*(100%+'Dashboard Visualization'!$U$2))</f>
        <v>1666.8000000000002</v>
      </c>
      <c r="Q572" s="19">
        <v>289.92</v>
      </c>
      <c r="R572" s="20">
        <f t="shared" si="84"/>
        <v>281.51231999999999</v>
      </c>
      <c r="S572" s="11">
        <v>2.9000000000000001E-2</v>
      </c>
      <c r="T572" s="22">
        <f>IF('Dashboard Visualization'!$U$1="",$S572,IF(S572&gt;'Dashboard Visualization'!$U$1,'Dashboard Visualization'!$U$1,S572))</f>
        <v>2.9000000000000001E-2</v>
      </c>
      <c r="U572" s="20">
        <f t="shared" si="85"/>
        <v>3280.1815526399996</v>
      </c>
      <c r="V572" s="20">
        <f t="shared" si="86"/>
        <v>1613.3815526399994</v>
      </c>
      <c r="W572" s="22">
        <f t="shared" si="82"/>
        <v>0.49185739470472178</v>
      </c>
      <c r="X572" s="28" t="str">
        <f>TEXT(B572,"MMM-YYYY")</f>
        <v>Apr-2025</v>
      </c>
      <c r="Y572" s="7" t="str">
        <f t="shared" si="87"/>
        <v>Q2-2025</v>
      </c>
      <c r="Z572" s="7" t="str">
        <f t="shared" si="88"/>
        <v>Low Price</v>
      </c>
      <c r="AA572" s="7" t="str">
        <f t="shared" si="89"/>
        <v>Q2</v>
      </c>
      <c r="AB572" s="28" t="str">
        <f t="shared" si="90"/>
        <v>Apr</v>
      </c>
      <c r="AC572" s="28" t="str">
        <f t="shared" si="91"/>
        <v>2025</v>
      </c>
    </row>
    <row r="573" spans="1:29" x14ac:dyDescent="0.25">
      <c r="A573" s="4" t="s">
        <v>585</v>
      </c>
      <c r="B573" s="14">
        <v>45078</v>
      </c>
      <c r="C573" s="14">
        <v>45078</v>
      </c>
      <c r="D573" s="16">
        <f t="shared" si="83"/>
        <v>0</v>
      </c>
      <c r="E573" s="4" t="s">
        <v>647</v>
      </c>
      <c r="F573" s="4" t="s">
        <v>654</v>
      </c>
      <c r="G573" s="4" t="s">
        <v>668</v>
      </c>
      <c r="H573" s="4" t="s">
        <v>701</v>
      </c>
      <c r="I573" s="4" t="s">
        <v>707</v>
      </c>
      <c r="J573" s="4" t="s">
        <v>718</v>
      </c>
      <c r="K573" s="4" t="s">
        <v>733</v>
      </c>
      <c r="L573" s="4" t="s">
        <v>1303</v>
      </c>
      <c r="M573" s="9">
        <v>5</v>
      </c>
      <c r="N573" s="16">
        <f>ROUND(IF('Dashboard Visualization'!$U$3="",'Working Data'!$M573,'Working Data'!$M573*(100% +'Dashboard Visualization'!$U$3)),0)</f>
        <v>5</v>
      </c>
      <c r="O573" s="19">
        <v>669.37</v>
      </c>
      <c r="P573" s="20">
        <f>IF('Dashboard Visualization'!$U$2="",'Working Data'!$O573*'Working Data'!$N573,'Working Data'!$O573*'Working Data'!$N573*(100%+'Dashboard Visualization'!$U$2))</f>
        <v>3346.85</v>
      </c>
      <c r="Q573" s="19">
        <v>997.2</v>
      </c>
      <c r="R573" s="20">
        <f t="shared" si="84"/>
        <v>915.42960000000005</v>
      </c>
      <c r="S573" s="11">
        <v>8.2000000000000003E-2</v>
      </c>
      <c r="T573" s="22">
        <f>IF('Dashboard Visualization'!$U$1="",$S573,IF(S573&gt;'Dashboard Visualization'!$U$1,'Dashboard Visualization'!$U$1,S573))</f>
        <v>8.2000000000000003E-2</v>
      </c>
      <c r="U573" s="20">
        <f t="shared" si="85"/>
        <v>4201.8218640000005</v>
      </c>
      <c r="V573" s="20">
        <f t="shared" si="86"/>
        <v>854.97186400000055</v>
      </c>
      <c r="W573" s="22">
        <f t="shared" si="82"/>
        <v>0.20347646608371317</v>
      </c>
      <c r="X573" s="28" t="str">
        <f>TEXT(B573,"MMM-YYYY")</f>
        <v>Jun-2023</v>
      </c>
      <c r="Y573" s="7" t="str">
        <f t="shared" si="87"/>
        <v>Q2-2023</v>
      </c>
      <c r="Z573" s="7" t="str">
        <f t="shared" si="88"/>
        <v>High Price</v>
      </c>
      <c r="AA573" s="7" t="str">
        <f t="shared" si="89"/>
        <v>Q2</v>
      </c>
      <c r="AB573" s="28" t="str">
        <f t="shared" si="90"/>
        <v>Jun</v>
      </c>
      <c r="AC573" s="28" t="str">
        <f t="shared" si="91"/>
        <v>2023</v>
      </c>
    </row>
    <row r="574" spans="1:29" x14ac:dyDescent="0.25">
      <c r="A574" s="4" t="s">
        <v>586</v>
      </c>
      <c r="B574" s="14">
        <v>45740</v>
      </c>
      <c r="C574" s="14">
        <v>45751</v>
      </c>
      <c r="D574" s="16">
        <f t="shared" si="83"/>
        <v>11</v>
      </c>
      <c r="E574" s="4" t="s">
        <v>647</v>
      </c>
      <c r="F574" s="4" t="s">
        <v>654</v>
      </c>
      <c r="G574" s="4" t="s">
        <v>691</v>
      </c>
      <c r="H574" s="4" t="s">
        <v>702</v>
      </c>
      <c r="I574" s="4" t="s">
        <v>709</v>
      </c>
      <c r="J574" s="4" t="s">
        <v>713</v>
      </c>
      <c r="K574" s="4" t="s">
        <v>730</v>
      </c>
      <c r="L574" s="4" t="s">
        <v>1304</v>
      </c>
      <c r="M574" s="9">
        <v>19</v>
      </c>
      <c r="N574" s="16">
        <f>ROUND(IF('Dashboard Visualization'!$U$3="",'Working Data'!$M574,'Working Data'!$M574*(100% +'Dashboard Visualization'!$U$3)),0)</f>
        <v>19</v>
      </c>
      <c r="O574" s="19">
        <v>23.83</v>
      </c>
      <c r="P574" s="20">
        <f>IF('Dashboard Visualization'!$U$2="",'Working Data'!$O574*'Working Data'!$N574,'Working Data'!$O574*'Working Data'!$N574*(100%+'Dashboard Visualization'!$U$2))</f>
        <v>452.77</v>
      </c>
      <c r="Q574" s="19">
        <v>47.29</v>
      </c>
      <c r="R574" s="20">
        <f t="shared" si="84"/>
        <v>44.263439999999996</v>
      </c>
      <c r="S574" s="11">
        <v>6.4000000000000001E-2</v>
      </c>
      <c r="T574" s="22">
        <f>IF('Dashboard Visualization'!$U$1="",$S574,IF(S574&gt;'Dashboard Visualization'!$U$1,'Dashboard Visualization'!$U$1,S574))</f>
        <v>6.4000000000000001E-2</v>
      </c>
      <c r="U574" s="20">
        <f t="shared" si="85"/>
        <v>787.18101695999985</v>
      </c>
      <c r="V574" s="20">
        <f t="shared" si="86"/>
        <v>334.41101695999987</v>
      </c>
      <c r="W574" s="22">
        <f t="shared" si="82"/>
        <v>0.42482098749212188</v>
      </c>
      <c r="X574" s="28" t="str">
        <f>TEXT(B574,"MMM-YYYY")</f>
        <v>Mar-2025</v>
      </c>
      <c r="Y574" s="7" t="str">
        <f t="shared" si="87"/>
        <v>Q1-2025</v>
      </c>
      <c r="Z574" s="7" t="str">
        <f t="shared" si="88"/>
        <v>Low Price</v>
      </c>
      <c r="AA574" s="7" t="str">
        <f t="shared" si="89"/>
        <v>Q1</v>
      </c>
      <c r="AB574" s="28" t="str">
        <f t="shared" si="90"/>
        <v>Mar</v>
      </c>
      <c r="AC574" s="28" t="str">
        <f t="shared" si="91"/>
        <v>2025</v>
      </c>
    </row>
    <row r="575" spans="1:29" x14ac:dyDescent="0.25">
      <c r="A575" s="4" t="s">
        <v>587</v>
      </c>
      <c r="B575" s="14">
        <v>45293</v>
      </c>
      <c r="C575" s="14">
        <v>45293</v>
      </c>
      <c r="D575" s="16">
        <f t="shared" si="83"/>
        <v>0</v>
      </c>
      <c r="E575" s="4" t="s">
        <v>648</v>
      </c>
      <c r="F575" s="4" t="s">
        <v>653</v>
      </c>
      <c r="G575" s="4" t="s">
        <v>688</v>
      </c>
      <c r="H575" s="4" t="s">
        <v>702</v>
      </c>
      <c r="I575" s="4" t="s">
        <v>711</v>
      </c>
      <c r="J575" s="4" t="s">
        <v>720</v>
      </c>
      <c r="K575" s="4" t="s">
        <v>731</v>
      </c>
      <c r="L575" s="4" t="s">
        <v>1305</v>
      </c>
      <c r="M575" s="9">
        <v>32</v>
      </c>
      <c r="N575" s="16">
        <f>ROUND(IF('Dashboard Visualization'!$U$3="",'Working Data'!$M575,'Working Data'!$M575*(100% +'Dashboard Visualization'!$U$3)),0)</f>
        <v>32</v>
      </c>
      <c r="O575" s="19">
        <v>444.41</v>
      </c>
      <c r="P575" s="20">
        <f>IF('Dashboard Visualization'!$U$2="",'Working Data'!$O575*'Working Data'!$N575,'Working Data'!$O575*'Working Data'!$N575*(100%+'Dashboard Visualization'!$U$2))</f>
        <v>14221.12</v>
      </c>
      <c r="Q575" s="19">
        <v>754.24</v>
      </c>
      <c r="R575" s="20">
        <f t="shared" si="84"/>
        <v>598.11232000000007</v>
      </c>
      <c r="S575" s="11">
        <v>0.20699999999999999</v>
      </c>
      <c r="T575" s="22">
        <f>IF('Dashboard Visualization'!$U$1="",$S575,IF(S575&gt;'Dashboard Visualization'!$U$1,'Dashboard Visualization'!$U$1,S575))</f>
        <v>0.20699999999999999</v>
      </c>
      <c r="U575" s="20">
        <f t="shared" si="85"/>
        <v>15177.698232320003</v>
      </c>
      <c r="V575" s="20">
        <f t="shared" si="86"/>
        <v>956.57823232000192</v>
      </c>
      <c r="W575" s="22">
        <f t="shared" si="82"/>
        <v>6.3025250448254772E-2</v>
      </c>
      <c r="X575" s="28" t="str">
        <f>TEXT(B575,"MMM-YYYY")</f>
        <v>Jan-2024</v>
      </c>
      <c r="Y575" s="7" t="str">
        <f t="shared" si="87"/>
        <v>Q1-2024</v>
      </c>
      <c r="Z575" s="7" t="str">
        <f t="shared" si="88"/>
        <v>High Price</v>
      </c>
      <c r="AA575" s="7" t="str">
        <f t="shared" si="89"/>
        <v>Q1</v>
      </c>
      <c r="AB575" s="28" t="str">
        <f t="shared" si="90"/>
        <v>Jan</v>
      </c>
      <c r="AC575" s="28" t="str">
        <f t="shared" si="91"/>
        <v>2024</v>
      </c>
    </row>
    <row r="576" spans="1:29" x14ac:dyDescent="0.25">
      <c r="A576" s="4" t="s">
        <v>588</v>
      </c>
      <c r="B576" s="14">
        <v>45279</v>
      </c>
      <c r="C576" s="14">
        <v>45292</v>
      </c>
      <c r="D576" s="16">
        <f t="shared" si="83"/>
        <v>13</v>
      </c>
      <c r="E576" s="4" t="s">
        <v>648</v>
      </c>
      <c r="F576" s="4" t="s">
        <v>653</v>
      </c>
      <c r="G576" s="4" t="s">
        <v>667</v>
      </c>
      <c r="H576" s="4" t="s">
        <v>706</v>
      </c>
      <c r="I576" s="4" t="s">
        <v>707</v>
      </c>
      <c r="J576" s="4" t="s">
        <v>723</v>
      </c>
      <c r="K576" s="4" t="s">
        <v>732</v>
      </c>
      <c r="L576" s="4" t="s">
        <v>1306</v>
      </c>
      <c r="M576" s="9">
        <v>17</v>
      </c>
      <c r="N576" s="16">
        <f>ROUND(IF('Dashboard Visualization'!$U$3="",'Working Data'!$M576,'Working Data'!$M576*(100% +'Dashboard Visualization'!$U$3)),0)</f>
        <v>17</v>
      </c>
      <c r="O576" s="19">
        <v>856.1</v>
      </c>
      <c r="P576" s="20">
        <f>IF('Dashboard Visualization'!$U$2="",'Working Data'!$O576*'Working Data'!$N576,'Working Data'!$O576*'Working Data'!$N576*(100%+'Dashboard Visualization'!$U$2))</f>
        <v>14553.7</v>
      </c>
      <c r="Q576" s="19">
        <v>901.48</v>
      </c>
      <c r="R576" s="20">
        <f t="shared" si="84"/>
        <v>850.99712</v>
      </c>
      <c r="S576" s="11">
        <v>5.6000000000000001E-2</v>
      </c>
      <c r="T576" s="22">
        <f>IF('Dashboard Visualization'!$U$1="",$S576,IF(S576&gt;'Dashboard Visualization'!$U$1,'Dashboard Visualization'!$U$1,S576))</f>
        <v>5.6000000000000001E-2</v>
      </c>
      <c r="U576" s="20">
        <f t="shared" si="85"/>
        <v>13656.801781759999</v>
      </c>
      <c r="V576" s="20">
        <f t="shared" si="86"/>
        <v>-896.89821824000137</v>
      </c>
      <c r="W576" s="22">
        <f t="shared" si="82"/>
        <v>0</v>
      </c>
      <c r="X576" s="28" t="str">
        <f>TEXT(B576,"MMM-YYYY")</f>
        <v>Dec-2023</v>
      </c>
      <c r="Y576" s="7" t="str">
        <f t="shared" si="87"/>
        <v>Q4-2023</v>
      </c>
      <c r="Z576" s="7" t="str">
        <f t="shared" si="88"/>
        <v>High Price</v>
      </c>
      <c r="AA576" s="7" t="str">
        <f t="shared" si="89"/>
        <v>Q4</v>
      </c>
      <c r="AB576" s="28" t="str">
        <f t="shared" si="90"/>
        <v>Dec</v>
      </c>
      <c r="AC576" s="28" t="str">
        <f t="shared" si="91"/>
        <v>2023</v>
      </c>
    </row>
    <row r="577" spans="1:29" x14ac:dyDescent="0.25">
      <c r="A577" s="4" t="s">
        <v>589</v>
      </c>
      <c r="B577" s="14">
        <v>45042</v>
      </c>
      <c r="C577" s="14">
        <v>45042</v>
      </c>
      <c r="D577" s="16">
        <f t="shared" si="83"/>
        <v>0</v>
      </c>
      <c r="E577" s="4" t="s">
        <v>649</v>
      </c>
      <c r="F577" s="4" t="s">
        <v>657</v>
      </c>
      <c r="G577" s="4" t="s">
        <v>673</v>
      </c>
      <c r="H577" s="4" t="s">
        <v>704</v>
      </c>
      <c r="I577" s="4" t="s">
        <v>711</v>
      </c>
      <c r="J577" s="4" t="s">
        <v>724</v>
      </c>
      <c r="K577" s="4" t="s">
        <v>727</v>
      </c>
      <c r="L577" s="4" t="s">
        <v>1307</v>
      </c>
      <c r="M577" s="9">
        <v>5</v>
      </c>
      <c r="N577" s="16">
        <f>ROUND(IF('Dashboard Visualization'!$U$3="",'Working Data'!$M577,'Working Data'!$M577*(100% +'Dashboard Visualization'!$U$3)),0)</f>
        <v>5</v>
      </c>
      <c r="O577" s="19">
        <v>81.489999999999995</v>
      </c>
      <c r="P577" s="20">
        <f>IF('Dashboard Visualization'!$U$2="",'Working Data'!$O577*'Working Data'!$N577,'Working Data'!$O577*'Working Data'!$N577*(100%+'Dashboard Visualization'!$U$2))</f>
        <v>407.45</v>
      </c>
      <c r="Q577" s="19">
        <v>113.08</v>
      </c>
      <c r="R577" s="20">
        <f t="shared" si="84"/>
        <v>99.397319999999993</v>
      </c>
      <c r="S577" s="11">
        <v>0.121</v>
      </c>
      <c r="T577" s="22">
        <f>IF('Dashboard Visualization'!$U$1="",$S577,IF(S577&gt;'Dashboard Visualization'!$U$1,'Dashboard Visualization'!$U$1,S577))</f>
        <v>0.121</v>
      </c>
      <c r="U577" s="20">
        <f t="shared" si="85"/>
        <v>436.85122139999999</v>
      </c>
      <c r="V577" s="20">
        <f t="shared" si="86"/>
        <v>29.401221399999997</v>
      </c>
      <c r="W577" s="22">
        <f t="shared" si="82"/>
        <v>6.7302596306761747E-2</v>
      </c>
      <c r="X577" s="28" t="str">
        <f>TEXT(B577,"MMM-YYYY")</f>
        <v>Apr-2023</v>
      </c>
      <c r="Y577" s="7" t="str">
        <f t="shared" si="87"/>
        <v>Q2-2023</v>
      </c>
      <c r="Z577" s="7" t="str">
        <f t="shared" si="88"/>
        <v>Low Price</v>
      </c>
      <c r="AA577" s="7" t="str">
        <f t="shared" si="89"/>
        <v>Q2</v>
      </c>
      <c r="AB577" s="28" t="str">
        <f t="shared" si="90"/>
        <v>Apr</v>
      </c>
      <c r="AC577" s="28" t="str">
        <f t="shared" si="91"/>
        <v>2023</v>
      </c>
    </row>
    <row r="578" spans="1:29" x14ac:dyDescent="0.25">
      <c r="A578" s="4" t="s">
        <v>590</v>
      </c>
      <c r="B578" s="14">
        <v>45872</v>
      </c>
      <c r="C578" s="14">
        <v>45885</v>
      </c>
      <c r="D578" s="16">
        <f t="shared" si="83"/>
        <v>13</v>
      </c>
      <c r="E578" s="4" t="s">
        <v>648</v>
      </c>
      <c r="F578" s="4" t="s">
        <v>653</v>
      </c>
      <c r="G578" s="4" t="s">
        <v>681</v>
      </c>
      <c r="H578" s="4" t="s">
        <v>706</v>
      </c>
      <c r="I578" s="4" t="s">
        <v>710</v>
      </c>
      <c r="J578" s="4" t="s">
        <v>719</v>
      </c>
      <c r="K578" s="4" t="s">
        <v>729</v>
      </c>
      <c r="L578" s="4" t="s">
        <v>1308</v>
      </c>
      <c r="M578" s="9">
        <v>15</v>
      </c>
      <c r="N578" s="16">
        <f>ROUND(IF('Dashboard Visualization'!$U$3="",'Working Data'!$M578,'Working Data'!$M578*(100% +'Dashboard Visualization'!$U$3)),0)</f>
        <v>15</v>
      </c>
      <c r="O578" s="19">
        <v>698.66</v>
      </c>
      <c r="P578" s="20">
        <f>IF('Dashboard Visualization'!$U$2="",'Working Data'!$O578*'Working Data'!$N578,'Working Data'!$O578*'Working Data'!$N578*(100%+'Dashboard Visualization'!$U$2))</f>
        <v>10479.9</v>
      </c>
      <c r="Q578" s="19">
        <v>868.62</v>
      </c>
      <c r="R578" s="20">
        <f t="shared" si="84"/>
        <v>806.07936000000007</v>
      </c>
      <c r="S578" s="11">
        <v>7.1999999999999995E-2</v>
      </c>
      <c r="T578" s="22">
        <f>IF('Dashboard Visualization'!$U$1="",$S578,IF(S578&gt;'Dashboard Visualization'!$U$1,'Dashboard Visualization'!$U$1,S578))</f>
        <v>7.1999999999999995E-2</v>
      </c>
      <c r="U578" s="20">
        <f t="shared" si="85"/>
        <v>11220.624691200001</v>
      </c>
      <c r="V578" s="20">
        <f t="shared" si="86"/>
        <v>740.72469120000096</v>
      </c>
      <c r="W578" s="22">
        <f t="shared" ref="W578:W633" si="92">IFERROR(IF(V578&lt;=0,0,V578/U578),0)</f>
        <v>6.6014567957248332E-2</v>
      </c>
      <c r="X578" s="28" t="str">
        <f>TEXT(B578,"MMM-YYYY")</f>
        <v>Aug-2025</v>
      </c>
      <c r="Y578" s="7" t="str">
        <f t="shared" si="87"/>
        <v>Q3-2025</v>
      </c>
      <c r="Z578" s="7" t="str">
        <f t="shared" si="88"/>
        <v>High Price</v>
      </c>
      <c r="AA578" s="7" t="str">
        <f t="shared" si="89"/>
        <v>Q3</v>
      </c>
      <c r="AB578" s="28" t="str">
        <f t="shared" si="90"/>
        <v>Aug</v>
      </c>
      <c r="AC578" s="28" t="str">
        <f t="shared" si="91"/>
        <v>2025</v>
      </c>
    </row>
    <row r="579" spans="1:29" x14ac:dyDescent="0.25">
      <c r="A579" s="4" t="s">
        <v>591</v>
      </c>
      <c r="B579" s="14">
        <v>45140</v>
      </c>
      <c r="C579" s="14">
        <v>45157</v>
      </c>
      <c r="D579" s="16">
        <f t="shared" ref="D579:D633" si="93">IFERROR(DATEDIF(B579,C579,"D"),"")</f>
        <v>17</v>
      </c>
      <c r="E579" s="4" t="s">
        <v>648</v>
      </c>
      <c r="F579" s="4" t="s">
        <v>653</v>
      </c>
      <c r="G579" s="4" t="s">
        <v>688</v>
      </c>
      <c r="H579" s="4" t="s">
        <v>701</v>
      </c>
      <c r="I579" s="4" t="s">
        <v>708</v>
      </c>
      <c r="J579" s="4" t="s">
        <v>721</v>
      </c>
      <c r="K579" s="4" t="s">
        <v>729</v>
      </c>
      <c r="L579" s="4" t="s">
        <v>1309</v>
      </c>
      <c r="M579" s="9">
        <v>43</v>
      </c>
      <c r="N579" s="16">
        <f>ROUND(IF('Dashboard Visualization'!$U$3="",'Working Data'!$M579,'Working Data'!$M579*(100% +'Dashboard Visualization'!$U$3)),0)</f>
        <v>43</v>
      </c>
      <c r="O579" s="19">
        <v>175.38</v>
      </c>
      <c r="P579" s="20">
        <f>IF('Dashboard Visualization'!$U$2="",'Working Data'!$O579*'Working Data'!$N579,'Working Data'!$O579*'Working Data'!$N579*(100%+'Dashboard Visualization'!$U$2))</f>
        <v>7541.34</v>
      </c>
      <c r="Q579" s="19">
        <v>347.9</v>
      </c>
      <c r="R579" s="20">
        <f t="shared" ref="R579:R633" si="94">(1-T579)*Q579</f>
        <v>322.85120000000001</v>
      </c>
      <c r="S579" s="11">
        <v>7.1999999999999995E-2</v>
      </c>
      <c r="T579" s="22">
        <f>IF('Dashboard Visualization'!$U$1="",$S579,IF(S579&gt;'Dashboard Visualization'!$U$1,'Dashboard Visualization'!$U$1,S579))</f>
        <v>7.1999999999999995E-2</v>
      </c>
      <c r="U579" s="20">
        <f t="shared" ref="U579:U633" si="95">IFERROR(R579*(1-T579)*N579,"-")</f>
        <v>12883.0542848</v>
      </c>
      <c r="V579" s="20">
        <f t="shared" ref="V579:V633" si="96">IFERROR(U579-P579,"-")</f>
        <v>5341.7142848000003</v>
      </c>
      <c r="W579" s="22">
        <f t="shared" si="92"/>
        <v>0.41463104685527813</v>
      </c>
      <c r="X579" s="28" t="str">
        <f>TEXT(B579,"MMM-YYYY")</f>
        <v>Aug-2023</v>
      </c>
      <c r="Y579" s="7" t="str">
        <f t="shared" ref="Y579:Y633" si="97">"Q" &amp; ROUNDUP(MONTH(X579)/3,0) &amp; "-" &amp; TEXT(X579,"YYYY")</f>
        <v>Q3-2023</v>
      </c>
      <c r="Z579" s="7" t="str">
        <f t="shared" ref="Z579:Z633" si="98">IF(R579&lt;QUARTILE(R:R,1), "Low Price", IF(R579&lt;QUARTILE(R:R,3), "High Price", "Medium Price"))</f>
        <v>Low Price</v>
      </c>
      <c r="AA579" s="7" t="str">
        <f t="shared" ref="AA579:AA633" si="99">"Q"&amp;ROUNDUP(MONTH(X579)/3,0)</f>
        <v>Q3</v>
      </c>
      <c r="AB579" s="28" t="str">
        <f t="shared" ref="AB579:AB633" si="100">TEXT(X579,"MMM")</f>
        <v>Aug</v>
      </c>
      <c r="AC579" s="28" t="str">
        <f t="shared" ref="AC579:AC633" si="101">TEXT(X579,"YYYY")</f>
        <v>2023</v>
      </c>
    </row>
    <row r="580" spans="1:29" x14ac:dyDescent="0.25">
      <c r="A580" s="4" t="s">
        <v>592</v>
      </c>
      <c r="B580" s="14">
        <v>45092</v>
      </c>
      <c r="C580" s="14">
        <v>45119</v>
      </c>
      <c r="D580" s="16">
        <f t="shared" si="93"/>
        <v>27</v>
      </c>
      <c r="E580" s="4" t="s">
        <v>649</v>
      </c>
      <c r="F580" s="4" t="s">
        <v>658</v>
      </c>
      <c r="G580" s="4" t="s">
        <v>693</v>
      </c>
      <c r="H580" s="4" t="s">
        <v>704</v>
      </c>
      <c r="I580" s="4" t="s">
        <v>711</v>
      </c>
      <c r="J580" s="4" t="s">
        <v>714</v>
      </c>
      <c r="K580" s="4" t="s">
        <v>733</v>
      </c>
      <c r="L580" s="4" t="s">
        <v>1310</v>
      </c>
      <c r="M580" s="9">
        <v>7</v>
      </c>
      <c r="N580" s="16">
        <f>ROUND(IF('Dashboard Visualization'!$U$3="",'Working Data'!$M580,'Working Data'!$M580*(100% +'Dashboard Visualization'!$U$3)),0)</f>
        <v>7</v>
      </c>
      <c r="O580" s="19">
        <v>751.28</v>
      </c>
      <c r="P580" s="20">
        <f>IF('Dashboard Visualization'!$U$2="",'Working Data'!$O580*'Working Data'!$N580,'Working Data'!$O580*'Working Data'!$N580*(100%+'Dashboard Visualization'!$U$2))</f>
        <v>5258.96</v>
      </c>
      <c r="Q580" s="19">
        <v>1111.8800000000001</v>
      </c>
      <c r="R580" s="20">
        <f t="shared" si="94"/>
        <v>961.77620000000013</v>
      </c>
      <c r="S580" s="11">
        <v>0.13500000000000001</v>
      </c>
      <c r="T580" s="22">
        <f>IF('Dashboard Visualization'!$U$1="",$S580,IF(S580&gt;'Dashboard Visualization'!$U$1,'Dashboard Visualization'!$U$1,S580))</f>
        <v>0.13500000000000001</v>
      </c>
      <c r="U580" s="20">
        <f t="shared" si="95"/>
        <v>5823.5548910000007</v>
      </c>
      <c r="V580" s="20">
        <f t="shared" si="96"/>
        <v>564.59489100000064</v>
      </c>
      <c r="W580" s="22">
        <f t="shared" si="92"/>
        <v>9.6950213669755647E-2</v>
      </c>
      <c r="X580" s="28" t="str">
        <f>TEXT(B580,"MMM-YYYY")</f>
        <v>Jun-2023</v>
      </c>
      <c r="Y580" s="7" t="str">
        <f t="shared" si="97"/>
        <v>Q2-2023</v>
      </c>
      <c r="Z580" s="7" t="str">
        <f t="shared" si="98"/>
        <v>High Price</v>
      </c>
      <c r="AA580" s="7" t="str">
        <f t="shared" si="99"/>
        <v>Q2</v>
      </c>
      <c r="AB580" s="28" t="str">
        <f t="shared" si="100"/>
        <v>Jun</v>
      </c>
      <c r="AC580" s="28" t="str">
        <f t="shared" si="101"/>
        <v>2023</v>
      </c>
    </row>
    <row r="581" spans="1:29" x14ac:dyDescent="0.25">
      <c r="A581" s="4" t="s">
        <v>593</v>
      </c>
      <c r="B581" s="14">
        <v>45607</v>
      </c>
      <c r="C581" s="14">
        <v>45620</v>
      </c>
      <c r="D581" s="16">
        <f t="shared" si="93"/>
        <v>13</v>
      </c>
      <c r="E581" s="4" t="s">
        <v>649</v>
      </c>
      <c r="F581" s="4" t="s">
        <v>658</v>
      </c>
      <c r="G581" s="4" t="s">
        <v>683</v>
      </c>
      <c r="H581" s="4" t="s">
        <v>701</v>
      </c>
      <c r="I581" s="4" t="s">
        <v>707</v>
      </c>
      <c r="J581" s="4" t="s">
        <v>718</v>
      </c>
      <c r="K581" s="4" t="s">
        <v>729</v>
      </c>
      <c r="L581" s="4" t="s">
        <v>1311</v>
      </c>
      <c r="M581" s="9">
        <v>14</v>
      </c>
      <c r="N581" s="16">
        <f>ROUND(IF('Dashboard Visualization'!$U$3="",'Working Data'!$M581,'Working Data'!$M581*(100% +'Dashboard Visualization'!$U$3)),0)</f>
        <v>14</v>
      </c>
      <c r="O581" s="19">
        <v>164.53</v>
      </c>
      <c r="P581" s="20">
        <f>IF('Dashboard Visualization'!$U$2="",'Working Data'!$O581*'Working Data'!$N581,'Working Data'!$O581*'Working Data'!$N581*(100%+'Dashboard Visualization'!$U$2))</f>
        <v>2303.42</v>
      </c>
      <c r="Q581" s="19">
        <v>327.72</v>
      </c>
      <c r="R581" s="20">
        <f t="shared" si="94"/>
        <v>305.76276000000001</v>
      </c>
      <c r="S581" s="11">
        <v>6.7000000000000004E-2</v>
      </c>
      <c r="T581" s="22">
        <f>IF('Dashboard Visualization'!$U$1="",$S581,IF(S581&gt;'Dashboard Visualization'!$U$1,'Dashboard Visualization'!$U$1,S581))</f>
        <v>6.7000000000000004E-2</v>
      </c>
      <c r="U581" s="20">
        <f t="shared" si="95"/>
        <v>3993.8731711200003</v>
      </c>
      <c r="V581" s="20">
        <f t="shared" si="96"/>
        <v>1690.4531711200002</v>
      </c>
      <c r="W581" s="22">
        <f t="shared" si="92"/>
        <v>0.42326160563730347</v>
      </c>
      <c r="X581" s="28" t="str">
        <f>TEXT(B581,"MMM-YYYY")</f>
        <v>Nov-2024</v>
      </c>
      <c r="Y581" s="7" t="str">
        <f t="shared" si="97"/>
        <v>Q4-2024</v>
      </c>
      <c r="Z581" s="7" t="str">
        <f t="shared" si="98"/>
        <v>Low Price</v>
      </c>
      <c r="AA581" s="7" t="str">
        <f t="shared" si="99"/>
        <v>Q4</v>
      </c>
      <c r="AB581" s="28" t="str">
        <f t="shared" si="100"/>
        <v>Nov</v>
      </c>
      <c r="AC581" s="28" t="str">
        <f t="shared" si="101"/>
        <v>2024</v>
      </c>
    </row>
    <row r="582" spans="1:29" x14ac:dyDescent="0.25">
      <c r="A582" s="4" t="s">
        <v>594</v>
      </c>
      <c r="B582" s="14">
        <v>45849</v>
      </c>
      <c r="C582" s="14">
        <v>45872</v>
      </c>
      <c r="D582" s="16">
        <f t="shared" si="93"/>
        <v>23</v>
      </c>
      <c r="E582" s="4" t="s">
        <v>646</v>
      </c>
      <c r="F582" s="4" t="s">
        <v>650</v>
      </c>
      <c r="G582" s="4" t="s">
        <v>678</v>
      </c>
      <c r="H582" s="4" t="s">
        <v>705</v>
      </c>
      <c r="I582" s="4" t="s">
        <v>707</v>
      </c>
      <c r="J582" s="4" t="s">
        <v>712</v>
      </c>
      <c r="K582" s="4" t="s">
        <v>730</v>
      </c>
      <c r="L582" s="4" t="s">
        <v>1312</v>
      </c>
      <c r="M582" s="9">
        <v>17</v>
      </c>
      <c r="N582" s="16">
        <f>ROUND(IF('Dashboard Visualization'!$U$3="",'Working Data'!$M582,'Working Data'!$M582*(100% +'Dashboard Visualization'!$U$3)),0)</f>
        <v>17</v>
      </c>
      <c r="O582" s="19">
        <v>389.93</v>
      </c>
      <c r="P582" s="20">
        <f>IF('Dashboard Visualization'!$U$2="",'Working Data'!$O582*'Working Data'!$N582,'Working Data'!$O582*'Working Data'!$N582*(100%+'Dashboard Visualization'!$U$2))</f>
        <v>6628.81</v>
      </c>
      <c r="Q582" s="19">
        <v>486.13</v>
      </c>
      <c r="R582" s="20">
        <f t="shared" si="94"/>
        <v>421.96084000000002</v>
      </c>
      <c r="S582" s="11">
        <v>0.13200000000000001</v>
      </c>
      <c r="T582" s="22">
        <f>IF('Dashboard Visualization'!$U$1="",$S582,IF(S582&gt;'Dashboard Visualization'!$U$1,'Dashboard Visualization'!$U$1,S582))</f>
        <v>0.13200000000000001</v>
      </c>
      <c r="U582" s="20">
        <f t="shared" si="95"/>
        <v>6226.4541550399999</v>
      </c>
      <c r="V582" s="20">
        <f t="shared" si="96"/>
        <v>-402.35584496000047</v>
      </c>
      <c r="W582" s="22">
        <f t="shared" si="92"/>
        <v>0</v>
      </c>
      <c r="X582" s="28" t="str">
        <f>TEXT(B582,"MMM-YYYY")</f>
        <v>Jul-2025</v>
      </c>
      <c r="Y582" s="7" t="str">
        <f t="shared" si="97"/>
        <v>Q3-2025</v>
      </c>
      <c r="Z582" s="7" t="str">
        <f t="shared" si="98"/>
        <v>Low Price</v>
      </c>
      <c r="AA582" s="7" t="str">
        <f t="shared" si="99"/>
        <v>Q3</v>
      </c>
      <c r="AB582" s="28" t="str">
        <f t="shared" si="100"/>
        <v>Jul</v>
      </c>
      <c r="AC582" s="28" t="str">
        <f t="shared" si="101"/>
        <v>2025</v>
      </c>
    </row>
    <row r="583" spans="1:29" x14ac:dyDescent="0.25">
      <c r="A583" s="4" t="s">
        <v>595</v>
      </c>
      <c r="B583" s="14">
        <v>45080</v>
      </c>
      <c r="C583" s="14">
        <v>45108</v>
      </c>
      <c r="D583" s="16">
        <f t="shared" si="93"/>
        <v>28</v>
      </c>
      <c r="E583" s="4" t="s">
        <v>648</v>
      </c>
      <c r="F583" s="4" t="s">
        <v>655</v>
      </c>
      <c r="G583" s="4" t="s">
        <v>672</v>
      </c>
      <c r="H583" s="4" t="s">
        <v>705</v>
      </c>
      <c r="I583" s="4" t="s">
        <v>709</v>
      </c>
      <c r="J583" s="4" t="s">
        <v>720</v>
      </c>
      <c r="K583" s="4" t="s">
        <v>727</v>
      </c>
      <c r="L583" s="4" t="s">
        <v>1313</v>
      </c>
      <c r="M583" s="9">
        <v>3</v>
      </c>
      <c r="N583" s="16">
        <f>ROUND(IF('Dashboard Visualization'!$U$3="",'Working Data'!$M583,'Working Data'!$M583*(100% +'Dashboard Visualization'!$U$3)),0)</f>
        <v>3</v>
      </c>
      <c r="O583" s="19">
        <v>860.4</v>
      </c>
      <c r="P583" s="20">
        <f>IF('Dashboard Visualization'!$U$2="",'Working Data'!$O583*'Working Data'!$N583,'Working Data'!$O583*'Working Data'!$N583*(100%+'Dashboard Visualization'!$U$2))</f>
        <v>2581.1999999999998</v>
      </c>
      <c r="Q583" s="19">
        <v>2066.6</v>
      </c>
      <c r="R583" s="20">
        <f t="shared" si="94"/>
        <v>2045.934</v>
      </c>
      <c r="S583" s="11">
        <v>0.01</v>
      </c>
      <c r="T583" s="22">
        <f>IF('Dashboard Visualization'!$U$1="",$S583,IF(S583&gt;'Dashboard Visualization'!$U$1,'Dashboard Visualization'!$U$1,S583))</f>
        <v>0.01</v>
      </c>
      <c r="U583" s="20">
        <f t="shared" si="95"/>
        <v>6076.4239799999996</v>
      </c>
      <c r="V583" s="20">
        <f t="shared" si="96"/>
        <v>3495.2239799999998</v>
      </c>
      <c r="W583" s="22">
        <f t="shared" si="92"/>
        <v>0.57521068172731427</v>
      </c>
      <c r="X583" s="28" t="str">
        <f>TEXT(B583,"MMM-YYYY")</f>
        <v>Jun-2023</v>
      </c>
      <c r="Y583" s="7" t="str">
        <f t="shared" si="97"/>
        <v>Q2-2023</v>
      </c>
      <c r="Z583" s="7" t="str">
        <f t="shared" si="98"/>
        <v>Medium Price</v>
      </c>
      <c r="AA583" s="7" t="str">
        <f t="shared" si="99"/>
        <v>Q2</v>
      </c>
      <c r="AB583" s="28" t="str">
        <f t="shared" si="100"/>
        <v>Jun</v>
      </c>
      <c r="AC583" s="28" t="str">
        <f t="shared" si="101"/>
        <v>2023</v>
      </c>
    </row>
    <row r="584" spans="1:29" x14ac:dyDescent="0.25">
      <c r="A584" s="4" t="s">
        <v>596</v>
      </c>
      <c r="B584" s="14">
        <v>44955</v>
      </c>
      <c r="C584" s="14">
        <v>44963</v>
      </c>
      <c r="D584" s="16">
        <f t="shared" si="93"/>
        <v>8</v>
      </c>
      <c r="E584" s="4" t="s">
        <v>648</v>
      </c>
      <c r="F584" s="4" t="s">
        <v>655</v>
      </c>
      <c r="G584" s="4" t="s">
        <v>672</v>
      </c>
      <c r="H584" s="4" t="s">
        <v>701</v>
      </c>
      <c r="I584" s="4" t="s">
        <v>709</v>
      </c>
      <c r="J584" s="4" t="s">
        <v>726</v>
      </c>
      <c r="K584" s="4" t="s">
        <v>732</v>
      </c>
      <c r="L584" s="4" t="s">
        <v>1314</v>
      </c>
      <c r="M584" s="9">
        <v>27</v>
      </c>
      <c r="N584" s="16">
        <f>ROUND(IF('Dashboard Visualization'!$U$3="",'Working Data'!$M584,'Working Data'!$M584*(100% +'Dashboard Visualization'!$U$3)),0)</f>
        <v>27</v>
      </c>
      <c r="O584" s="19">
        <v>41.84</v>
      </c>
      <c r="P584" s="20">
        <f>IF('Dashboard Visualization'!$U$2="",'Working Data'!$O584*'Working Data'!$N584,'Working Data'!$O584*'Working Data'!$N584*(100%+'Dashboard Visualization'!$U$2))</f>
        <v>1129.68</v>
      </c>
      <c r="Q584" s="19">
        <v>86.2</v>
      </c>
      <c r="R584" s="20">
        <f t="shared" si="94"/>
        <v>66.718800000000002</v>
      </c>
      <c r="S584" s="11">
        <v>0.22600000000000001</v>
      </c>
      <c r="T584" s="22">
        <f>IF('Dashboard Visualization'!$U$1="",$S584,IF(S584&gt;'Dashboard Visualization'!$U$1,'Dashboard Visualization'!$U$1,S584))</f>
        <v>0.22600000000000001</v>
      </c>
      <c r="U584" s="20">
        <f t="shared" si="95"/>
        <v>1394.2894824000002</v>
      </c>
      <c r="V584" s="20">
        <f t="shared" si="96"/>
        <v>264.60948240000016</v>
      </c>
      <c r="W584" s="22">
        <f t="shared" si="92"/>
        <v>0.18978087817497269</v>
      </c>
      <c r="X584" s="28" t="str">
        <f>TEXT(B584,"MMM-YYYY")</f>
        <v>Jan-2023</v>
      </c>
      <c r="Y584" s="7" t="str">
        <f t="shared" si="97"/>
        <v>Q1-2023</v>
      </c>
      <c r="Z584" s="7" t="str">
        <f t="shared" si="98"/>
        <v>Low Price</v>
      </c>
      <c r="AA584" s="7" t="str">
        <f t="shared" si="99"/>
        <v>Q1</v>
      </c>
      <c r="AB584" s="28" t="str">
        <f t="shared" si="100"/>
        <v>Jan</v>
      </c>
      <c r="AC584" s="28" t="str">
        <f t="shared" si="101"/>
        <v>2023</v>
      </c>
    </row>
    <row r="585" spans="1:29" x14ac:dyDescent="0.25">
      <c r="A585" s="4" t="s">
        <v>597</v>
      </c>
      <c r="B585" s="14">
        <v>45541</v>
      </c>
      <c r="C585" s="14">
        <v>45539</v>
      </c>
      <c r="D585" s="16" t="str">
        <f t="shared" si="93"/>
        <v/>
      </c>
      <c r="E585" s="4" t="s">
        <v>647</v>
      </c>
      <c r="F585" s="4" t="s">
        <v>652</v>
      </c>
      <c r="G585" s="4" t="s">
        <v>666</v>
      </c>
      <c r="H585" s="4" t="s">
        <v>701</v>
      </c>
      <c r="I585" s="4" t="s">
        <v>711</v>
      </c>
      <c r="J585" s="4" t="s">
        <v>720</v>
      </c>
      <c r="K585" s="4" t="s">
        <v>731</v>
      </c>
      <c r="L585" s="4" t="s">
        <v>1315</v>
      </c>
      <c r="M585" s="9">
        <v>21</v>
      </c>
      <c r="N585" s="16">
        <f>ROUND(IF('Dashboard Visualization'!$U$3="",'Working Data'!$M585,'Working Data'!$M585*(100% +'Dashboard Visualization'!$U$3)),0)</f>
        <v>21</v>
      </c>
      <c r="O585" s="19">
        <v>1368.17</v>
      </c>
      <c r="P585" s="20">
        <f>IF('Dashboard Visualization'!$U$2="",'Working Data'!$O585*'Working Data'!$N585,'Working Data'!$O585*'Working Data'!$N585*(100%+'Dashboard Visualization'!$U$2))</f>
        <v>28731.57</v>
      </c>
      <c r="Q585" s="19">
        <v>2307.75</v>
      </c>
      <c r="R585" s="20">
        <f t="shared" si="94"/>
        <v>1931.5867499999999</v>
      </c>
      <c r="S585" s="11">
        <v>0.16300000000000001</v>
      </c>
      <c r="T585" s="22">
        <f>IF('Dashboard Visualization'!$U$1="",$S585,IF(S585&gt;'Dashboard Visualization'!$U$1,'Dashboard Visualization'!$U$1,S585))</f>
        <v>0.16300000000000001</v>
      </c>
      <c r="U585" s="20">
        <f t="shared" si="95"/>
        <v>33951.500304749999</v>
      </c>
      <c r="V585" s="20">
        <f t="shared" si="96"/>
        <v>5219.9303047499998</v>
      </c>
      <c r="W585" s="22">
        <f t="shared" si="92"/>
        <v>0.15374667563717953</v>
      </c>
      <c r="X585" s="28" t="str">
        <f>TEXT(B585,"MMM-YYYY")</f>
        <v>Sep-2024</v>
      </c>
      <c r="Y585" s="7" t="str">
        <f t="shared" si="97"/>
        <v>Q3-2024</v>
      </c>
      <c r="Z585" s="7" t="str">
        <f t="shared" si="98"/>
        <v>Medium Price</v>
      </c>
      <c r="AA585" s="7" t="str">
        <f t="shared" si="99"/>
        <v>Q3</v>
      </c>
      <c r="AB585" s="28" t="str">
        <f t="shared" si="100"/>
        <v>Sep</v>
      </c>
      <c r="AC585" s="28" t="str">
        <f t="shared" si="101"/>
        <v>2024</v>
      </c>
    </row>
    <row r="586" spans="1:29" x14ac:dyDescent="0.25">
      <c r="A586" s="4" t="s">
        <v>598</v>
      </c>
      <c r="B586" s="14">
        <v>45507</v>
      </c>
      <c r="C586" s="14">
        <v>45513</v>
      </c>
      <c r="D586" s="16">
        <f t="shared" si="93"/>
        <v>6</v>
      </c>
      <c r="E586" s="4" t="s">
        <v>646</v>
      </c>
      <c r="F586" s="4" t="s">
        <v>650</v>
      </c>
      <c r="G586" s="4" t="s">
        <v>675</v>
      </c>
      <c r="H586" s="4" t="s">
        <v>704</v>
      </c>
      <c r="I586" s="4" t="s">
        <v>709</v>
      </c>
      <c r="J586" s="4" t="s">
        <v>722</v>
      </c>
      <c r="K586" s="4" t="s">
        <v>731</v>
      </c>
      <c r="L586" s="4" t="s">
        <v>1316</v>
      </c>
      <c r="M586" s="9">
        <v>4</v>
      </c>
      <c r="N586" s="16">
        <f>ROUND(IF('Dashboard Visualization'!$U$3="",'Working Data'!$M586,'Working Data'!$M586*(100% +'Dashboard Visualization'!$U$3)),0)</f>
        <v>4</v>
      </c>
      <c r="O586" s="19">
        <v>643.21</v>
      </c>
      <c r="P586" s="20">
        <f>IF('Dashboard Visualization'!$U$2="",'Working Data'!$O586*'Working Data'!$N586,'Working Data'!$O586*'Working Data'!$N586*(100%+'Dashboard Visualization'!$U$2))</f>
        <v>2572.84</v>
      </c>
      <c r="Q586" s="19">
        <v>1112.81</v>
      </c>
      <c r="R586" s="20">
        <f t="shared" si="94"/>
        <v>955.90378999999996</v>
      </c>
      <c r="S586" s="11">
        <v>0.14099999999999999</v>
      </c>
      <c r="T586" s="22">
        <f>IF('Dashboard Visualization'!$U$1="",$S586,IF(S586&gt;'Dashboard Visualization'!$U$1,'Dashboard Visualization'!$U$1,S586))</f>
        <v>0.14099999999999999</v>
      </c>
      <c r="U586" s="20">
        <f t="shared" si="95"/>
        <v>3284.4854224399996</v>
      </c>
      <c r="V586" s="20">
        <f t="shared" si="96"/>
        <v>711.64542243999949</v>
      </c>
      <c r="W586" s="22">
        <f t="shared" si="92"/>
        <v>0.21666877178931968</v>
      </c>
      <c r="X586" s="28" t="str">
        <f>TEXT(B586,"MMM-YYYY")</f>
        <v>Aug-2024</v>
      </c>
      <c r="Y586" s="7" t="str">
        <f t="shared" si="97"/>
        <v>Q3-2024</v>
      </c>
      <c r="Z586" s="7" t="str">
        <f t="shared" si="98"/>
        <v>High Price</v>
      </c>
      <c r="AA586" s="7" t="str">
        <f t="shared" si="99"/>
        <v>Q3</v>
      </c>
      <c r="AB586" s="28" t="str">
        <f t="shared" si="100"/>
        <v>Aug</v>
      </c>
      <c r="AC586" s="28" t="str">
        <f t="shared" si="101"/>
        <v>2024</v>
      </c>
    </row>
    <row r="587" spans="1:29" x14ac:dyDescent="0.25">
      <c r="A587" s="4" t="s">
        <v>599</v>
      </c>
      <c r="B587" s="14">
        <v>45764</v>
      </c>
      <c r="C587" s="14">
        <v>45764</v>
      </c>
      <c r="D587" s="16">
        <f t="shared" si="93"/>
        <v>0</v>
      </c>
      <c r="E587" s="4" t="s">
        <v>648</v>
      </c>
      <c r="F587" s="4" t="s">
        <v>655</v>
      </c>
      <c r="G587" s="4" t="s">
        <v>670</v>
      </c>
      <c r="H587" s="4" t="s">
        <v>701</v>
      </c>
      <c r="I587" s="4" t="s">
        <v>710</v>
      </c>
      <c r="J587" s="4" t="s">
        <v>716</v>
      </c>
      <c r="K587" s="4" t="s">
        <v>730</v>
      </c>
      <c r="L587" s="4" t="s">
        <v>1317</v>
      </c>
      <c r="M587" s="9">
        <v>21</v>
      </c>
      <c r="N587" s="16">
        <f>ROUND(IF('Dashboard Visualization'!$U$3="",'Working Data'!$M587,'Working Data'!$M587*(100% +'Dashboard Visualization'!$U$3)),0)</f>
        <v>21</v>
      </c>
      <c r="O587" s="19">
        <v>719.41</v>
      </c>
      <c r="P587" s="20">
        <f>IF('Dashboard Visualization'!$U$2="",'Working Data'!$O587*'Working Data'!$N587,'Working Data'!$O587*'Working Data'!$N587*(100%+'Dashboard Visualization'!$U$2))</f>
        <v>15107.609999999999</v>
      </c>
      <c r="Q587" s="19">
        <v>1125.99</v>
      </c>
      <c r="R587" s="20">
        <f t="shared" si="94"/>
        <v>1079.8244099999999</v>
      </c>
      <c r="S587" s="11">
        <v>4.1000000000000002E-2</v>
      </c>
      <c r="T587" s="22">
        <f>IF('Dashboard Visualization'!$U$1="",$S587,IF(S587&gt;'Dashboard Visualization'!$U$1,'Dashboard Visualization'!$U$1,S587))</f>
        <v>4.1000000000000002E-2</v>
      </c>
      <c r="U587" s="20">
        <f t="shared" si="95"/>
        <v>21746.583792989997</v>
      </c>
      <c r="V587" s="20">
        <f t="shared" si="96"/>
        <v>6638.9737929899984</v>
      </c>
      <c r="W587" s="22">
        <f t="shared" si="92"/>
        <v>0.30528812507691755</v>
      </c>
      <c r="X587" s="28" t="str">
        <f>TEXT(B587,"MMM-YYYY")</f>
        <v>Apr-2025</v>
      </c>
      <c r="Y587" s="7" t="str">
        <f t="shared" si="97"/>
        <v>Q2-2025</v>
      </c>
      <c r="Z587" s="7" t="str">
        <f t="shared" si="98"/>
        <v>High Price</v>
      </c>
      <c r="AA587" s="7" t="str">
        <f t="shared" si="99"/>
        <v>Q2</v>
      </c>
      <c r="AB587" s="28" t="str">
        <f t="shared" si="100"/>
        <v>Apr</v>
      </c>
      <c r="AC587" s="28" t="str">
        <f t="shared" si="101"/>
        <v>2025</v>
      </c>
    </row>
    <row r="588" spans="1:29" x14ac:dyDescent="0.25">
      <c r="A588" s="4" t="s">
        <v>600</v>
      </c>
      <c r="B588" s="14">
        <v>45049</v>
      </c>
      <c r="C588" s="14">
        <v>45062</v>
      </c>
      <c r="D588" s="16">
        <f t="shared" si="93"/>
        <v>13</v>
      </c>
      <c r="E588" s="4" t="s">
        <v>648</v>
      </c>
      <c r="F588" s="4" t="s">
        <v>660</v>
      </c>
      <c r="G588" s="4" t="s">
        <v>700</v>
      </c>
      <c r="H588" s="4" t="s">
        <v>701</v>
      </c>
      <c r="I588" s="4" t="s">
        <v>709</v>
      </c>
      <c r="J588" s="4" t="s">
        <v>716</v>
      </c>
      <c r="K588" s="4" t="s">
        <v>730</v>
      </c>
      <c r="L588" s="4" t="s">
        <v>1318</v>
      </c>
      <c r="M588" s="9">
        <v>3</v>
      </c>
      <c r="N588" s="16">
        <f>ROUND(IF('Dashboard Visualization'!$U$3="",'Working Data'!$M588,'Working Data'!$M588*(100% +'Dashboard Visualization'!$U$3)),0)</f>
        <v>3</v>
      </c>
      <c r="O588" s="19">
        <v>64.5</v>
      </c>
      <c r="P588" s="20">
        <f>IF('Dashboard Visualization'!$U$2="",'Working Data'!$O588*'Working Data'!$N588,'Working Data'!$O588*'Working Data'!$N588*(100%+'Dashboard Visualization'!$U$2))</f>
        <v>193.5</v>
      </c>
      <c r="Q588" s="19">
        <v>123.62</v>
      </c>
      <c r="R588" s="20">
        <f t="shared" si="94"/>
        <v>123.62</v>
      </c>
      <c r="S588" s="11">
        <v>0</v>
      </c>
      <c r="T588" s="22">
        <f>IF('Dashboard Visualization'!$U$1="",$S588,IF(S588&gt;'Dashboard Visualization'!$U$1,'Dashboard Visualization'!$U$1,S588))</f>
        <v>0</v>
      </c>
      <c r="U588" s="20">
        <f t="shared" si="95"/>
        <v>370.86</v>
      </c>
      <c r="V588" s="20">
        <f t="shared" si="96"/>
        <v>177.36</v>
      </c>
      <c r="W588" s="22">
        <f t="shared" si="92"/>
        <v>0.47823976702798904</v>
      </c>
      <c r="X588" s="28" t="str">
        <f>TEXT(B588,"MMM-YYYY")</f>
        <v>May-2023</v>
      </c>
      <c r="Y588" s="7" t="str">
        <f t="shared" si="97"/>
        <v>Q2-2023</v>
      </c>
      <c r="Z588" s="7" t="str">
        <f t="shared" si="98"/>
        <v>Low Price</v>
      </c>
      <c r="AA588" s="7" t="str">
        <f t="shared" si="99"/>
        <v>Q2</v>
      </c>
      <c r="AB588" s="28" t="str">
        <f t="shared" si="100"/>
        <v>May</v>
      </c>
      <c r="AC588" s="28" t="str">
        <f t="shared" si="101"/>
        <v>2023</v>
      </c>
    </row>
    <row r="589" spans="1:29" x14ac:dyDescent="0.25">
      <c r="A589" s="4" t="s">
        <v>601</v>
      </c>
      <c r="B589" s="14">
        <v>45364</v>
      </c>
      <c r="C589" s="14">
        <v>45388</v>
      </c>
      <c r="D589" s="16">
        <f t="shared" si="93"/>
        <v>24</v>
      </c>
      <c r="E589" s="4" t="s">
        <v>646</v>
      </c>
      <c r="F589" s="4" t="s">
        <v>651</v>
      </c>
      <c r="G589" s="4" t="s">
        <v>669</v>
      </c>
      <c r="H589" s="4" t="s">
        <v>704</v>
      </c>
      <c r="I589" s="4" t="s">
        <v>710</v>
      </c>
      <c r="J589" s="4" t="s">
        <v>716</v>
      </c>
      <c r="K589" s="4" t="s">
        <v>727</v>
      </c>
      <c r="L589" s="4" t="s">
        <v>1319</v>
      </c>
      <c r="M589" s="9">
        <v>16</v>
      </c>
      <c r="N589" s="16">
        <f>ROUND(IF('Dashboard Visualization'!$U$3="",'Working Data'!$M589,'Working Data'!$M589*(100% +'Dashboard Visualization'!$U$3)),0)</f>
        <v>16</v>
      </c>
      <c r="O589" s="19">
        <v>1232.78</v>
      </c>
      <c r="P589" s="20">
        <f>IF('Dashboard Visualization'!$U$2="",'Working Data'!$O589*'Working Data'!$N589,'Working Data'!$O589*'Working Data'!$N589*(100%+'Dashboard Visualization'!$U$2))</f>
        <v>19724.48</v>
      </c>
      <c r="Q589" s="19">
        <v>1731.75</v>
      </c>
      <c r="R589" s="20">
        <f t="shared" si="94"/>
        <v>1570.6972499999999</v>
      </c>
      <c r="S589" s="11">
        <v>9.2999999999999999E-2</v>
      </c>
      <c r="T589" s="22">
        <f>IF('Dashboard Visualization'!$U$1="",$S589,IF(S589&gt;'Dashboard Visualization'!$U$1,'Dashboard Visualization'!$U$1,S589))</f>
        <v>9.2999999999999999E-2</v>
      </c>
      <c r="U589" s="20">
        <f t="shared" si="95"/>
        <v>22793.958492000002</v>
      </c>
      <c r="V589" s="20">
        <f t="shared" si="96"/>
        <v>3069.478492000002</v>
      </c>
      <c r="W589" s="22">
        <f t="shared" si="92"/>
        <v>0.1346619321552813</v>
      </c>
      <c r="X589" s="28" t="str">
        <f>TEXT(B589,"MMM-YYYY")</f>
        <v>Mar-2024</v>
      </c>
      <c r="Y589" s="7" t="str">
        <f t="shared" si="97"/>
        <v>Q1-2024</v>
      </c>
      <c r="Z589" s="7" t="str">
        <f t="shared" si="98"/>
        <v>High Price</v>
      </c>
      <c r="AA589" s="7" t="str">
        <f t="shared" si="99"/>
        <v>Q1</v>
      </c>
      <c r="AB589" s="28" t="str">
        <f t="shared" si="100"/>
        <v>Mar</v>
      </c>
      <c r="AC589" s="28" t="str">
        <f t="shared" si="101"/>
        <v>2024</v>
      </c>
    </row>
    <row r="590" spans="1:29" x14ac:dyDescent="0.25">
      <c r="A590" s="4" t="s">
        <v>602</v>
      </c>
      <c r="B590" s="14">
        <v>45459</v>
      </c>
      <c r="C590" s="14">
        <v>45464</v>
      </c>
      <c r="D590" s="16">
        <f t="shared" si="93"/>
        <v>5</v>
      </c>
      <c r="E590" s="4" t="s">
        <v>647</v>
      </c>
      <c r="F590" s="4" t="s">
        <v>652</v>
      </c>
      <c r="G590" s="4" t="s">
        <v>689</v>
      </c>
      <c r="H590" s="4" t="s">
        <v>705</v>
      </c>
      <c r="I590" s="4" t="s">
        <v>710</v>
      </c>
      <c r="J590" s="4" t="s">
        <v>721</v>
      </c>
      <c r="K590" s="4" t="s">
        <v>730</v>
      </c>
      <c r="L590" s="4" t="s">
        <v>1320</v>
      </c>
      <c r="M590" s="9">
        <v>25</v>
      </c>
      <c r="N590" s="16">
        <f>ROUND(IF('Dashboard Visualization'!$U$3="",'Working Data'!$M590,'Working Data'!$M590*(100% +'Dashboard Visualization'!$U$3)),0)</f>
        <v>25</v>
      </c>
      <c r="O590" s="19">
        <v>1367.13</v>
      </c>
      <c r="P590" s="20">
        <f>IF('Dashboard Visualization'!$U$2="",'Working Data'!$O590*'Working Data'!$N590,'Working Data'!$O590*'Working Data'!$N590*(100%+'Dashboard Visualization'!$U$2))</f>
        <v>34178.25</v>
      </c>
      <c r="Q590" s="19">
        <v>3062.01</v>
      </c>
      <c r="R590" s="20">
        <f t="shared" si="94"/>
        <v>2746.6229700000004</v>
      </c>
      <c r="S590" s="11">
        <v>0.10299999999999999</v>
      </c>
      <c r="T590" s="22">
        <f>IF('Dashboard Visualization'!$U$1="",$S590,IF(S590&gt;'Dashboard Visualization'!$U$1,'Dashboard Visualization'!$U$1,S590))</f>
        <v>0.10299999999999999</v>
      </c>
      <c r="U590" s="20">
        <f t="shared" si="95"/>
        <v>61593.020102250011</v>
      </c>
      <c r="V590" s="20">
        <f t="shared" si="96"/>
        <v>27414.770102250011</v>
      </c>
      <c r="W590" s="22">
        <f t="shared" si="92"/>
        <v>0.44509540296512495</v>
      </c>
      <c r="X590" s="28" t="str">
        <f>TEXT(B590,"MMM-YYYY")</f>
        <v>Jun-2024</v>
      </c>
      <c r="Y590" s="7" t="str">
        <f t="shared" si="97"/>
        <v>Q2-2024</v>
      </c>
      <c r="Z590" s="7" t="str">
        <f t="shared" si="98"/>
        <v>Medium Price</v>
      </c>
      <c r="AA590" s="7" t="str">
        <f t="shared" si="99"/>
        <v>Q2</v>
      </c>
      <c r="AB590" s="28" t="str">
        <f t="shared" si="100"/>
        <v>Jun</v>
      </c>
      <c r="AC590" s="28" t="str">
        <f t="shared" si="101"/>
        <v>2024</v>
      </c>
    </row>
    <row r="591" spans="1:29" x14ac:dyDescent="0.25">
      <c r="A591" s="4" t="s">
        <v>603</v>
      </c>
      <c r="B591" s="14">
        <v>45703</v>
      </c>
      <c r="C591" s="14">
        <v>45715</v>
      </c>
      <c r="D591" s="16">
        <f t="shared" si="93"/>
        <v>12</v>
      </c>
      <c r="E591" s="4" t="s">
        <v>649</v>
      </c>
      <c r="F591" s="4" t="s">
        <v>657</v>
      </c>
      <c r="G591" s="4" t="s">
        <v>679</v>
      </c>
      <c r="H591" s="4" t="s">
        <v>703</v>
      </c>
      <c r="I591" s="4" t="s">
        <v>711</v>
      </c>
      <c r="J591" s="4" t="s">
        <v>723</v>
      </c>
      <c r="K591" s="4" t="s">
        <v>733</v>
      </c>
      <c r="L591" s="4" t="s">
        <v>1321</v>
      </c>
      <c r="M591" s="9">
        <v>6</v>
      </c>
      <c r="N591" s="16">
        <f>ROUND(IF('Dashboard Visualization'!$U$3="",'Working Data'!$M591,'Working Data'!$M591*(100% +'Dashboard Visualization'!$U$3)),0)</f>
        <v>6</v>
      </c>
      <c r="O591" s="19">
        <v>1027.26</v>
      </c>
      <c r="P591" s="20">
        <f>IF('Dashboard Visualization'!$U$2="",'Working Data'!$O591*'Working Data'!$N591,'Working Data'!$O591*'Working Data'!$N591*(100%+'Dashboard Visualization'!$U$2))</f>
        <v>6163.5599999999995</v>
      </c>
      <c r="Q591" s="19">
        <v>2200.41</v>
      </c>
      <c r="R591" s="20">
        <f t="shared" si="94"/>
        <v>2006.7739199999999</v>
      </c>
      <c r="S591" s="11">
        <v>8.7999999999999995E-2</v>
      </c>
      <c r="T591" s="22">
        <f>IF('Dashboard Visualization'!$U$1="",$S591,IF(S591&gt;'Dashboard Visualization'!$U$1,'Dashboard Visualization'!$U$1,S591))</f>
        <v>8.7999999999999995E-2</v>
      </c>
      <c r="U591" s="20">
        <f t="shared" si="95"/>
        <v>10981.066890239999</v>
      </c>
      <c r="V591" s="20">
        <f t="shared" si="96"/>
        <v>4817.5068902399998</v>
      </c>
      <c r="W591" s="22">
        <f t="shared" si="92"/>
        <v>0.43871027636866616</v>
      </c>
      <c r="X591" s="28" t="str">
        <f>TEXT(B591,"MMM-YYYY")</f>
        <v>Feb-2025</v>
      </c>
      <c r="Y591" s="7" t="str">
        <f t="shared" si="97"/>
        <v>Q1-2025</v>
      </c>
      <c r="Z591" s="7" t="str">
        <f t="shared" si="98"/>
        <v>Medium Price</v>
      </c>
      <c r="AA591" s="7" t="str">
        <f t="shared" si="99"/>
        <v>Q1</v>
      </c>
      <c r="AB591" s="28" t="str">
        <f t="shared" si="100"/>
        <v>Feb</v>
      </c>
      <c r="AC591" s="28" t="str">
        <f t="shared" si="101"/>
        <v>2025</v>
      </c>
    </row>
    <row r="592" spans="1:29" x14ac:dyDescent="0.25">
      <c r="A592" s="4" t="s">
        <v>604</v>
      </c>
      <c r="B592" s="14">
        <v>45019</v>
      </c>
      <c r="C592" s="14">
        <v>45032</v>
      </c>
      <c r="D592" s="16">
        <f t="shared" si="93"/>
        <v>13</v>
      </c>
      <c r="E592" s="4" t="s">
        <v>649</v>
      </c>
      <c r="F592" s="4" t="s">
        <v>657</v>
      </c>
      <c r="G592" s="4" t="s">
        <v>673</v>
      </c>
      <c r="H592" s="4" t="s">
        <v>703</v>
      </c>
      <c r="I592" s="4" t="s">
        <v>709</v>
      </c>
      <c r="J592" s="4" t="s">
        <v>724</v>
      </c>
      <c r="K592" s="4" t="s">
        <v>733</v>
      </c>
      <c r="L592" s="4" t="s">
        <v>1322</v>
      </c>
      <c r="M592" s="9">
        <v>15</v>
      </c>
      <c r="N592" s="16">
        <f>ROUND(IF('Dashboard Visualization'!$U$3="",'Working Data'!$M592,'Working Data'!$M592*(100% +'Dashboard Visualization'!$U$3)),0)</f>
        <v>15</v>
      </c>
      <c r="O592" s="19">
        <v>790.54</v>
      </c>
      <c r="P592" s="20">
        <f>IF('Dashboard Visualization'!$U$2="",'Working Data'!$O592*'Working Data'!$N592,'Working Data'!$O592*'Working Data'!$N592*(100%+'Dashboard Visualization'!$U$2))</f>
        <v>11858.099999999999</v>
      </c>
      <c r="Q592" s="19">
        <v>601.49</v>
      </c>
      <c r="R592" s="20">
        <f t="shared" si="94"/>
        <v>601.49</v>
      </c>
      <c r="S592" s="11">
        <v>0</v>
      </c>
      <c r="T592" s="22">
        <f>IF('Dashboard Visualization'!$U$1="",$S592,IF(S592&gt;'Dashboard Visualization'!$U$1,'Dashboard Visualization'!$U$1,S592))</f>
        <v>0</v>
      </c>
      <c r="U592" s="20">
        <f t="shared" si="95"/>
        <v>9022.35</v>
      </c>
      <c r="V592" s="20">
        <f t="shared" si="96"/>
        <v>-2835.7499999999982</v>
      </c>
      <c r="W592" s="22">
        <f t="shared" si="92"/>
        <v>0</v>
      </c>
      <c r="X592" s="28" t="str">
        <f>TEXT(B592,"MMM-YYYY")</f>
        <v>Apr-2023</v>
      </c>
      <c r="Y592" s="7" t="str">
        <f t="shared" si="97"/>
        <v>Q2-2023</v>
      </c>
      <c r="Z592" s="7" t="str">
        <f t="shared" si="98"/>
        <v>High Price</v>
      </c>
      <c r="AA592" s="7" t="str">
        <f t="shared" si="99"/>
        <v>Q2</v>
      </c>
      <c r="AB592" s="28" t="str">
        <f t="shared" si="100"/>
        <v>Apr</v>
      </c>
      <c r="AC592" s="28" t="str">
        <f t="shared" si="101"/>
        <v>2023</v>
      </c>
    </row>
    <row r="593" spans="1:29" x14ac:dyDescent="0.25">
      <c r="A593" s="4" t="s">
        <v>605</v>
      </c>
      <c r="B593" s="14">
        <v>45899</v>
      </c>
      <c r="C593" s="14">
        <v>45922</v>
      </c>
      <c r="D593" s="16">
        <f t="shared" si="93"/>
        <v>23</v>
      </c>
      <c r="E593" s="4" t="s">
        <v>649</v>
      </c>
      <c r="F593" s="4" t="s">
        <v>657</v>
      </c>
      <c r="G593" s="4" t="s">
        <v>673</v>
      </c>
      <c r="H593" s="4" t="s">
        <v>701</v>
      </c>
      <c r="I593" s="4" t="s">
        <v>711</v>
      </c>
      <c r="J593" s="4" t="s">
        <v>718</v>
      </c>
      <c r="K593" s="4" t="s">
        <v>727</v>
      </c>
      <c r="L593" s="4" t="s">
        <v>1323</v>
      </c>
      <c r="M593" s="9">
        <v>15</v>
      </c>
      <c r="N593" s="16">
        <f>ROUND(IF('Dashboard Visualization'!$U$3="",'Working Data'!$M593,'Working Data'!$M593*(100% +'Dashboard Visualization'!$U$3)),0)</f>
        <v>15</v>
      </c>
      <c r="O593" s="19">
        <v>663.9</v>
      </c>
      <c r="P593" s="20">
        <f>IF('Dashboard Visualization'!$U$2="",'Working Data'!$O593*'Working Data'!$N593,'Working Data'!$O593*'Working Data'!$N593*(100%+'Dashboard Visualization'!$U$2))</f>
        <v>9958.5</v>
      </c>
      <c r="Q593" s="19">
        <v>947.77</v>
      </c>
      <c r="R593" s="20">
        <f t="shared" si="94"/>
        <v>782.85802000000001</v>
      </c>
      <c r="S593" s="11">
        <v>0.17399999999999999</v>
      </c>
      <c r="T593" s="22">
        <f>IF('Dashboard Visualization'!$U$1="",$S593,IF(S593&gt;'Dashboard Visualization'!$U$1,'Dashboard Visualization'!$U$1,S593))</f>
        <v>0.17399999999999999</v>
      </c>
      <c r="U593" s="20">
        <f t="shared" si="95"/>
        <v>9699.6108678000001</v>
      </c>
      <c r="V593" s="20">
        <f t="shared" si="96"/>
        <v>-258.88913219999995</v>
      </c>
      <c r="W593" s="22">
        <f t="shared" si="92"/>
        <v>0</v>
      </c>
      <c r="X593" s="28" t="str">
        <f>TEXT(B593,"MMM-YYYY")</f>
        <v>Aug-2025</v>
      </c>
      <c r="Y593" s="7" t="str">
        <f t="shared" si="97"/>
        <v>Q3-2025</v>
      </c>
      <c r="Z593" s="7" t="str">
        <f t="shared" si="98"/>
        <v>High Price</v>
      </c>
      <c r="AA593" s="7" t="str">
        <f t="shared" si="99"/>
        <v>Q3</v>
      </c>
      <c r="AB593" s="28" t="str">
        <f t="shared" si="100"/>
        <v>Aug</v>
      </c>
      <c r="AC593" s="28" t="str">
        <f t="shared" si="101"/>
        <v>2025</v>
      </c>
    </row>
    <row r="594" spans="1:29" x14ac:dyDescent="0.25">
      <c r="A594" s="4" t="s">
        <v>606</v>
      </c>
      <c r="B594" s="14">
        <v>44984</v>
      </c>
      <c r="C594" s="14">
        <v>44983</v>
      </c>
      <c r="D594" s="16" t="str">
        <f t="shared" si="93"/>
        <v/>
      </c>
      <c r="E594" s="4" t="s">
        <v>648</v>
      </c>
      <c r="F594" s="4" t="s">
        <v>660</v>
      </c>
      <c r="G594" s="4" t="s">
        <v>686</v>
      </c>
      <c r="H594" s="4" t="s">
        <v>703</v>
      </c>
      <c r="I594" s="4" t="s">
        <v>708</v>
      </c>
      <c r="J594" s="4" t="s">
        <v>716</v>
      </c>
      <c r="K594" s="4" t="s">
        <v>729</v>
      </c>
      <c r="L594" s="4" t="s">
        <v>1324</v>
      </c>
      <c r="M594" s="9">
        <v>26</v>
      </c>
      <c r="N594" s="16">
        <f>ROUND(IF('Dashboard Visualization'!$U$3="",'Working Data'!$M594,'Working Data'!$M594*(100% +'Dashboard Visualization'!$U$3)),0)</f>
        <v>26</v>
      </c>
      <c r="O594" s="19">
        <v>1015.91</v>
      </c>
      <c r="P594" s="20">
        <f>IF('Dashboard Visualization'!$U$2="",'Working Data'!$O594*'Working Data'!$N594,'Working Data'!$O594*'Working Data'!$N594*(100%+'Dashboard Visualization'!$U$2))</f>
        <v>26413.66</v>
      </c>
      <c r="Q594" s="19">
        <v>2331.48</v>
      </c>
      <c r="R594" s="20">
        <f t="shared" si="94"/>
        <v>1991.08392</v>
      </c>
      <c r="S594" s="11">
        <v>0.14599999999999999</v>
      </c>
      <c r="T594" s="22">
        <f>IF('Dashboard Visualization'!$U$1="",$S594,IF(S594&gt;'Dashboard Visualization'!$U$1,'Dashboard Visualization'!$U$1,S594))</f>
        <v>0.14599999999999999</v>
      </c>
      <c r="U594" s="20">
        <f t="shared" si="95"/>
        <v>44210.027359680003</v>
      </c>
      <c r="V594" s="20">
        <f t="shared" si="96"/>
        <v>17796.367359680004</v>
      </c>
      <c r="W594" s="22">
        <f t="shared" si="92"/>
        <v>0.40254142380175212</v>
      </c>
      <c r="X594" s="28" t="str">
        <f>TEXT(B594,"MMM-YYYY")</f>
        <v>Feb-2023</v>
      </c>
      <c r="Y594" s="7" t="str">
        <f t="shared" si="97"/>
        <v>Q1-2023</v>
      </c>
      <c r="Z594" s="7" t="str">
        <f t="shared" si="98"/>
        <v>Medium Price</v>
      </c>
      <c r="AA594" s="7" t="str">
        <f t="shared" si="99"/>
        <v>Q1</v>
      </c>
      <c r="AB594" s="28" t="str">
        <f t="shared" si="100"/>
        <v>Feb</v>
      </c>
      <c r="AC594" s="28" t="str">
        <f t="shared" si="101"/>
        <v>2023</v>
      </c>
    </row>
    <row r="595" spans="1:29" x14ac:dyDescent="0.25">
      <c r="A595" s="4" t="s">
        <v>607</v>
      </c>
      <c r="B595" s="14">
        <v>45504</v>
      </c>
      <c r="C595" s="14">
        <v>45519</v>
      </c>
      <c r="D595" s="16">
        <f t="shared" si="93"/>
        <v>15</v>
      </c>
      <c r="E595" s="4" t="s">
        <v>647</v>
      </c>
      <c r="F595" s="4" t="s">
        <v>652</v>
      </c>
      <c r="G595" s="4" t="s">
        <v>689</v>
      </c>
      <c r="H595" s="4" t="s">
        <v>701</v>
      </c>
      <c r="I595" s="4" t="s">
        <v>709</v>
      </c>
      <c r="J595" s="4" t="s">
        <v>721</v>
      </c>
      <c r="K595" s="4" t="s">
        <v>732</v>
      </c>
      <c r="L595" s="4" t="s">
        <v>1325</v>
      </c>
      <c r="M595" s="9">
        <v>5</v>
      </c>
      <c r="N595" s="16">
        <f>ROUND(IF('Dashboard Visualization'!$U$3="",'Working Data'!$M595,'Working Data'!$M595*(100% +'Dashboard Visualization'!$U$3)),0)</f>
        <v>5</v>
      </c>
      <c r="O595" s="19">
        <v>1252.52</v>
      </c>
      <c r="P595" s="20">
        <f>IF('Dashboard Visualization'!$U$2="",'Working Data'!$O595*'Working Data'!$N595,'Working Data'!$O595*'Working Data'!$N595*(100%+'Dashboard Visualization'!$U$2))</f>
        <v>6262.6</v>
      </c>
      <c r="Q595" s="19">
        <v>1417.24</v>
      </c>
      <c r="R595" s="20">
        <f t="shared" si="94"/>
        <v>1145.1299200000001</v>
      </c>
      <c r="S595" s="11">
        <v>0.192</v>
      </c>
      <c r="T595" s="22">
        <f>IF('Dashboard Visualization'!$U$1="",$S595,IF(S595&gt;'Dashboard Visualization'!$U$1,'Dashboard Visualization'!$U$1,S595))</f>
        <v>0.192</v>
      </c>
      <c r="U595" s="20">
        <f t="shared" si="95"/>
        <v>4626.3248768000003</v>
      </c>
      <c r="V595" s="20">
        <f t="shared" si="96"/>
        <v>-1636.2751232000001</v>
      </c>
      <c r="W595" s="22">
        <f t="shared" si="92"/>
        <v>0</v>
      </c>
      <c r="X595" s="28" t="str">
        <f>TEXT(B595,"MMM-YYYY")</f>
        <v>Jul-2024</v>
      </c>
      <c r="Y595" s="7" t="str">
        <f t="shared" si="97"/>
        <v>Q3-2024</v>
      </c>
      <c r="Z595" s="7" t="str">
        <f t="shared" si="98"/>
        <v>High Price</v>
      </c>
      <c r="AA595" s="7" t="str">
        <f t="shared" si="99"/>
        <v>Q3</v>
      </c>
      <c r="AB595" s="28" t="str">
        <f t="shared" si="100"/>
        <v>Jul</v>
      </c>
      <c r="AC595" s="28" t="str">
        <f t="shared" si="101"/>
        <v>2024</v>
      </c>
    </row>
    <row r="596" spans="1:29" x14ac:dyDescent="0.25">
      <c r="A596" s="4" t="s">
        <v>608</v>
      </c>
      <c r="B596" s="14">
        <v>45823</v>
      </c>
      <c r="C596" s="14">
        <v>45850</v>
      </c>
      <c r="D596" s="16">
        <f t="shared" si="93"/>
        <v>27</v>
      </c>
      <c r="E596" s="4" t="s">
        <v>649</v>
      </c>
      <c r="F596" s="4" t="s">
        <v>657</v>
      </c>
      <c r="G596" s="4" t="s">
        <v>673</v>
      </c>
      <c r="H596" s="4" t="s">
        <v>704</v>
      </c>
      <c r="I596" s="4" t="s">
        <v>711</v>
      </c>
      <c r="J596" s="4" t="s">
        <v>712</v>
      </c>
      <c r="K596" s="4" t="s">
        <v>733</v>
      </c>
      <c r="L596" s="4" t="s">
        <v>1326</v>
      </c>
      <c r="M596" s="9">
        <v>13</v>
      </c>
      <c r="N596" s="16">
        <f>ROUND(IF('Dashboard Visualization'!$U$3="",'Working Data'!$M596,'Working Data'!$M596*(100% +'Dashboard Visualization'!$U$3)),0)</f>
        <v>13</v>
      </c>
      <c r="O596" s="19">
        <v>318.83</v>
      </c>
      <c r="P596" s="20">
        <f>IF('Dashboard Visualization'!$U$2="",'Working Data'!$O596*'Working Data'!$N596,'Working Data'!$O596*'Working Data'!$N596*(100%+'Dashboard Visualization'!$U$2))</f>
        <v>4144.79</v>
      </c>
      <c r="Q596" s="19">
        <v>699.5</v>
      </c>
      <c r="R596" s="20">
        <f t="shared" si="94"/>
        <v>643.54000000000008</v>
      </c>
      <c r="S596" s="11">
        <v>0.08</v>
      </c>
      <c r="T596" s="22">
        <f>IF('Dashboard Visualization'!$U$1="",$S596,IF(S596&gt;'Dashboard Visualization'!$U$1,'Dashboard Visualization'!$U$1,S596))</f>
        <v>0.08</v>
      </c>
      <c r="U596" s="20">
        <f t="shared" si="95"/>
        <v>7696.7384000000011</v>
      </c>
      <c r="V596" s="20">
        <f t="shared" si="96"/>
        <v>3551.9484000000011</v>
      </c>
      <c r="W596" s="22">
        <f t="shared" si="92"/>
        <v>0.46148747890405117</v>
      </c>
      <c r="X596" s="28" t="str">
        <f>TEXT(B596,"MMM-YYYY")</f>
        <v>Jun-2025</v>
      </c>
      <c r="Y596" s="7" t="str">
        <f t="shared" si="97"/>
        <v>Q2-2025</v>
      </c>
      <c r="Z596" s="7" t="str">
        <f t="shared" si="98"/>
        <v>High Price</v>
      </c>
      <c r="AA596" s="7" t="str">
        <f t="shared" si="99"/>
        <v>Q2</v>
      </c>
      <c r="AB596" s="28" t="str">
        <f t="shared" si="100"/>
        <v>Jun</v>
      </c>
      <c r="AC596" s="28" t="str">
        <f t="shared" si="101"/>
        <v>2025</v>
      </c>
    </row>
    <row r="597" spans="1:29" x14ac:dyDescent="0.25">
      <c r="A597" s="4" t="s">
        <v>609</v>
      </c>
      <c r="B597" s="14">
        <v>45473</v>
      </c>
      <c r="C597" s="14">
        <v>45494</v>
      </c>
      <c r="D597" s="16">
        <f t="shared" si="93"/>
        <v>21</v>
      </c>
      <c r="E597" s="4" t="s">
        <v>646</v>
      </c>
      <c r="F597" s="4" t="s">
        <v>650</v>
      </c>
      <c r="G597" s="4" t="s">
        <v>662</v>
      </c>
      <c r="H597" s="4" t="s">
        <v>705</v>
      </c>
      <c r="I597" s="4" t="s">
        <v>707</v>
      </c>
      <c r="J597" s="4" t="s">
        <v>723</v>
      </c>
      <c r="K597" s="4" t="s">
        <v>731</v>
      </c>
      <c r="L597" s="4" t="s">
        <v>1327</v>
      </c>
      <c r="M597" s="9">
        <v>9</v>
      </c>
      <c r="N597" s="16">
        <f>ROUND(IF('Dashboard Visualization'!$U$3="",'Working Data'!$M597,'Working Data'!$M597*(100% +'Dashboard Visualization'!$U$3)),0)</f>
        <v>9</v>
      </c>
      <c r="O597" s="19">
        <v>753.43</v>
      </c>
      <c r="P597" s="20">
        <f>IF('Dashboard Visualization'!$U$2="",'Working Data'!$O597*'Working Data'!$N597,'Working Data'!$O597*'Working Data'!$N597*(100%+'Dashboard Visualization'!$U$2))</f>
        <v>6780.87</v>
      </c>
      <c r="Q597" s="19">
        <v>1787.2</v>
      </c>
      <c r="R597" s="20">
        <f t="shared" si="94"/>
        <v>1656.7344000000001</v>
      </c>
      <c r="S597" s="11">
        <v>7.2999999999999995E-2</v>
      </c>
      <c r="T597" s="22">
        <f>IF('Dashboard Visualization'!$U$1="",$S597,IF(S597&gt;'Dashboard Visualization'!$U$1,'Dashboard Visualization'!$U$1,S597))</f>
        <v>7.2999999999999995E-2</v>
      </c>
      <c r="U597" s="20">
        <f t="shared" si="95"/>
        <v>13822.135099200001</v>
      </c>
      <c r="V597" s="20">
        <f t="shared" si="96"/>
        <v>7041.2650992000008</v>
      </c>
      <c r="W597" s="22">
        <f t="shared" si="92"/>
        <v>0.50941949624031213</v>
      </c>
      <c r="X597" s="28" t="str">
        <f>TEXT(B597,"MMM-YYYY")</f>
        <v>Jun-2024</v>
      </c>
      <c r="Y597" s="7" t="str">
        <f t="shared" si="97"/>
        <v>Q2-2024</v>
      </c>
      <c r="Z597" s="7" t="str">
        <f t="shared" si="98"/>
        <v>High Price</v>
      </c>
      <c r="AA597" s="7" t="str">
        <f t="shared" si="99"/>
        <v>Q2</v>
      </c>
      <c r="AB597" s="28" t="str">
        <f t="shared" si="100"/>
        <v>Jun</v>
      </c>
      <c r="AC597" s="28" t="str">
        <f t="shared" si="101"/>
        <v>2024</v>
      </c>
    </row>
    <row r="598" spans="1:29" x14ac:dyDescent="0.25">
      <c r="A598" s="4" t="s">
        <v>610</v>
      </c>
      <c r="B598" s="14">
        <v>45705</v>
      </c>
      <c r="C598" s="14">
        <v>45703</v>
      </c>
      <c r="D598" s="16" t="str">
        <f t="shared" si="93"/>
        <v/>
      </c>
      <c r="E598" s="4" t="s">
        <v>648</v>
      </c>
      <c r="F598" s="4" t="s">
        <v>653</v>
      </c>
      <c r="G598" s="4" t="s">
        <v>667</v>
      </c>
      <c r="H598" s="4" t="s">
        <v>705</v>
      </c>
      <c r="I598" s="4" t="s">
        <v>707</v>
      </c>
      <c r="J598" s="4" t="s">
        <v>726</v>
      </c>
      <c r="K598" s="4" t="s">
        <v>727</v>
      </c>
      <c r="L598" s="4" t="s">
        <v>1328</v>
      </c>
      <c r="M598" s="9">
        <v>5</v>
      </c>
      <c r="N598" s="16">
        <f>ROUND(IF('Dashboard Visualization'!$U$3="",'Working Data'!$M598,'Working Data'!$M598*(100% +'Dashboard Visualization'!$U$3)),0)</f>
        <v>5</v>
      </c>
      <c r="O598" s="19">
        <v>1133.47</v>
      </c>
      <c r="P598" s="20">
        <f>IF('Dashboard Visualization'!$U$2="",'Working Data'!$O598*'Working Data'!$N598,'Working Data'!$O598*'Working Data'!$N598*(100%+'Dashboard Visualization'!$U$2))</f>
        <v>5667.35</v>
      </c>
      <c r="Q598" s="19">
        <v>1698.75</v>
      </c>
      <c r="R598" s="20">
        <f t="shared" si="94"/>
        <v>1625.7037499999999</v>
      </c>
      <c r="S598" s="11">
        <v>4.2999999999999997E-2</v>
      </c>
      <c r="T598" s="22">
        <f>IF('Dashboard Visualization'!$U$1="",$S598,IF(S598&gt;'Dashboard Visualization'!$U$1,'Dashboard Visualization'!$U$1,S598))</f>
        <v>4.2999999999999997E-2</v>
      </c>
      <c r="U598" s="20">
        <f t="shared" si="95"/>
        <v>7778.9924437499994</v>
      </c>
      <c r="V598" s="20">
        <f t="shared" si="96"/>
        <v>2111.6424437499991</v>
      </c>
      <c r="W598" s="22">
        <f t="shared" si="92"/>
        <v>0.27145449221339579</v>
      </c>
      <c r="X598" s="28" t="str">
        <f>TEXT(B598,"MMM-YYYY")</f>
        <v>Feb-2025</v>
      </c>
      <c r="Y598" s="7" t="str">
        <f t="shared" si="97"/>
        <v>Q1-2025</v>
      </c>
      <c r="Z598" s="7" t="str">
        <f t="shared" si="98"/>
        <v>High Price</v>
      </c>
      <c r="AA598" s="7" t="str">
        <f t="shared" si="99"/>
        <v>Q1</v>
      </c>
      <c r="AB598" s="28" t="str">
        <f t="shared" si="100"/>
        <v>Feb</v>
      </c>
      <c r="AC598" s="28" t="str">
        <f t="shared" si="101"/>
        <v>2025</v>
      </c>
    </row>
    <row r="599" spans="1:29" x14ac:dyDescent="0.25">
      <c r="A599" s="4" t="s">
        <v>611</v>
      </c>
      <c r="B599" s="14">
        <v>44933</v>
      </c>
      <c r="C599" s="14">
        <v>44956</v>
      </c>
      <c r="D599" s="16">
        <f t="shared" si="93"/>
        <v>23</v>
      </c>
      <c r="E599" s="4" t="s">
        <v>646</v>
      </c>
      <c r="F599" s="4" t="s">
        <v>661</v>
      </c>
      <c r="G599" s="4" t="s">
        <v>695</v>
      </c>
      <c r="H599" s="4" t="s">
        <v>704</v>
      </c>
      <c r="I599" s="4" t="s">
        <v>708</v>
      </c>
      <c r="J599" s="4" t="s">
        <v>720</v>
      </c>
      <c r="K599" s="4" t="s">
        <v>728</v>
      </c>
      <c r="L599" s="4" t="s">
        <v>1329</v>
      </c>
      <c r="M599" s="9">
        <v>5</v>
      </c>
      <c r="N599" s="16">
        <f>ROUND(IF('Dashboard Visualization'!$U$3="",'Working Data'!$M599,'Working Data'!$M599*(100% +'Dashboard Visualization'!$U$3)),0)</f>
        <v>5</v>
      </c>
      <c r="O599" s="19">
        <v>299.02</v>
      </c>
      <c r="P599" s="20">
        <f>IF('Dashboard Visualization'!$U$2="",'Working Data'!$O599*'Working Data'!$N599,'Working Data'!$O599*'Working Data'!$N599*(100%+'Dashboard Visualization'!$U$2))</f>
        <v>1495.1</v>
      </c>
      <c r="Q599" s="19">
        <v>724.7</v>
      </c>
      <c r="R599" s="20">
        <f t="shared" si="94"/>
        <v>623.24200000000008</v>
      </c>
      <c r="S599" s="11">
        <v>0.14000000000000001</v>
      </c>
      <c r="T599" s="22">
        <f>IF('Dashboard Visualization'!$U$1="",$S599,IF(S599&gt;'Dashboard Visualization'!$U$1,'Dashboard Visualization'!$U$1,S599))</f>
        <v>0.14000000000000001</v>
      </c>
      <c r="U599" s="20">
        <f t="shared" si="95"/>
        <v>2679.9406000000004</v>
      </c>
      <c r="V599" s="20">
        <f t="shared" si="96"/>
        <v>1184.8406000000004</v>
      </c>
      <c r="W599" s="22">
        <f t="shared" si="92"/>
        <v>0.44211450059751334</v>
      </c>
      <c r="X599" s="28" t="str">
        <f>TEXT(B599,"MMM-YYYY")</f>
        <v>Jan-2023</v>
      </c>
      <c r="Y599" s="7" t="str">
        <f t="shared" si="97"/>
        <v>Q1-2023</v>
      </c>
      <c r="Z599" s="7" t="str">
        <f t="shared" si="98"/>
        <v>High Price</v>
      </c>
      <c r="AA599" s="7" t="str">
        <f t="shared" si="99"/>
        <v>Q1</v>
      </c>
      <c r="AB599" s="28" t="str">
        <f t="shared" si="100"/>
        <v>Jan</v>
      </c>
      <c r="AC599" s="28" t="str">
        <f t="shared" si="101"/>
        <v>2023</v>
      </c>
    </row>
    <row r="600" spans="1:29" x14ac:dyDescent="0.25">
      <c r="A600" s="4" t="s">
        <v>612</v>
      </c>
      <c r="B600" s="14">
        <v>45726</v>
      </c>
      <c r="C600" s="14">
        <v>45751</v>
      </c>
      <c r="D600" s="16">
        <f t="shared" si="93"/>
        <v>25</v>
      </c>
      <c r="E600" s="4" t="s">
        <v>647</v>
      </c>
      <c r="F600" s="4" t="s">
        <v>652</v>
      </c>
      <c r="G600" s="4" t="s">
        <v>666</v>
      </c>
      <c r="H600" s="4" t="s">
        <v>701</v>
      </c>
      <c r="I600" s="4" t="s">
        <v>711</v>
      </c>
      <c r="J600" s="4" t="s">
        <v>722</v>
      </c>
      <c r="K600" s="4" t="s">
        <v>728</v>
      </c>
      <c r="L600" s="4" t="s">
        <v>1330</v>
      </c>
      <c r="M600" s="9">
        <v>4</v>
      </c>
      <c r="N600" s="16">
        <f>ROUND(IF('Dashboard Visualization'!$U$3="",'Working Data'!$M600,'Working Data'!$M600*(100% +'Dashboard Visualization'!$U$3)),0)</f>
        <v>4</v>
      </c>
      <c r="O600" s="19">
        <v>783.72</v>
      </c>
      <c r="P600" s="20">
        <f>IF('Dashboard Visualization'!$U$2="",'Working Data'!$O600*'Working Data'!$N600,'Working Data'!$O600*'Working Data'!$N600*(100%+'Dashboard Visualization'!$U$2))</f>
        <v>3134.88</v>
      </c>
      <c r="Q600" s="19">
        <v>1355.94</v>
      </c>
      <c r="R600" s="20">
        <f t="shared" si="94"/>
        <v>1102.37922</v>
      </c>
      <c r="S600" s="11">
        <v>0.187</v>
      </c>
      <c r="T600" s="22">
        <f>IF('Dashboard Visualization'!$U$1="",$S600,IF(S600&gt;'Dashboard Visualization'!$U$1,'Dashboard Visualization'!$U$1,S600))</f>
        <v>0.187</v>
      </c>
      <c r="U600" s="20">
        <f t="shared" si="95"/>
        <v>3584.9372234399998</v>
      </c>
      <c r="V600" s="20">
        <f t="shared" si="96"/>
        <v>450.05722343999969</v>
      </c>
      <c r="W600" s="22">
        <f t="shared" si="92"/>
        <v>0.12554117279859592</v>
      </c>
      <c r="X600" s="28" t="str">
        <f>TEXT(B600,"MMM-YYYY")</f>
        <v>Mar-2025</v>
      </c>
      <c r="Y600" s="7" t="str">
        <f t="shared" si="97"/>
        <v>Q1-2025</v>
      </c>
      <c r="Z600" s="7" t="str">
        <f t="shared" si="98"/>
        <v>High Price</v>
      </c>
      <c r="AA600" s="7" t="str">
        <f t="shared" si="99"/>
        <v>Q1</v>
      </c>
      <c r="AB600" s="28" t="str">
        <f t="shared" si="100"/>
        <v>Mar</v>
      </c>
      <c r="AC600" s="28" t="str">
        <f t="shared" si="101"/>
        <v>2025</v>
      </c>
    </row>
    <row r="601" spans="1:29" x14ac:dyDescent="0.25">
      <c r="A601" s="4" t="s">
        <v>613</v>
      </c>
      <c r="B601" s="14">
        <v>45521</v>
      </c>
      <c r="C601" s="14">
        <v>45519</v>
      </c>
      <c r="D601" s="16" t="str">
        <f t="shared" si="93"/>
        <v/>
      </c>
      <c r="E601" s="4" t="s">
        <v>648</v>
      </c>
      <c r="F601" s="4" t="s">
        <v>655</v>
      </c>
      <c r="G601" s="4" t="s">
        <v>692</v>
      </c>
      <c r="H601" s="4" t="s">
        <v>704</v>
      </c>
      <c r="I601" s="4" t="s">
        <v>711</v>
      </c>
      <c r="J601" s="4" t="s">
        <v>724</v>
      </c>
      <c r="K601" s="4" t="s">
        <v>732</v>
      </c>
      <c r="L601" s="4" t="s">
        <v>1331</v>
      </c>
      <c r="M601" s="9">
        <v>25</v>
      </c>
      <c r="N601" s="16">
        <f>ROUND(IF('Dashboard Visualization'!$U$3="",'Working Data'!$M601,'Working Data'!$M601*(100% +'Dashboard Visualization'!$U$3)),0)</f>
        <v>25</v>
      </c>
      <c r="O601" s="19">
        <v>165.3</v>
      </c>
      <c r="P601" s="20">
        <f>IF('Dashboard Visualization'!$U$2="",'Working Data'!$O601*'Working Data'!$N601,'Working Data'!$O601*'Working Data'!$N601*(100%+'Dashboard Visualization'!$U$2))</f>
        <v>4132.5</v>
      </c>
      <c r="Q601" s="19">
        <v>275.07</v>
      </c>
      <c r="R601" s="20">
        <f t="shared" si="94"/>
        <v>238.48569000000001</v>
      </c>
      <c r="S601" s="11">
        <v>0.13300000000000001</v>
      </c>
      <c r="T601" s="22">
        <f>IF('Dashboard Visualization'!$U$1="",$S601,IF(S601&gt;'Dashboard Visualization'!$U$1,'Dashboard Visualization'!$U$1,S601))</f>
        <v>0.13300000000000001</v>
      </c>
      <c r="U601" s="20">
        <f t="shared" si="95"/>
        <v>5169.1773307499998</v>
      </c>
      <c r="V601" s="20">
        <f t="shared" si="96"/>
        <v>1036.6773307499998</v>
      </c>
      <c r="W601" s="22">
        <f t="shared" si="92"/>
        <v>0.20054977115663924</v>
      </c>
      <c r="X601" s="28" t="str">
        <f>TEXT(B601,"MMM-YYYY")</f>
        <v>Aug-2024</v>
      </c>
      <c r="Y601" s="7" t="str">
        <f t="shared" si="97"/>
        <v>Q3-2024</v>
      </c>
      <c r="Z601" s="7" t="str">
        <f t="shared" si="98"/>
        <v>Low Price</v>
      </c>
      <c r="AA601" s="7" t="str">
        <f t="shared" si="99"/>
        <v>Q3</v>
      </c>
      <c r="AB601" s="28" t="str">
        <f t="shared" si="100"/>
        <v>Aug</v>
      </c>
      <c r="AC601" s="28" t="str">
        <f t="shared" si="101"/>
        <v>2024</v>
      </c>
    </row>
    <row r="602" spans="1:29" x14ac:dyDescent="0.25">
      <c r="A602" s="4" t="s">
        <v>614</v>
      </c>
      <c r="B602" s="14">
        <v>45360</v>
      </c>
      <c r="C602" s="14">
        <v>45373</v>
      </c>
      <c r="D602" s="16">
        <f t="shared" si="93"/>
        <v>13</v>
      </c>
      <c r="E602" s="4" t="s">
        <v>649</v>
      </c>
      <c r="F602" s="4" t="s">
        <v>658</v>
      </c>
      <c r="G602" s="4" t="s">
        <v>693</v>
      </c>
      <c r="H602" s="4" t="s">
        <v>704</v>
      </c>
      <c r="I602" s="4" t="s">
        <v>708</v>
      </c>
      <c r="J602" s="4" t="s">
        <v>718</v>
      </c>
      <c r="K602" s="4" t="s">
        <v>731</v>
      </c>
      <c r="L602" s="4" t="s">
        <v>1332</v>
      </c>
      <c r="M602" s="9">
        <v>19</v>
      </c>
      <c r="N602" s="16">
        <f>ROUND(IF('Dashboard Visualization'!$U$3="",'Working Data'!$M602,'Working Data'!$M602*(100% +'Dashboard Visualization'!$U$3)),0)</f>
        <v>19</v>
      </c>
      <c r="O602" s="19">
        <v>985.45</v>
      </c>
      <c r="P602" s="20">
        <f>IF('Dashboard Visualization'!$U$2="",'Working Data'!$O602*'Working Data'!$N602,'Working Data'!$O602*'Working Data'!$N602*(100%+'Dashboard Visualization'!$U$2))</f>
        <v>18723.55</v>
      </c>
      <c r="Q602" s="19">
        <v>1802.44</v>
      </c>
      <c r="R602" s="20">
        <f t="shared" si="94"/>
        <v>1786.21804</v>
      </c>
      <c r="S602" s="11">
        <v>8.9999999999999993E-3</v>
      </c>
      <c r="T602" s="22">
        <f>IF('Dashboard Visualization'!$U$1="",$S602,IF(S602&gt;'Dashboard Visualization'!$U$1,'Dashboard Visualization'!$U$1,S602))</f>
        <v>8.9999999999999993E-3</v>
      </c>
      <c r="U602" s="20">
        <f t="shared" si="95"/>
        <v>33632.69947516</v>
      </c>
      <c r="V602" s="20">
        <f t="shared" si="96"/>
        <v>14909.14947516</v>
      </c>
      <c r="W602" s="22">
        <f t="shared" si="92"/>
        <v>0.44329327433771426</v>
      </c>
      <c r="X602" s="28" t="str">
        <f>TEXT(B602,"MMM-YYYY")</f>
        <v>Mar-2024</v>
      </c>
      <c r="Y602" s="7" t="str">
        <f t="shared" si="97"/>
        <v>Q1-2024</v>
      </c>
      <c r="Z602" s="7" t="str">
        <f t="shared" si="98"/>
        <v>Medium Price</v>
      </c>
      <c r="AA602" s="7" t="str">
        <f t="shared" si="99"/>
        <v>Q1</v>
      </c>
      <c r="AB602" s="28" t="str">
        <f t="shared" si="100"/>
        <v>Mar</v>
      </c>
      <c r="AC602" s="28" t="str">
        <f t="shared" si="101"/>
        <v>2024</v>
      </c>
    </row>
    <row r="603" spans="1:29" x14ac:dyDescent="0.25">
      <c r="A603" s="4" t="s">
        <v>615</v>
      </c>
      <c r="B603" s="14">
        <v>45523</v>
      </c>
      <c r="C603" s="14">
        <v>45537</v>
      </c>
      <c r="D603" s="16">
        <f t="shared" si="93"/>
        <v>14</v>
      </c>
      <c r="E603" s="4" t="s">
        <v>648</v>
      </c>
      <c r="F603" s="4" t="s">
        <v>653</v>
      </c>
      <c r="G603" s="4" t="s">
        <v>667</v>
      </c>
      <c r="H603" s="4" t="s">
        <v>704</v>
      </c>
      <c r="I603" s="4" t="s">
        <v>710</v>
      </c>
      <c r="J603" s="4" t="s">
        <v>712</v>
      </c>
      <c r="K603" s="4" t="s">
        <v>728</v>
      </c>
      <c r="L603" s="4" t="s">
        <v>1333</v>
      </c>
      <c r="M603" s="9">
        <v>7</v>
      </c>
      <c r="N603" s="16">
        <f>ROUND(IF('Dashboard Visualization'!$U$3="",'Working Data'!$M603,'Working Data'!$M603*(100% +'Dashboard Visualization'!$U$3)),0)</f>
        <v>7</v>
      </c>
      <c r="O603" s="19">
        <v>1337.01</v>
      </c>
      <c r="P603" s="20">
        <f>IF('Dashboard Visualization'!$U$2="",'Working Data'!$O603*'Working Data'!$N603,'Working Data'!$O603*'Working Data'!$N603*(100%+'Dashboard Visualization'!$U$2))</f>
        <v>9359.07</v>
      </c>
      <c r="Q603" s="19">
        <v>1269.78</v>
      </c>
      <c r="R603" s="20">
        <f t="shared" si="94"/>
        <v>1066.6152</v>
      </c>
      <c r="S603" s="11">
        <v>0.16</v>
      </c>
      <c r="T603" s="22">
        <f>IF('Dashboard Visualization'!$U$1="",$S603,IF(S603&gt;'Dashboard Visualization'!$U$1,'Dashboard Visualization'!$U$1,S603))</f>
        <v>0.16</v>
      </c>
      <c r="U603" s="20">
        <f t="shared" si="95"/>
        <v>6271.6973759999992</v>
      </c>
      <c r="V603" s="20">
        <f t="shared" si="96"/>
        <v>-3087.3726240000005</v>
      </c>
      <c r="W603" s="22">
        <f t="shared" si="92"/>
        <v>0</v>
      </c>
      <c r="X603" s="28" t="str">
        <f>TEXT(B603,"MMM-YYYY")</f>
        <v>Aug-2024</v>
      </c>
      <c r="Y603" s="7" t="str">
        <f t="shared" si="97"/>
        <v>Q3-2024</v>
      </c>
      <c r="Z603" s="7" t="str">
        <f t="shared" si="98"/>
        <v>High Price</v>
      </c>
      <c r="AA603" s="7" t="str">
        <f t="shared" si="99"/>
        <v>Q3</v>
      </c>
      <c r="AB603" s="28" t="str">
        <f t="shared" si="100"/>
        <v>Aug</v>
      </c>
      <c r="AC603" s="28" t="str">
        <f t="shared" si="101"/>
        <v>2024</v>
      </c>
    </row>
    <row r="604" spans="1:29" x14ac:dyDescent="0.25">
      <c r="A604" s="4" t="s">
        <v>616</v>
      </c>
      <c r="B604" s="14">
        <v>45880</v>
      </c>
      <c r="C604" s="14">
        <v>45897</v>
      </c>
      <c r="D604" s="16">
        <f t="shared" si="93"/>
        <v>17</v>
      </c>
      <c r="E604" s="4" t="s">
        <v>649</v>
      </c>
      <c r="F604" s="4" t="s">
        <v>657</v>
      </c>
      <c r="G604" s="4" t="s">
        <v>690</v>
      </c>
      <c r="H604" s="4" t="s">
        <v>702</v>
      </c>
      <c r="I604" s="4" t="s">
        <v>708</v>
      </c>
      <c r="J604" s="4" t="s">
        <v>721</v>
      </c>
      <c r="K604" s="4" t="s">
        <v>729</v>
      </c>
      <c r="L604" s="4" t="s">
        <v>1334</v>
      </c>
      <c r="M604" s="9">
        <v>2</v>
      </c>
      <c r="N604" s="16">
        <f>ROUND(IF('Dashboard Visualization'!$U$3="",'Working Data'!$M604,'Working Data'!$M604*(100% +'Dashboard Visualization'!$U$3)),0)</f>
        <v>2</v>
      </c>
      <c r="O604" s="19">
        <v>416.16</v>
      </c>
      <c r="P604" s="20">
        <f>IF('Dashboard Visualization'!$U$2="",'Working Data'!$O604*'Working Data'!$N604,'Working Data'!$O604*'Working Data'!$N604*(100%+'Dashboard Visualization'!$U$2))</f>
        <v>832.32</v>
      </c>
      <c r="Q604" s="19">
        <v>571.9</v>
      </c>
      <c r="R604" s="20">
        <f t="shared" si="94"/>
        <v>531.29510000000005</v>
      </c>
      <c r="S604" s="11">
        <v>7.0999999999999994E-2</v>
      </c>
      <c r="T604" s="22">
        <f>IF('Dashboard Visualization'!$U$1="",$S604,IF(S604&gt;'Dashboard Visualization'!$U$1,'Dashboard Visualization'!$U$1,S604))</f>
        <v>7.0999999999999994E-2</v>
      </c>
      <c r="U604" s="20">
        <f t="shared" si="95"/>
        <v>987.14629580000019</v>
      </c>
      <c r="V604" s="20">
        <f t="shared" si="96"/>
        <v>154.82629580000014</v>
      </c>
      <c r="W604" s="22">
        <f t="shared" si="92"/>
        <v>0.15684230033454796</v>
      </c>
      <c r="X604" s="28" t="str">
        <f>TEXT(B604,"MMM-YYYY")</f>
        <v>Aug-2025</v>
      </c>
      <c r="Y604" s="7" t="str">
        <f t="shared" si="97"/>
        <v>Q3-2025</v>
      </c>
      <c r="Z604" s="7" t="str">
        <f t="shared" si="98"/>
        <v>Low Price</v>
      </c>
      <c r="AA604" s="7" t="str">
        <f t="shared" si="99"/>
        <v>Q3</v>
      </c>
      <c r="AB604" s="28" t="str">
        <f t="shared" si="100"/>
        <v>Aug</v>
      </c>
      <c r="AC604" s="28" t="str">
        <f t="shared" si="101"/>
        <v>2025</v>
      </c>
    </row>
    <row r="605" spans="1:29" x14ac:dyDescent="0.25">
      <c r="A605" s="4" t="s">
        <v>617</v>
      </c>
      <c r="B605" s="14">
        <v>45793</v>
      </c>
      <c r="C605" s="14">
        <v>45795</v>
      </c>
      <c r="D605" s="16">
        <f t="shared" si="93"/>
        <v>2</v>
      </c>
      <c r="E605" s="4" t="s">
        <v>647</v>
      </c>
      <c r="F605" s="4" t="s">
        <v>652</v>
      </c>
      <c r="G605" s="4" t="s">
        <v>689</v>
      </c>
      <c r="H605" s="4" t="s">
        <v>706</v>
      </c>
      <c r="I605" s="4" t="s">
        <v>707</v>
      </c>
      <c r="J605" s="4" t="s">
        <v>713</v>
      </c>
      <c r="K605" s="4" t="s">
        <v>728</v>
      </c>
      <c r="L605" s="4" t="s">
        <v>1335</v>
      </c>
      <c r="M605" s="9">
        <v>17</v>
      </c>
      <c r="N605" s="16">
        <f>ROUND(IF('Dashboard Visualization'!$U$3="",'Working Data'!$M605,'Working Data'!$M605*(100% +'Dashboard Visualization'!$U$3)),0)</f>
        <v>17</v>
      </c>
      <c r="O605" s="19">
        <v>1144.3800000000001</v>
      </c>
      <c r="P605" s="20">
        <f>IF('Dashboard Visualization'!$U$2="",'Working Data'!$O605*'Working Data'!$N605,'Working Data'!$O605*'Working Data'!$N605*(100%+'Dashboard Visualization'!$U$2))</f>
        <v>19454.460000000003</v>
      </c>
      <c r="Q605" s="19">
        <v>2755.04</v>
      </c>
      <c r="R605" s="20">
        <f t="shared" si="94"/>
        <v>2341.7840000000001</v>
      </c>
      <c r="S605" s="11">
        <v>0.15</v>
      </c>
      <c r="T605" s="22">
        <f>IF('Dashboard Visualization'!$U$1="",$S605,IF(S605&gt;'Dashboard Visualization'!$U$1,'Dashboard Visualization'!$U$1,S605))</f>
        <v>0.15</v>
      </c>
      <c r="U605" s="20">
        <f t="shared" si="95"/>
        <v>33838.7788</v>
      </c>
      <c r="V605" s="20">
        <f t="shared" si="96"/>
        <v>14384.318799999997</v>
      </c>
      <c r="W605" s="22">
        <f t="shared" si="92"/>
        <v>0.4250838626599609</v>
      </c>
      <c r="X605" s="28" t="str">
        <f>TEXT(B605,"MMM-YYYY")</f>
        <v>May-2025</v>
      </c>
      <c r="Y605" s="7" t="str">
        <f t="shared" si="97"/>
        <v>Q2-2025</v>
      </c>
      <c r="Z605" s="7" t="str">
        <f t="shared" si="98"/>
        <v>Medium Price</v>
      </c>
      <c r="AA605" s="7" t="str">
        <f t="shared" si="99"/>
        <v>Q2</v>
      </c>
      <c r="AB605" s="28" t="str">
        <f t="shared" si="100"/>
        <v>May</v>
      </c>
      <c r="AC605" s="28" t="str">
        <f t="shared" si="101"/>
        <v>2025</v>
      </c>
    </row>
    <row r="606" spans="1:29" x14ac:dyDescent="0.25">
      <c r="A606" s="4" t="s">
        <v>618</v>
      </c>
      <c r="B606" s="14">
        <v>45026</v>
      </c>
      <c r="C606" s="14">
        <v>45041</v>
      </c>
      <c r="D606" s="16">
        <f t="shared" si="93"/>
        <v>15</v>
      </c>
      <c r="E606" s="4" t="s">
        <v>649</v>
      </c>
      <c r="F606" s="4" t="s">
        <v>658</v>
      </c>
      <c r="G606" s="4" t="s">
        <v>683</v>
      </c>
      <c r="H606" s="4" t="s">
        <v>705</v>
      </c>
      <c r="I606" s="4" t="s">
        <v>707</v>
      </c>
      <c r="J606" s="4" t="s">
        <v>726</v>
      </c>
      <c r="K606" s="4" t="s">
        <v>728</v>
      </c>
      <c r="L606" s="4" t="s">
        <v>1336</v>
      </c>
      <c r="M606" s="9">
        <v>7</v>
      </c>
      <c r="N606" s="16">
        <f>ROUND(IF('Dashboard Visualization'!$U$3="",'Working Data'!$M606,'Working Data'!$M606*(100% +'Dashboard Visualization'!$U$3)),0)</f>
        <v>7</v>
      </c>
      <c r="O606" s="19">
        <v>405.66</v>
      </c>
      <c r="P606" s="20">
        <f>IF('Dashboard Visualization'!$U$2="",'Working Data'!$O606*'Working Data'!$N606,'Working Data'!$O606*'Working Data'!$N606*(100%+'Dashboard Visualization'!$U$2))</f>
        <v>2839.6200000000003</v>
      </c>
      <c r="Q606" s="19">
        <v>962.51</v>
      </c>
      <c r="R606" s="20">
        <f t="shared" si="94"/>
        <v>779.63310000000001</v>
      </c>
      <c r="S606" s="11">
        <v>0.19</v>
      </c>
      <c r="T606" s="22">
        <f>IF('Dashboard Visualization'!$U$1="",$S606,IF(S606&gt;'Dashboard Visualization'!$U$1,'Dashboard Visualization'!$U$1,S606))</f>
        <v>0.19</v>
      </c>
      <c r="U606" s="20">
        <f t="shared" si="95"/>
        <v>4420.5196770000002</v>
      </c>
      <c r="V606" s="20">
        <f t="shared" si="96"/>
        <v>1580.8996769999999</v>
      </c>
      <c r="W606" s="22">
        <f t="shared" si="92"/>
        <v>0.35762756248443678</v>
      </c>
      <c r="X606" s="28" t="str">
        <f>TEXT(B606,"MMM-YYYY")</f>
        <v>Apr-2023</v>
      </c>
      <c r="Y606" s="7" t="str">
        <f t="shared" si="97"/>
        <v>Q2-2023</v>
      </c>
      <c r="Z606" s="7" t="str">
        <f t="shared" si="98"/>
        <v>High Price</v>
      </c>
      <c r="AA606" s="7" t="str">
        <f t="shared" si="99"/>
        <v>Q2</v>
      </c>
      <c r="AB606" s="28" t="str">
        <f t="shared" si="100"/>
        <v>Apr</v>
      </c>
      <c r="AC606" s="28" t="str">
        <f t="shared" si="101"/>
        <v>2023</v>
      </c>
    </row>
    <row r="607" spans="1:29" x14ac:dyDescent="0.25">
      <c r="A607" s="4" t="s">
        <v>619</v>
      </c>
      <c r="B607" s="14">
        <v>45186</v>
      </c>
      <c r="C607" s="14">
        <v>45201</v>
      </c>
      <c r="D607" s="16">
        <f t="shared" si="93"/>
        <v>15</v>
      </c>
      <c r="E607" s="4" t="s">
        <v>648</v>
      </c>
      <c r="F607" s="4" t="s">
        <v>655</v>
      </c>
      <c r="G607" s="4" t="s">
        <v>692</v>
      </c>
      <c r="H607" s="4" t="s">
        <v>705</v>
      </c>
      <c r="I607" s="4" t="s">
        <v>707</v>
      </c>
      <c r="J607" s="4" t="s">
        <v>717</v>
      </c>
      <c r="K607" s="4" t="s">
        <v>731</v>
      </c>
      <c r="L607" s="4" t="s">
        <v>1337</v>
      </c>
      <c r="M607" s="9">
        <v>13</v>
      </c>
      <c r="N607" s="16">
        <f>ROUND(IF('Dashboard Visualization'!$U$3="",'Working Data'!$M607,'Working Data'!$M607*(100% +'Dashboard Visualization'!$U$3)),0)</f>
        <v>13</v>
      </c>
      <c r="O607" s="19">
        <v>689.33</v>
      </c>
      <c r="P607" s="20">
        <f>IF('Dashboard Visualization'!$U$2="",'Working Data'!$O607*'Working Data'!$N607,'Working Data'!$O607*'Working Data'!$N607*(100%+'Dashboard Visualization'!$U$2))</f>
        <v>8961.2900000000009</v>
      </c>
      <c r="Q607" s="19">
        <v>668.27</v>
      </c>
      <c r="R607" s="20">
        <f t="shared" si="94"/>
        <v>543.97177999999997</v>
      </c>
      <c r="S607" s="11">
        <v>0.186</v>
      </c>
      <c r="T607" s="22">
        <f>IF('Dashboard Visualization'!$U$1="",$S607,IF(S607&gt;'Dashboard Visualization'!$U$1,'Dashboard Visualization'!$U$1,S607))</f>
        <v>0.186</v>
      </c>
      <c r="U607" s="20">
        <f t="shared" si="95"/>
        <v>5756.3093759599997</v>
      </c>
      <c r="V607" s="20">
        <f t="shared" si="96"/>
        <v>-3204.9806240400012</v>
      </c>
      <c r="W607" s="22">
        <f t="shared" si="92"/>
        <v>0</v>
      </c>
      <c r="X607" s="28" t="str">
        <f>TEXT(B607,"MMM-YYYY")</f>
        <v>Sep-2023</v>
      </c>
      <c r="Y607" s="7" t="str">
        <f t="shared" si="97"/>
        <v>Q3-2023</v>
      </c>
      <c r="Z607" s="7" t="str">
        <f t="shared" si="98"/>
        <v>High Price</v>
      </c>
      <c r="AA607" s="7" t="str">
        <f t="shared" si="99"/>
        <v>Q3</v>
      </c>
      <c r="AB607" s="28" t="str">
        <f t="shared" si="100"/>
        <v>Sep</v>
      </c>
      <c r="AC607" s="28" t="str">
        <f t="shared" si="101"/>
        <v>2023</v>
      </c>
    </row>
    <row r="608" spans="1:29" x14ac:dyDescent="0.25">
      <c r="A608" s="4" t="s">
        <v>620</v>
      </c>
      <c r="B608" s="14">
        <v>45038</v>
      </c>
      <c r="C608" s="14">
        <v>45060</v>
      </c>
      <c r="D608" s="16">
        <f t="shared" si="93"/>
        <v>22</v>
      </c>
      <c r="E608" s="4" t="s">
        <v>647</v>
      </c>
      <c r="F608" s="4" t="s">
        <v>652</v>
      </c>
      <c r="G608" s="4" t="s">
        <v>694</v>
      </c>
      <c r="H608" s="4" t="s">
        <v>706</v>
      </c>
      <c r="I608" s="4" t="s">
        <v>707</v>
      </c>
      <c r="J608" s="4" t="s">
        <v>720</v>
      </c>
      <c r="K608" s="4" t="s">
        <v>733</v>
      </c>
      <c r="L608" s="4" t="s">
        <v>1338</v>
      </c>
      <c r="M608" s="9">
        <v>11</v>
      </c>
      <c r="N608" s="16">
        <f>ROUND(IF('Dashboard Visualization'!$U$3="",'Working Data'!$M608,'Working Data'!$M608*(100% +'Dashboard Visualization'!$U$3)),0)</f>
        <v>11</v>
      </c>
      <c r="O608" s="19">
        <v>1209.22</v>
      </c>
      <c r="P608" s="20">
        <f>IF('Dashboard Visualization'!$U$2="",'Working Data'!$O608*'Working Data'!$N608,'Working Data'!$O608*'Working Data'!$N608*(100%+'Dashboard Visualization'!$U$2))</f>
        <v>13301.42</v>
      </c>
      <c r="Q608" s="19">
        <v>1404.33</v>
      </c>
      <c r="R608" s="20">
        <f t="shared" si="94"/>
        <v>1259.6840099999999</v>
      </c>
      <c r="S608" s="11">
        <v>0.10299999999999999</v>
      </c>
      <c r="T608" s="22">
        <f>IF('Dashboard Visualization'!$U$1="",$S608,IF(S608&gt;'Dashboard Visualization'!$U$1,'Dashboard Visualization'!$U$1,S608))</f>
        <v>0.10299999999999999</v>
      </c>
      <c r="U608" s="20">
        <f t="shared" si="95"/>
        <v>12429.302126670002</v>
      </c>
      <c r="V608" s="20">
        <f t="shared" si="96"/>
        <v>-872.11787332999847</v>
      </c>
      <c r="W608" s="22">
        <f t="shared" si="92"/>
        <v>0</v>
      </c>
      <c r="X608" s="28" t="str">
        <f>TEXT(B608,"MMM-YYYY")</f>
        <v>Apr-2023</v>
      </c>
      <c r="Y608" s="7" t="str">
        <f t="shared" si="97"/>
        <v>Q2-2023</v>
      </c>
      <c r="Z608" s="7" t="str">
        <f t="shared" si="98"/>
        <v>High Price</v>
      </c>
      <c r="AA608" s="7" t="str">
        <f t="shared" si="99"/>
        <v>Q2</v>
      </c>
      <c r="AB608" s="28" t="str">
        <f t="shared" si="100"/>
        <v>Apr</v>
      </c>
      <c r="AC608" s="28" t="str">
        <f t="shared" si="101"/>
        <v>2023</v>
      </c>
    </row>
    <row r="609" spans="1:29" x14ac:dyDescent="0.25">
      <c r="A609" s="4" t="s">
        <v>621</v>
      </c>
      <c r="B609" s="14">
        <v>45827</v>
      </c>
      <c r="C609" s="14">
        <v>45829</v>
      </c>
      <c r="D609" s="16">
        <f t="shared" si="93"/>
        <v>2</v>
      </c>
      <c r="E609" s="4" t="s">
        <v>646</v>
      </c>
      <c r="F609" s="4" t="s">
        <v>661</v>
      </c>
      <c r="G609" s="4" t="s">
        <v>682</v>
      </c>
      <c r="H609" s="4" t="s">
        <v>705</v>
      </c>
      <c r="I609" s="12" t="s">
        <v>1430</v>
      </c>
      <c r="J609" s="4" t="s">
        <v>722</v>
      </c>
      <c r="K609" s="4" t="s">
        <v>730</v>
      </c>
      <c r="L609" s="4" t="s">
        <v>1339</v>
      </c>
      <c r="M609" s="9">
        <v>9</v>
      </c>
      <c r="N609" s="16">
        <f>ROUND(IF('Dashboard Visualization'!$U$3="",'Working Data'!$M609,'Working Data'!$M609*(100% +'Dashboard Visualization'!$U$3)),0)</f>
        <v>9</v>
      </c>
      <c r="O609" s="19">
        <v>1466.27</v>
      </c>
      <c r="P609" s="20">
        <f>IF('Dashboard Visualization'!$U$2="",'Working Data'!$O609*'Working Data'!$N609,'Working Data'!$O609*'Working Data'!$N609*(100%+'Dashboard Visualization'!$U$2))</f>
        <v>13196.43</v>
      </c>
      <c r="Q609" s="19">
        <v>3589.89</v>
      </c>
      <c r="R609" s="20">
        <f t="shared" si="94"/>
        <v>3241.67067</v>
      </c>
      <c r="S609" s="11">
        <v>9.7000000000000003E-2</v>
      </c>
      <c r="T609" s="22">
        <f>IF('Dashboard Visualization'!$U$1="",$S609,IF(S609&gt;'Dashboard Visualization'!$U$1,'Dashboard Visualization'!$U$1,S609))</f>
        <v>9.7000000000000003E-2</v>
      </c>
      <c r="U609" s="20">
        <f t="shared" si="95"/>
        <v>26345.05753509</v>
      </c>
      <c r="V609" s="20">
        <f t="shared" si="96"/>
        <v>13148.62753509</v>
      </c>
      <c r="W609" s="22">
        <f t="shared" si="92"/>
        <v>0.49909276218420989</v>
      </c>
      <c r="X609" s="28" t="str">
        <f>TEXT(B609,"MMM-YYYY")</f>
        <v>Jun-2025</v>
      </c>
      <c r="Y609" s="7" t="str">
        <f t="shared" si="97"/>
        <v>Q2-2025</v>
      </c>
      <c r="Z609" s="7" t="str">
        <f t="shared" si="98"/>
        <v>Medium Price</v>
      </c>
      <c r="AA609" s="7" t="str">
        <f t="shared" si="99"/>
        <v>Q2</v>
      </c>
      <c r="AB609" s="28" t="str">
        <f t="shared" si="100"/>
        <v>Jun</v>
      </c>
      <c r="AC609" s="28" t="str">
        <f t="shared" si="101"/>
        <v>2025</v>
      </c>
    </row>
    <row r="610" spans="1:29" x14ac:dyDescent="0.25">
      <c r="A610" s="4" t="s">
        <v>622</v>
      </c>
      <c r="B610" s="14">
        <v>45623</v>
      </c>
      <c r="C610" s="14">
        <v>45650</v>
      </c>
      <c r="D610" s="16">
        <f t="shared" si="93"/>
        <v>27</v>
      </c>
      <c r="E610" s="4" t="s">
        <v>646</v>
      </c>
      <c r="F610" s="4" t="s">
        <v>650</v>
      </c>
      <c r="G610" s="4" t="s">
        <v>675</v>
      </c>
      <c r="H610" s="4" t="s">
        <v>701</v>
      </c>
      <c r="I610" s="4" t="s">
        <v>710</v>
      </c>
      <c r="J610" s="4" t="s">
        <v>717</v>
      </c>
      <c r="K610" s="4" t="s">
        <v>728</v>
      </c>
      <c r="L610" s="4" t="s">
        <v>1340</v>
      </c>
      <c r="M610" s="9">
        <v>14</v>
      </c>
      <c r="N610" s="16">
        <f>ROUND(IF('Dashboard Visualization'!$U$3="",'Working Data'!$M610,'Working Data'!$M610*(100% +'Dashboard Visualization'!$U$3)),0)</f>
        <v>14</v>
      </c>
      <c r="O610" s="19">
        <v>143.33000000000001</v>
      </c>
      <c r="P610" s="20">
        <f>IF('Dashboard Visualization'!$U$2="",'Working Data'!$O610*'Working Data'!$N610,'Working Data'!$O610*'Working Data'!$N610*(100%+'Dashboard Visualization'!$U$2))</f>
        <v>2006.6200000000001</v>
      </c>
      <c r="Q610" s="19">
        <v>233.51</v>
      </c>
      <c r="R610" s="20">
        <f t="shared" si="94"/>
        <v>195.44786999999999</v>
      </c>
      <c r="S610" s="11">
        <v>0.16300000000000001</v>
      </c>
      <c r="T610" s="22">
        <f>IF('Dashboard Visualization'!$U$1="",$S610,IF(S610&gt;'Dashboard Visualization'!$U$1,'Dashboard Visualization'!$U$1,S610))</f>
        <v>0.16300000000000001</v>
      </c>
      <c r="U610" s="20">
        <f t="shared" si="95"/>
        <v>2290.2581406599998</v>
      </c>
      <c r="V610" s="20">
        <f t="shared" si="96"/>
        <v>283.63814065999964</v>
      </c>
      <c r="W610" s="22">
        <f t="shared" si="92"/>
        <v>0.12384548956488443</v>
      </c>
      <c r="X610" s="28" t="str">
        <f>TEXT(B610,"MMM-YYYY")</f>
        <v>Nov-2024</v>
      </c>
      <c r="Y610" s="7" t="str">
        <f t="shared" si="97"/>
        <v>Q4-2024</v>
      </c>
      <c r="Z610" s="7" t="str">
        <f t="shared" si="98"/>
        <v>Low Price</v>
      </c>
      <c r="AA610" s="7" t="str">
        <f t="shared" si="99"/>
        <v>Q4</v>
      </c>
      <c r="AB610" s="28" t="str">
        <f t="shared" si="100"/>
        <v>Nov</v>
      </c>
      <c r="AC610" s="28" t="str">
        <f t="shared" si="101"/>
        <v>2024</v>
      </c>
    </row>
    <row r="611" spans="1:29" x14ac:dyDescent="0.25">
      <c r="A611" s="4" t="s">
        <v>623</v>
      </c>
      <c r="B611" s="14">
        <v>45319</v>
      </c>
      <c r="C611" s="14">
        <v>45318</v>
      </c>
      <c r="D611" s="16" t="str">
        <f t="shared" si="93"/>
        <v/>
      </c>
      <c r="E611" s="4" t="s">
        <v>646</v>
      </c>
      <c r="F611" s="4" t="s">
        <v>661</v>
      </c>
      <c r="G611" s="4" t="s">
        <v>695</v>
      </c>
      <c r="H611" s="4" t="s">
        <v>706</v>
      </c>
      <c r="I611" s="4" t="s">
        <v>711</v>
      </c>
      <c r="J611" s="4" t="s">
        <v>719</v>
      </c>
      <c r="K611" s="4" t="s">
        <v>727</v>
      </c>
      <c r="L611" s="4" t="s">
        <v>1341</v>
      </c>
      <c r="M611" s="9">
        <v>19</v>
      </c>
      <c r="N611" s="16">
        <f>ROUND(IF('Dashboard Visualization'!$U$3="",'Working Data'!$M611,'Working Data'!$M611*(100% +'Dashboard Visualization'!$U$3)),0)</f>
        <v>19</v>
      </c>
      <c r="O611" s="19">
        <v>109.75</v>
      </c>
      <c r="P611" s="20">
        <f>IF('Dashboard Visualization'!$U$2="",'Working Data'!$O611*'Working Data'!$N611,'Working Data'!$O611*'Working Data'!$N611*(100%+'Dashboard Visualization'!$U$2))</f>
        <v>2085.25</v>
      </c>
      <c r="Q611" s="19">
        <v>124.25</v>
      </c>
      <c r="R611" s="20">
        <f t="shared" si="94"/>
        <v>109.34</v>
      </c>
      <c r="S611" s="11">
        <v>0.12</v>
      </c>
      <c r="T611" s="22">
        <f>IF('Dashboard Visualization'!$U$1="",$S611,IF(S611&gt;'Dashboard Visualization'!$U$1,'Dashboard Visualization'!$U$1,S611))</f>
        <v>0.12</v>
      </c>
      <c r="U611" s="20">
        <f t="shared" si="95"/>
        <v>1828.1648</v>
      </c>
      <c r="V611" s="20">
        <f t="shared" si="96"/>
        <v>-257.08519999999999</v>
      </c>
      <c r="W611" s="22">
        <f t="shared" si="92"/>
        <v>0</v>
      </c>
      <c r="X611" s="28" t="str">
        <f>TEXT(B611,"MMM-YYYY")</f>
        <v>Jan-2024</v>
      </c>
      <c r="Y611" s="7" t="str">
        <f t="shared" si="97"/>
        <v>Q1-2024</v>
      </c>
      <c r="Z611" s="7" t="str">
        <f t="shared" si="98"/>
        <v>Low Price</v>
      </c>
      <c r="AA611" s="7" t="str">
        <f t="shared" si="99"/>
        <v>Q1</v>
      </c>
      <c r="AB611" s="28" t="str">
        <f t="shared" si="100"/>
        <v>Jan</v>
      </c>
      <c r="AC611" s="28" t="str">
        <f t="shared" si="101"/>
        <v>2024</v>
      </c>
    </row>
    <row r="612" spans="1:29" x14ac:dyDescent="0.25">
      <c r="A612" s="4" t="s">
        <v>624</v>
      </c>
      <c r="B612" s="14">
        <v>45032</v>
      </c>
      <c r="C612" s="14">
        <v>45039</v>
      </c>
      <c r="D612" s="16">
        <f t="shared" si="93"/>
        <v>7</v>
      </c>
      <c r="E612" s="4" t="s">
        <v>648</v>
      </c>
      <c r="F612" s="4" t="s">
        <v>660</v>
      </c>
      <c r="G612" s="4" t="s">
        <v>697</v>
      </c>
      <c r="H612" s="4" t="s">
        <v>701</v>
      </c>
      <c r="I612" s="4" t="s">
        <v>710</v>
      </c>
      <c r="J612" s="4" t="s">
        <v>719</v>
      </c>
      <c r="K612" s="4" t="s">
        <v>728</v>
      </c>
      <c r="L612" s="4" t="s">
        <v>1342</v>
      </c>
      <c r="M612" s="9">
        <v>8</v>
      </c>
      <c r="N612" s="16">
        <f>ROUND(IF('Dashboard Visualization'!$U$3="",'Working Data'!$M612,'Working Data'!$M612*(100% +'Dashboard Visualization'!$U$3)),0)</f>
        <v>8</v>
      </c>
      <c r="O612" s="19">
        <v>1099.1500000000001</v>
      </c>
      <c r="P612" s="20">
        <f>IF('Dashboard Visualization'!$U$2="",'Working Data'!$O612*'Working Data'!$N612,'Working Data'!$O612*'Working Data'!$N612*(100%+'Dashboard Visualization'!$U$2))</f>
        <v>8793.2000000000007</v>
      </c>
      <c r="Q612" s="19">
        <v>1431.37</v>
      </c>
      <c r="R612" s="20">
        <f t="shared" si="94"/>
        <v>1282.5075199999999</v>
      </c>
      <c r="S612" s="11">
        <v>0.104</v>
      </c>
      <c r="T612" s="22">
        <f>IF('Dashboard Visualization'!$U$1="",$S612,IF(S612&gt;'Dashboard Visualization'!$U$1,'Dashboard Visualization'!$U$1,S612))</f>
        <v>0.104</v>
      </c>
      <c r="U612" s="20">
        <f t="shared" si="95"/>
        <v>9193.0139033599989</v>
      </c>
      <c r="V612" s="20">
        <f t="shared" si="96"/>
        <v>399.81390335999822</v>
      </c>
      <c r="W612" s="22">
        <f t="shared" si="92"/>
        <v>4.3491058271310598E-2</v>
      </c>
      <c r="X612" s="28" t="str">
        <f>TEXT(B612,"MMM-YYYY")</f>
        <v>Apr-2023</v>
      </c>
      <c r="Y612" s="7" t="str">
        <f t="shared" si="97"/>
        <v>Q2-2023</v>
      </c>
      <c r="Z612" s="7" t="str">
        <f t="shared" si="98"/>
        <v>High Price</v>
      </c>
      <c r="AA612" s="7" t="str">
        <f t="shared" si="99"/>
        <v>Q2</v>
      </c>
      <c r="AB612" s="28" t="str">
        <f t="shared" si="100"/>
        <v>Apr</v>
      </c>
      <c r="AC612" s="28" t="str">
        <f t="shared" si="101"/>
        <v>2023</v>
      </c>
    </row>
    <row r="613" spans="1:29" x14ac:dyDescent="0.25">
      <c r="A613" s="4" t="s">
        <v>625</v>
      </c>
      <c r="B613" s="14">
        <v>45323</v>
      </c>
      <c r="C613" s="14">
        <v>45323</v>
      </c>
      <c r="D613" s="16">
        <f t="shared" si="93"/>
        <v>0</v>
      </c>
      <c r="E613" s="4" t="s">
        <v>648</v>
      </c>
      <c r="F613" s="4" t="s">
        <v>660</v>
      </c>
      <c r="G613" s="4" t="s">
        <v>697</v>
      </c>
      <c r="H613" s="4" t="s">
        <v>704</v>
      </c>
      <c r="I613" s="4" t="s">
        <v>710</v>
      </c>
      <c r="J613" s="4" t="s">
        <v>722</v>
      </c>
      <c r="K613" s="4" t="s">
        <v>728</v>
      </c>
      <c r="L613" s="4" t="s">
        <v>1343</v>
      </c>
      <c r="M613" s="9">
        <v>14</v>
      </c>
      <c r="N613" s="16">
        <f>ROUND(IF('Dashboard Visualization'!$U$3="",'Working Data'!$M613,'Working Data'!$M613*(100% +'Dashboard Visualization'!$U$3)),0)</f>
        <v>14</v>
      </c>
      <c r="O613" s="19">
        <v>714.43</v>
      </c>
      <c r="P613" s="20">
        <f>IF('Dashboard Visualization'!$U$2="",'Working Data'!$O613*'Working Data'!$N613,'Working Data'!$O613*'Working Data'!$N613*(100%+'Dashboard Visualization'!$U$2))</f>
        <v>10002.019999999999</v>
      </c>
      <c r="Q613" s="19">
        <v>1595.52</v>
      </c>
      <c r="R613" s="20">
        <f t="shared" si="94"/>
        <v>1285.98912</v>
      </c>
      <c r="S613" s="11">
        <v>0.19400000000000001</v>
      </c>
      <c r="T613" s="22">
        <f>IF('Dashboard Visualization'!$U$1="",$S613,IF(S613&gt;'Dashboard Visualization'!$U$1,'Dashboard Visualization'!$U$1,S613))</f>
        <v>0.19400000000000001</v>
      </c>
      <c r="U613" s="20">
        <f t="shared" si="95"/>
        <v>14511.101230080001</v>
      </c>
      <c r="V613" s="20">
        <f t="shared" si="96"/>
        <v>4509.0812300800026</v>
      </c>
      <c r="W613" s="22">
        <f t="shared" si="92"/>
        <v>0.3107332213170112</v>
      </c>
      <c r="X613" s="28" t="str">
        <f>TEXT(B613,"MMM-YYYY")</f>
        <v>Feb-2024</v>
      </c>
      <c r="Y613" s="7" t="str">
        <f t="shared" si="97"/>
        <v>Q1-2024</v>
      </c>
      <c r="Z613" s="7" t="str">
        <f t="shared" si="98"/>
        <v>High Price</v>
      </c>
      <c r="AA613" s="7" t="str">
        <f t="shared" si="99"/>
        <v>Q1</v>
      </c>
      <c r="AB613" s="28" t="str">
        <f t="shared" si="100"/>
        <v>Feb</v>
      </c>
      <c r="AC613" s="28" t="str">
        <f t="shared" si="101"/>
        <v>2024</v>
      </c>
    </row>
    <row r="614" spans="1:29" x14ac:dyDescent="0.25">
      <c r="A614" s="4" t="s">
        <v>626</v>
      </c>
      <c r="B614" s="14">
        <v>45584</v>
      </c>
      <c r="C614" s="14">
        <v>45602</v>
      </c>
      <c r="D614" s="16">
        <f t="shared" si="93"/>
        <v>18</v>
      </c>
      <c r="E614" s="4" t="s">
        <v>648</v>
      </c>
      <c r="F614" s="4" t="s">
        <v>660</v>
      </c>
      <c r="G614" s="4" t="s">
        <v>677</v>
      </c>
      <c r="H614" s="4" t="s">
        <v>702</v>
      </c>
      <c r="I614" s="12" t="s">
        <v>1430</v>
      </c>
      <c r="J614" s="4" t="s">
        <v>712</v>
      </c>
      <c r="K614" s="4" t="s">
        <v>732</v>
      </c>
      <c r="L614" s="4" t="s">
        <v>1344</v>
      </c>
      <c r="M614" s="9">
        <v>9</v>
      </c>
      <c r="N614" s="16">
        <f>ROUND(IF('Dashboard Visualization'!$U$3="",'Working Data'!$M614,'Working Data'!$M614*(100% +'Dashboard Visualization'!$U$3)),0)</f>
        <v>9</v>
      </c>
      <c r="O614" s="19">
        <v>942.02</v>
      </c>
      <c r="P614" s="20">
        <f>IF('Dashboard Visualization'!$U$2="",'Working Data'!$O614*'Working Data'!$N614,'Working Data'!$O614*'Working Data'!$N614*(100%+'Dashboard Visualization'!$U$2))</f>
        <v>8478.18</v>
      </c>
      <c r="Q614" s="19">
        <v>1028.46</v>
      </c>
      <c r="R614" s="20">
        <f t="shared" si="94"/>
        <v>1028.46</v>
      </c>
      <c r="S614" s="11">
        <v>0</v>
      </c>
      <c r="T614" s="22">
        <f>IF('Dashboard Visualization'!$U$1="",$S614,IF(S614&gt;'Dashboard Visualization'!$U$1,'Dashboard Visualization'!$U$1,S614))</f>
        <v>0</v>
      </c>
      <c r="U614" s="20">
        <f t="shared" si="95"/>
        <v>9256.14</v>
      </c>
      <c r="V614" s="20">
        <f t="shared" si="96"/>
        <v>777.95999999999913</v>
      </c>
      <c r="W614" s="22">
        <f t="shared" si="92"/>
        <v>8.4047994088248354E-2</v>
      </c>
      <c r="X614" s="28" t="str">
        <f>TEXT(B614,"MMM-YYYY")</f>
        <v>Oct-2024</v>
      </c>
      <c r="Y614" s="7" t="str">
        <f t="shared" si="97"/>
        <v>Q4-2024</v>
      </c>
      <c r="Z614" s="7" t="str">
        <f t="shared" si="98"/>
        <v>High Price</v>
      </c>
      <c r="AA614" s="7" t="str">
        <f t="shared" si="99"/>
        <v>Q4</v>
      </c>
      <c r="AB614" s="28" t="str">
        <f t="shared" si="100"/>
        <v>Oct</v>
      </c>
      <c r="AC614" s="28" t="str">
        <f t="shared" si="101"/>
        <v>2024</v>
      </c>
    </row>
    <row r="615" spans="1:29" x14ac:dyDescent="0.25">
      <c r="A615" s="4" t="s">
        <v>627</v>
      </c>
      <c r="B615" s="14">
        <v>45468</v>
      </c>
      <c r="C615" s="14">
        <v>45473</v>
      </c>
      <c r="D615" s="16">
        <f t="shared" si="93"/>
        <v>5</v>
      </c>
      <c r="E615" s="4" t="s">
        <v>646</v>
      </c>
      <c r="F615" s="4" t="s">
        <v>650</v>
      </c>
      <c r="G615" s="4" t="s">
        <v>662</v>
      </c>
      <c r="H615" s="4" t="s">
        <v>702</v>
      </c>
      <c r="I615" s="4" t="s">
        <v>711</v>
      </c>
      <c r="J615" s="4" t="s">
        <v>724</v>
      </c>
      <c r="K615" s="4" t="s">
        <v>729</v>
      </c>
      <c r="L615" s="4" t="s">
        <v>1345</v>
      </c>
      <c r="M615" s="9">
        <v>26</v>
      </c>
      <c r="N615" s="16">
        <f>ROUND(IF('Dashboard Visualization'!$U$3="",'Working Data'!$M615,'Working Data'!$M615*(100% +'Dashboard Visualization'!$U$3)),0)</f>
        <v>26</v>
      </c>
      <c r="O615" s="19">
        <v>1323.55</v>
      </c>
      <c r="P615" s="20">
        <f>IF('Dashboard Visualization'!$U$2="",'Working Data'!$O615*'Working Data'!$N615,'Working Data'!$O615*'Working Data'!$N615*(100%+'Dashboard Visualization'!$U$2))</f>
        <v>34412.299999999996</v>
      </c>
      <c r="Q615" s="19">
        <v>3230.35</v>
      </c>
      <c r="R615" s="20">
        <f t="shared" si="94"/>
        <v>3159.2822999999999</v>
      </c>
      <c r="S615" s="11">
        <v>2.1999999999999999E-2</v>
      </c>
      <c r="T615" s="22">
        <f>IF('Dashboard Visualization'!$U$1="",$S615,IF(S615&gt;'Dashboard Visualization'!$U$1,'Dashboard Visualization'!$U$1,S615))</f>
        <v>2.1999999999999999E-2</v>
      </c>
      <c r="U615" s="20">
        <f t="shared" si="95"/>
        <v>80334.230324399992</v>
      </c>
      <c r="V615" s="20">
        <f t="shared" si="96"/>
        <v>45921.930324399997</v>
      </c>
      <c r="W615" s="22">
        <f t="shared" si="92"/>
        <v>0.57163590338715287</v>
      </c>
      <c r="X615" s="28" t="str">
        <f>TEXT(B615,"MMM-YYYY")</f>
        <v>Jun-2024</v>
      </c>
      <c r="Y615" s="7" t="str">
        <f t="shared" si="97"/>
        <v>Q2-2024</v>
      </c>
      <c r="Z615" s="7" t="str">
        <f t="shared" si="98"/>
        <v>Medium Price</v>
      </c>
      <c r="AA615" s="7" t="str">
        <f t="shared" si="99"/>
        <v>Q2</v>
      </c>
      <c r="AB615" s="28" t="str">
        <f t="shared" si="100"/>
        <v>Jun</v>
      </c>
      <c r="AC615" s="28" t="str">
        <f t="shared" si="101"/>
        <v>2024</v>
      </c>
    </row>
    <row r="616" spans="1:29" x14ac:dyDescent="0.25">
      <c r="A616" s="4" t="s">
        <v>628</v>
      </c>
      <c r="B616" s="14">
        <v>45137</v>
      </c>
      <c r="C616" s="14">
        <v>45157</v>
      </c>
      <c r="D616" s="16">
        <f t="shared" si="93"/>
        <v>20</v>
      </c>
      <c r="E616" s="4" t="s">
        <v>649</v>
      </c>
      <c r="F616" s="4" t="s">
        <v>657</v>
      </c>
      <c r="G616" s="4" t="s">
        <v>690</v>
      </c>
      <c r="H616" s="4" t="s">
        <v>706</v>
      </c>
      <c r="I616" s="4" t="s">
        <v>709</v>
      </c>
      <c r="J616" s="4" t="s">
        <v>715</v>
      </c>
      <c r="K616" s="4" t="s">
        <v>729</v>
      </c>
      <c r="L616" s="4" t="s">
        <v>1346</v>
      </c>
      <c r="M616" s="9">
        <v>8</v>
      </c>
      <c r="N616" s="16">
        <f>ROUND(IF('Dashboard Visualization'!$U$3="",'Working Data'!$M616,'Working Data'!$M616*(100% +'Dashboard Visualization'!$U$3)),0)</f>
        <v>8</v>
      </c>
      <c r="O616" s="19">
        <v>1418.51</v>
      </c>
      <c r="P616" s="20">
        <f>IF('Dashboard Visualization'!$U$2="",'Working Data'!$O616*'Working Data'!$N616,'Working Data'!$O616*'Working Data'!$N616*(100%+'Dashboard Visualization'!$U$2))</f>
        <v>11348.08</v>
      </c>
      <c r="Q616" s="19">
        <v>2789.61</v>
      </c>
      <c r="R616" s="20">
        <f t="shared" si="94"/>
        <v>2312.5866900000001</v>
      </c>
      <c r="S616" s="11">
        <v>0.17100000000000001</v>
      </c>
      <c r="T616" s="22">
        <f>IF('Dashboard Visualization'!$U$1="",$S616,IF(S616&gt;'Dashboard Visualization'!$U$1,'Dashboard Visualization'!$U$1,S616))</f>
        <v>0.17100000000000001</v>
      </c>
      <c r="U616" s="20">
        <f t="shared" si="95"/>
        <v>15337.074928079999</v>
      </c>
      <c r="V616" s="20">
        <f t="shared" si="96"/>
        <v>3988.9949280799992</v>
      </c>
      <c r="W616" s="22">
        <f t="shared" si="92"/>
        <v>0.26008837713746302</v>
      </c>
      <c r="X616" s="28" t="str">
        <f>TEXT(B616,"MMM-YYYY")</f>
        <v>Jul-2023</v>
      </c>
      <c r="Y616" s="7" t="str">
        <f t="shared" si="97"/>
        <v>Q3-2023</v>
      </c>
      <c r="Z616" s="7" t="str">
        <f t="shared" si="98"/>
        <v>Medium Price</v>
      </c>
      <c r="AA616" s="7" t="str">
        <f t="shared" si="99"/>
        <v>Q3</v>
      </c>
      <c r="AB616" s="28" t="str">
        <f t="shared" si="100"/>
        <v>Jul</v>
      </c>
      <c r="AC616" s="28" t="str">
        <f t="shared" si="101"/>
        <v>2023</v>
      </c>
    </row>
    <row r="617" spans="1:29" x14ac:dyDescent="0.25">
      <c r="A617" s="4" t="s">
        <v>629</v>
      </c>
      <c r="B617" s="14">
        <v>45727</v>
      </c>
      <c r="C617" s="14">
        <v>45743</v>
      </c>
      <c r="D617" s="16">
        <f t="shared" si="93"/>
        <v>16</v>
      </c>
      <c r="E617" s="4" t="s">
        <v>647</v>
      </c>
      <c r="F617" s="4" t="s">
        <v>652</v>
      </c>
      <c r="G617" s="4" t="s">
        <v>689</v>
      </c>
      <c r="H617" s="4" t="s">
        <v>706</v>
      </c>
      <c r="I617" s="4" t="s">
        <v>710</v>
      </c>
      <c r="J617" s="4" t="s">
        <v>717</v>
      </c>
      <c r="K617" s="4" t="s">
        <v>728</v>
      </c>
      <c r="L617" s="4" t="s">
        <v>1347</v>
      </c>
      <c r="M617" s="9">
        <v>6</v>
      </c>
      <c r="N617" s="16">
        <f>ROUND(IF('Dashboard Visualization'!$U$3="",'Working Data'!$M617,'Working Data'!$M617*(100% +'Dashboard Visualization'!$U$3)),0)</f>
        <v>6</v>
      </c>
      <c r="O617" s="19">
        <v>1317.58</v>
      </c>
      <c r="P617" s="20">
        <f>IF('Dashboard Visualization'!$U$2="",'Working Data'!$O617*'Working Data'!$N617,'Working Data'!$O617*'Working Data'!$N617*(100%+'Dashboard Visualization'!$U$2))</f>
        <v>7905.48</v>
      </c>
      <c r="Q617" s="19">
        <v>1897.74</v>
      </c>
      <c r="R617" s="20">
        <f t="shared" si="94"/>
        <v>1744.02306</v>
      </c>
      <c r="S617" s="11">
        <v>8.1000000000000003E-2</v>
      </c>
      <c r="T617" s="22">
        <f>IF('Dashboard Visualization'!$U$1="",$S617,IF(S617&gt;'Dashboard Visualization'!$U$1,'Dashboard Visualization'!$U$1,S617))</f>
        <v>8.1000000000000003E-2</v>
      </c>
      <c r="U617" s="20">
        <f t="shared" si="95"/>
        <v>9616.5431528400004</v>
      </c>
      <c r="V617" s="20">
        <f t="shared" si="96"/>
        <v>1711.0631528400008</v>
      </c>
      <c r="W617" s="22">
        <f t="shared" si="92"/>
        <v>0.17792912958901266</v>
      </c>
      <c r="X617" s="28" t="str">
        <f>TEXT(B617,"MMM-YYYY")</f>
        <v>Mar-2025</v>
      </c>
      <c r="Y617" s="7" t="str">
        <f t="shared" si="97"/>
        <v>Q1-2025</v>
      </c>
      <c r="Z617" s="7" t="str">
        <f t="shared" si="98"/>
        <v>Medium Price</v>
      </c>
      <c r="AA617" s="7" t="str">
        <f t="shared" si="99"/>
        <v>Q1</v>
      </c>
      <c r="AB617" s="28" t="str">
        <f t="shared" si="100"/>
        <v>Mar</v>
      </c>
      <c r="AC617" s="28" t="str">
        <f t="shared" si="101"/>
        <v>2025</v>
      </c>
    </row>
    <row r="618" spans="1:29" x14ac:dyDescent="0.25">
      <c r="A618" s="4" t="s">
        <v>630</v>
      </c>
      <c r="B618" s="14">
        <v>45208</v>
      </c>
      <c r="C618" s="14">
        <v>45210</v>
      </c>
      <c r="D618" s="16">
        <f t="shared" si="93"/>
        <v>2</v>
      </c>
      <c r="E618" s="4" t="s">
        <v>646</v>
      </c>
      <c r="F618" s="4" t="s">
        <v>651</v>
      </c>
      <c r="G618" s="4" t="s">
        <v>663</v>
      </c>
      <c r="H618" s="4" t="s">
        <v>702</v>
      </c>
      <c r="I618" s="4" t="s">
        <v>709</v>
      </c>
      <c r="J618" s="4" t="s">
        <v>723</v>
      </c>
      <c r="K618" s="4" t="s">
        <v>729</v>
      </c>
      <c r="L618" s="4" t="s">
        <v>1348</v>
      </c>
      <c r="M618" s="9">
        <v>12</v>
      </c>
      <c r="N618" s="16">
        <f>ROUND(IF('Dashboard Visualization'!$U$3="",'Working Data'!$M618,'Working Data'!$M618*(100% +'Dashboard Visualization'!$U$3)),0)</f>
        <v>12</v>
      </c>
      <c r="O618" s="19">
        <v>391.16</v>
      </c>
      <c r="P618" s="20">
        <f>IF('Dashboard Visualization'!$U$2="",'Working Data'!$O618*'Working Data'!$N618,'Working Data'!$O618*'Working Data'!$N618*(100%+'Dashboard Visualization'!$U$2))</f>
        <v>4693.92</v>
      </c>
      <c r="Q618" s="19">
        <v>902.47</v>
      </c>
      <c r="R618" s="20">
        <f t="shared" si="94"/>
        <v>898.86012000000005</v>
      </c>
      <c r="S618" s="11">
        <v>4.0000000000000001E-3</v>
      </c>
      <c r="T618" s="22">
        <f>IF('Dashboard Visualization'!$U$1="",$S618,IF(S618&gt;'Dashboard Visualization'!$U$1,'Dashboard Visualization'!$U$1,S618))</f>
        <v>4.0000000000000001E-3</v>
      </c>
      <c r="U618" s="20">
        <f t="shared" si="95"/>
        <v>10743.176154240002</v>
      </c>
      <c r="V618" s="20">
        <f t="shared" si="96"/>
        <v>6049.2561542400017</v>
      </c>
      <c r="W618" s="22">
        <f t="shared" si="92"/>
        <v>0.56307893190902825</v>
      </c>
      <c r="X618" s="28" t="str">
        <f>TEXT(B618,"MMM-YYYY")</f>
        <v>Oct-2023</v>
      </c>
      <c r="Y618" s="7" t="str">
        <f t="shared" si="97"/>
        <v>Q4-2023</v>
      </c>
      <c r="Z618" s="7" t="str">
        <f t="shared" si="98"/>
        <v>High Price</v>
      </c>
      <c r="AA618" s="7" t="str">
        <f t="shared" si="99"/>
        <v>Q4</v>
      </c>
      <c r="AB618" s="28" t="str">
        <f t="shared" si="100"/>
        <v>Oct</v>
      </c>
      <c r="AC618" s="28" t="str">
        <f t="shared" si="101"/>
        <v>2023</v>
      </c>
    </row>
    <row r="619" spans="1:29" x14ac:dyDescent="0.25">
      <c r="A619" s="4" t="s">
        <v>631</v>
      </c>
      <c r="B619" s="14">
        <v>45643</v>
      </c>
      <c r="C619" s="14">
        <v>45673</v>
      </c>
      <c r="D619" s="16">
        <f t="shared" si="93"/>
        <v>30</v>
      </c>
      <c r="E619" s="4" t="s">
        <v>649</v>
      </c>
      <c r="F619" s="4" t="s">
        <v>658</v>
      </c>
      <c r="G619" s="4" t="s">
        <v>693</v>
      </c>
      <c r="H619" s="4" t="s">
        <v>701</v>
      </c>
      <c r="I619" s="4" t="s">
        <v>707</v>
      </c>
      <c r="J619" s="4" t="s">
        <v>726</v>
      </c>
      <c r="K619" s="4" t="s">
        <v>732</v>
      </c>
      <c r="L619" s="4" t="s">
        <v>1349</v>
      </c>
      <c r="M619" s="9">
        <v>28</v>
      </c>
      <c r="N619" s="16">
        <f>ROUND(IF('Dashboard Visualization'!$U$3="",'Working Data'!$M619,'Working Data'!$M619*(100% +'Dashboard Visualization'!$U$3)),0)</f>
        <v>28</v>
      </c>
      <c r="O619" s="19">
        <v>722.87</v>
      </c>
      <c r="P619" s="20">
        <f>IF('Dashboard Visualization'!$U$2="",'Working Data'!$O619*'Working Data'!$N619,'Working Data'!$O619*'Working Data'!$N619*(100%+'Dashboard Visualization'!$U$2))</f>
        <v>20240.36</v>
      </c>
      <c r="Q619" s="19">
        <v>-33.659999999999997</v>
      </c>
      <c r="R619" s="20">
        <f t="shared" si="94"/>
        <v>-30.226679999999998</v>
      </c>
      <c r="S619" s="11">
        <v>0.10199999999999999</v>
      </c>
      <c r="T619" s="22">
        <f>IF('Dashboard Visualization'!$U$1="",$S619,IF(S619&gt;'Dashboard Visualization'!$U$1,'Dashboard Visualization'!$U$1,S619))</f>
        <v>0.10199999999999999</v>
      </c>
      <c r="U619" s="20">
        <f t="shared" si="95"/>
        <v>-760.01964191999991</v>
      </c>
      <c r="V619" s="20">
        <f t="shared" si="96"/>
        <v>-21000.379641920001</v>
      </c>
      <c r="W619" s="22">
        <f t="shared" si="92"/>
        <v>0</v>
      </c>
      <c r="X619" s="28" t="str">
        <f>TEXT(B619,"MMM-YYYY")</f>
        <v>Dec-2024</v>
      </c>
      <c r="Y619" s="7" t="str">
        <f t="shared" si="97"/>
        <v>Q4-2024</v>
      </c>
      <c r="Z619" s="7" t="str">
        <f t="shared" si="98"/>
        <v>Low Price</v>
      </c>
      <c r="AA619" s="7" t="str">
        <f t="shared" si="99"/>
        <v>Q4</v>
      </c>
      <c r="AB619" s="28" t="str">
        <f t="shared" si="100"/>
        <v>Dec</v>
      </c>
      <c r="AC619" s="28" t="str">
        <f t="shared" si="101"/>
        <v>2024</v>
      </c>
    </row>
    <row r="620" spans="1:29" x14ac:dyDescent="0.25">
      <c r="A620" s="4" t="s">
        <v>632</v>
      </c>
      <c r="B620" s="14">
        <v>45849</v>
      </c>
      <c r="C620" s="14">
        <v>45854</v>
      </c>
      <c r="D620" s="16">
        <f t="shared" si="93"/>
        <v>5</v>
      </c>
      <c r="E620" s="4" t="s">
        <v>649</v>
      </c>
      <c r="F620" s="4" t="s">
        <v>658</v>
      </c>
      <c r="G620" s="4" t="s">
        <v>683</v>
      </c>
      <c r="H620" s="4" t="s">
        <v>706</v>
      </c>
      <c r="I620" s="4" t="s">
        <v>708</v>
      </c>
      <c r="J620" s="4" t="s">
        <v>723</v>
      </c>
      <c r="K620" s="4" t="s">
        <v>728</v>
      </c>
      <c r="L620" s="4" t="s">
        <v>1350</v>
      </c>
      <c r="M620" s="9">
        <v>26</v>
      </c>
      <c r="N620" s="16">
        <f>ROUND(IF('Dashboard Visualization'!$U$3="",'Working Data'!$M620,'Working Data'!$M620*(100% +'Dashboard Visualization'!$U$3)),0)</f>
        <v>26</v>
      </c>
      <c r="O620" s="19">
        <v>930.03</v>
      </c>
      <c r="P620" s="20">
        <f>IF('Dashboard Visualization'!$U$2="",'Working Data'!$O620*'Working Data'!$N620,'Working Data'!$O620*'Working Data'!$N620*(100%+'Dashboard Visualization'!$U$2))</f>
        <v>24180.78</v>
      </c>
      <c r="Q620" s="19">
        <v>1086.68</v>
      </c>
      <c r="R620" s="20">
        <f t="shared" si="94"/>
        <v>968.23188000000005</v>
      </c>
      <c r="S620" s="11">
        <v>0.109</v>
      </c>
      <c r="T620" s="22">
        <f>IF('Dashboard Visualization'!$U$1="",$S620,IF(S620&gt;'Dashboard Visualization'!$U$1,'Dashboard Visualization'!$U$1,S620))</f>
        <v>0.109</v>
      </c>
      <c r="U620" s="20">
        <f t="shared" si="95"/>
        <v>22430.059732080001</v>
      </c>
      <c r="V620" s="20">
        <f t="shared" si="96"/>
        <v>-1750.7202679199982</v>
      </c>
      <c r="W620" s="22">
        <f t="shared" si="92"/>
        <v>0</v>
      </c>
      <c r="X620" s="28" t="str">
        <f>TEXT(B620,"MMM-YYYY")</f>
        <v>Jul-2025</v>
      </c>
      <c r="Y620" s="7" t="str">
        <f t="shared" si="97"/>
        <v>Q3-2025</v>
      </c>
      <c r="Z620" s="7" t="str">
        <f t="shared" si="98"/>
        <v>High Price</v>
      </c>
      <c r="AA620" s="7" t="str">
        <f t="shared" si="99"/>
        <v>Q3</v>
      </c>
      <c r="AB620" s="28" t="str">
        <f t="shared" si="100"/>
        <v>Jul</v>
      </c>
      <c r="AC620" s="28" t="str">
        <f t="shared" si="101"/>
        <v>2025</v>
      </c>
    </row>
    <row r="621" spans="1:29" x14ac:dyDescent="0.25">
      <c r="A621" s="4" t="s">
        <v>633</v>
      </c>
      <c r="B621" s="14">
        <v>45578</v>
      </c>
      <c r="C621" s="14">
        <v>45589</v>
      </c>
      <c r="D621" s="16">
        <f t="shared" si="93"/>
        <v>11</v>
      </c>
      <c r="E621" s="4" t="s">
        <v>649</v>
      </c>
      <c r="F621" s="4" t="s">
        <v>657</v>
      </c>
      <c r="G621" s="4" t="s">
        <v>690</v>
      </c>
      <c r="H621" s="4" t="s">
        <v>702</v>
      </c>
      <c r="I621" s="4" t="s">
        <v>710</v>
      </c>
      <c r="J621" s="4" t="s">
        <v>721</v>
      </c>
      <c r="K621" s="4" t="s">
        <v>727</v>
      </c>
      <c r="L621" s="4" t="s">
        <v>1351</v>
      </c>
      <c r="M621" s="9">
        <v>43</v>
      </c>
      <c r="N621" s="16">
        <f>ROUND(IF('Dashboard Visualization'!$U$3="",'Working Data'!$M621,'Working Data'!$M621*(100% +'Dashboard Visualization'!$U$3)),0)</f>
        <v>43</v>
      </c>
      <c r="O621" s="19">
        <v>816.7</v>
      </c>
      <c r="P621" s="20">
        <f>IF('Dashboard Visualization'!$U$2="",'Working Data'!$O621*'Working Data'!$N621,'Working Data'!$O621*'Working Data'!$N621*(100%+'Dashboard Visualization'!$U$2))</f>
        <v>35118.1</v>
      </c>
      <c r="Q621" s="19">
        <v>1010.75</v>
      </c>
      <c r="R621" s="20">
        <f t="shared" si="94"/>
        <v>963.24474999999995</v>
      </c>
      <c r="S621" s="11">
        <v>4.7E-2</v>
      </c>
      <c r="T621" s="22">
        <f>IF('Dashboard Visualization'!$U$1="",$S621,IF(S621&gt;'Dashboard Visualization'!$U$1,'Dashboard Visualization'!$U$1,S621))</f>
        <v>4.7E-2</v>
      </c>
      <c r="U621" s="20">
        <f t="shared" si="95"/>
        <v>39472.806610250002</v>
      </c>
      <c r="V621" s="20">
        <f t="shared" si="96"/>
        <v>4354.706610250003</v>
      </c>
      <c r="W621" s="22">
        <f t="shared" si="92"/>
        <v>0.1103216868576861</v>
      </c>
      <c r="X621" s="28" t="str">
        <f>TEXT(B621,"MMM-YYYY")</f>
        <v>Oct-2024</v>
      </c>
      <c r="Y621" s="7" t="str">
        <f t="shared" si="97"/>
        <v>Q4-2024</v>
      </c>
      <c r="Z621" s="7" t="str">
        <f t="shared" si="98"/>
        <v>High Price</v>
      </c>
      <c r="AA621" s="7" t="str">
        <f t="shared" si="99"/>
        <v>Q4</v>
      </c>
      <c r="AB621" s="28" t="str">
        <f t="shared" si="100"/>
        <v>Oct</v>
      </c>
      <c r="AC621" s="28" t="str">
        <f t="shared" si="101"/>
        <v>2024</v>
      </c>
    </row>
    <row r="622" spans="1:29" x14ac:dyDescent="0.25">
      <c r="A622" s="4" t="s">
        <v>634</v>
      </c>
      <c r="B622" s="14">
        <v>45177</v>
      </c>
      <c r="C622" s="14">
        <v>45183</v>
      </c>
      <c r="D622" s="16">
        <f t="shared" si="93"/>
        <v>6</v>
      </c>
      <c r="E622" s="4" t="s">
        <v>646</v>
      </c>
      <c r="F622" s="4" t="s">
        <v>650</v>
      </c>
      <c r="G622" s="4" t="s">
        <v>678</v>
      </c>
      <c r="H622" s="4" t="s">
        <v>702</v>
      </c>
      <c r="I622" s="4" t="s">
        <v>711</v>
      </c>
      <c r="J622" s="4" t="s">
        <v>714</v>
      </c>
      <c r="K622" s="4" t="s">
        <v>733</v>
      </c>
      <c r="L622" s="4" t="s">
        <v>1352</v>
      </c>
      <c r="M622" s="9">
        <v>3</v>
      </c>
      <c r="N622" s="16">
        <f>ROUND(IF('Dashboard Visualization'!$U$3="",'Working Data'!$M622,'Working Data'!$M622*(100% +'Dashboard Visualization'!$U$3)),0)</f>
        <v>3</v>
      </c>
      <c r="O622" s="19">
        <v>251.03</v>
      </c>
      <c r="P622" s="20">
        <f>IF('Dashboard Visualization'!$U$2="",'Working Data'!$O622*'Working Data'!$N622,'Working Data'!$O622*'Working Data'!$N622*(100%+'Dashboard Visualization'!$U$2))</f>
        <v>753.09</v>
      </c>
      <c r="Q622" s="19">
        <v>411.48</v>
      </c>
      <c r="R622" s="20">
        <f t="shared" si="94"/>
        <v>343.58580000000001</v>
      </c>
      <c r="S622" s="11">
        <v>0.16500000000000001</v>
      </c>
      <c r="T622" s="22">
        <f>IF('Dashboard Visualization'!$U$1="",$S622,IF(S622&gt;'Dashboard Visualization'!$U$1,'Dashboard Visualization'!$U$1,S622))</f>
        <v>0.16500000000000001</v>
      </c>
      <c r="U622" s="20">
        <f t="shared" si="95"/>
        <v>860.68242899999996</v>
      </c>
      <c r="V622" s="20">
        <f t="shared" si="96"/>
        <v>107.59242899999992</v>
      </c>
      <c r="W622" s="22">
        <f t="shared" si="92"/>
        <v>0.12500827875039602</v>
      </c>
      <c r="X622" s="28" t="str">
        <f>TEXT(B622,"MMM-YYYY")</f>
        <v>Sep-2023</v>
      </c>
      <c r="Y622" s="7" t="str">
        <f t="shared" si="97"/>
        <v>Q3-2023</v>
      </c>
      <c r="Z622" s="7" t="str">
        <f t="shared" si="98"/>
        <v>Low Price</v>
      </c>
      <c r="AA622" s="7" t="str">
        <f t="shared" si="99"/>
        <v>Q3</v>
      </c>
      <c r="AB622" s="28" t="str">
        <f t="shared" si="100"/>
        <v>Sep</v>
      </c>
      <c r="AC622" s="28" t="str">
        <f t="shared" si="101"/>
        <v>2023</v>
      </c>
    </row>
    <row r="623" spans="1:29" x14ac:dyDescent="0.25">
      <c r="A623" s="4" t="s">
        <v>635</v>
      </c>
      <c r="B623" s="14">
        <v>45764</v>
      </c>
      <c r="C623" s="14">
        <v>45780</v>
      </c>
      <c r="D623" s="16">
        <f t="shared" si="93"/>
        <v>16</v>
      </c>
      <c r="E623" s="4" t="s">
        <v>648</v>
      </c>
      <c r="F623" s="4" t="s">
        <v>655</v>
      </c>
      <c r="G623" s="4" t="s">
        <v>692</v>
      </c>
      <c r="H623" s="4" t="s">
        <v>704</v>
      </c>
      <c r="I623" s="4" t="s">
        <v>709</v>
      </c>
      <c r="J623" s="4" t="s">
        <v>713</v>
      </c>
      <c r="K623" s="4" t="s">
        <v>729</v>
      </c>
      <c r="L623" s="4" t="s">
        <v>1353</v>
      </c>
      <c r="M623" s="9">
        <v>7</v>
      </c>
      <c r="N623" s="16">
        <f>ROUND(IF('Dashboard Visualization'!$U$3="",'Working Data'!$M623,'Working Data'!$M623*(100% +'Dashboard Visualization'!$U$3)),0)</f>
        <v>7</v>
      </c>
      <c r="O623" s="19">
        <v>168.68</v>
      </c>
      <c r="P623" s="20">
        <f>IF('Dashboard Visualization'!$U$2="",'Working Data'!$O623*'Working Data'!$N623,'Working Data'!$O623*'Working Data'!$N623*(100%+'Dashboard Visualization'!$U$2))</f>
        <v>1180.76</v>
      </c>
      <c r="Q623" s="19">
        <v>413.34</v>
      </c>
      <c r="R623" s="20">
        <f t="shared" si="94"/>
        <v>336.45875999999998</v>
      </c>
      <c r="S623" s="11">
        <v>0.186</v>
      </c>
      <c r="T623" s="22">
        <f>IF('Dashboard Visualization'!$U$1="",$S623,IF(S623&gt;'Dashboard Visualization'!$U$1,'Dashboard Visualization'!$U$1,S623))</f>
        <v>0.186</v>
      </c>
      <c r="U623" s="20">
        <f t="shared" si="95"/>
        <v>1917.1420144799999</v>
      </c>
      <c r="V623" s="20">
        <f t="shared" si="96"/>
        <v>736.38201447999995</v>
      </c>
      <c r="W623" s="22">
        <f t="shared" si="92"/>
        <v>0.38410405119608942</v>
      </c>
      <c r="X623" s="28" t="str">
        <f>TEXT(B623,"MMM-YYYY")</f>
        <v>Apr-2025</v>
      </c>
      <c r="Y623" s="7" t="str">
        <f t="shared" si="97"/>
        <v>Q2-2025</v>
      </c>
      <c r="Z623" s="7" t="str">
        <f t="shared" si="98"/>
        <v>Low Price</v>
      </c>
      <c r="AA623" s="7" t="str">
        <f t="shared" si="99"/>
        <v>Q2</v>
      </c>
      <c r="AB623" s="28" t="str">
        <f t="shared" si="100"/>
        <v>Apr</v>
      </c>
      <c r="AC623" s="28" t="str">
        <f t="shared" si="101"/>
        <v>2025</v>
      </c>
    </row>
    <row r="624" spans="1:29" x14ac:dyDescent="0.25">
      <c r="A624" s="4" t="s">
        <v>636</v>
      </c>
      <c r="B624" s="14">
        <v>45501</v>
      </c>
      <c r="C624" s="14">
        <v>45527</v>
      </c>
      <c r="D624" s="16">
        <f t="shared" si="93"/>
        <v>26</v>
      </c>
      <c r="E624" s="4" t="s">
        <v>647</v>
      </c>
      <c r="F624" s="4" t="s">
        <v>654</v>
      </c>
      <c r="G624" s="4" t="s">
        <v>696</v>
      </c>
      <c r="H624" s="4" t="s">
        <v>701</v>
      </c>
      <c r="I624" s="4" t="s">
        <v>707</v>
      </c>
      <c r="J624" s="4" t="s">
        <v>713</v>
      </c>
      <c r="K624" s="4" t="s">
        <v>729</v>
      </c>
      <c r="L624" s="4" t="s">
        <v>1354</v>
      </c>
      <c r="M624" s="9">
        <v>24</v>
      </c>
      <c r="N624" s="16">
        <f>ROUND(IF('Dashboard Visualization'!$U$3="",'Working Data'!$M624,'Working Data'!$M624*(100% +'Dashboard Visualization'!$U$3)),0)</f>
        <v>24</v>
      </c>
      <c r="O624" s="19">
        <v>1339.24</v>
      </c>
      <c r="P624" s="20">
        <f>IF('Dashboard Visualization'!$U$2="",'Working Data'!$O624*'Working Data'!$N624,'Working Data'!$O624*'Working Data'!$N624*(100%+'Dashboard Visualization'!$U$2))</f>
        <v>32141.760000000002</v>
      </c>
      <c r="Q624" s="19">
        <v>1558.89</v>
      </c>
      <c r="R624" s="20">
        <f t="shared" si="94"/>
        <v>1259.5831200000002</v>
      </c>
      <c r="S624" s="11">
        <v>0.192</v>
      </c>
      <c r="T624" s="22">
        <f>IF('Dashboard Visualization'!$U$1="",$S624,IF(S624&gt;'Dashboard Visualization'!$U$1,'Dashboard Visualization'!$U$1,S624))</f>
        <v>0.192</v>
      </c>
      <c r="U624" s="20">
        <f t="shared" si="95"/>
        <v>24425.835863040007</v>
      </c>
      <c r="V624" s="20">
        <f t="shared" si="96"/>
        <v>-7715.9241369599949</v>
      </c>
      <c r="W624" s="22">
        <f t="shared" si="92"/>
        <v>0</v>
      </c>
      <c r="X624" s="28" t="str">
        <f>TEXT(B624,"MMM-YYYY")</f>
        <v>Jul-2024</v>
      </c>
      <c r="Y624" s="7" t="str">
        <f t="shared" si="97"/>
        <v>Q3-2024</v>
      </c>
      <c r="Z624" s="7" t="str">
        <f t="shared" si="98"/>
        <v>High Price</v>
      </c>
      <c r="AA624" s="7" t="str">
        <f t="shared" si="99"/>
        <v>Q3</v>
      </c>
      <c r="AB624" s="28" t="str">
        <f t="shared" si="100"/>
        <v>Jul</v>
      </c>
      <c r="AC624" s="28" t="str">
        <f t="shared" si="101"/>
        <v>2024</v>
      </c>
    </row>
    <row r="625" spans="1:29" x14ac:dyDescent="0.25">
      <c r="A625" s="4" t="s">
        <v>637</v>
      </c>
      <c r="B625" s="14">
        <v>45857</v>
      </c>
      <c r="C625" s="14">
        <v>45869</v>
      </c>
      <c r="D625" s="16">
        <f t="shared" si="93"/>
        <v>12</v>
      </c>
      <c r="E625" s="4" t="s">
        <v>646</v>
      </c>
      <c r="F625" s="4" t="s">
        <v>650</v>
      </c>
      <c r="G625" s="4" t="s">
        <v>664</v>
      </c>
      <c r="H625" s="4" t="s">
        <v>705</v>
      </c>
      <c r="I625" s="4" t="s">
        <v>709</v>
      </c>
      <c r="J625" s="4" t="s">
        <v>719</v>
      </c>
      <c r="K625" s="4" t="s">
        <v>733</v>
      </c>
      <c r="L625" s="4" t="s">
        <v>1355</v>
      </c>
      <c r="M625" s="9">
        <v>14</v>
      </c>
      <c r="N625" s="16">
        <f>ROUND(IF('Dashboard Visualization'!$U$3="",'Working Data'!$M625,'Working Data'!$M625*(100% +'Dashboard Visualization'!$U$3)),0)</f>
        <v>14</v>
      </c>
      <c r="O625" s="19">
        <v>619.64</v>
      </c>
      <c r="P625" s="20">
        <f>IF('Dashboard Visualization'!$U$2="",'Working Data'!$O625*'Working Data'!$N625,'Working Data'!$O625*'Working Data'!$N625*(100%+'Dashboard Visualization'!$U$2))</f>
        <v>8674.9599999999991</v>
      </c>
      <c r="Q625" s="19">
        <v>861.16</v>
      </c>
      <c r="R625" s="20">
        <f t="shared" si="94"/>
        <v>763.84892000000002</v>
      </c>
      <c r="S625" s="11">
        <v>0.113</v>
      </c>
      <c r="T625" s="22">
        <f>IF('Dashboard Visualization'!$U$1="",$S625,IF(S625&gt;'Dashboard Visualization'!$U$1,'Dashboard Visualization'!$U$1,S625))</f>
        <v>0.113</v>
      </c>
      <c r="U625" s="20">
        <f t="shared" si="95"/>
        <v>9485.4758885600004</v>
      </c>
      <c r="V625" s="20">
        <f t="shared" si="96"/>
        <v>810.51588856000126</v>
      </c>
      <c r="W625" s="22">
        <f t="shared" si="92"/>
        <v>8.5448099608531766E-2</v>
      </c>
      <c r="X625" s="28" t="str">
        <f>TEXT(B625,"MMM-YYYY")</f>
        <v>Jul-2025</v>
      </c>
      <c r="Y625" s="7" t="str">
        <f t="shared" si="97"/>
        <v>Q3-2025</v>
      </c>
      <c r="Z625" s="7" t="str">
        <f t="shared" si="98"/>
        <v>High Price</v>
      </c>
      <c r="AA625" s="7" t="str">
        <f t="shared" si="99"/>
        <v>Q3</v>
      </c>
      <c r="AB625" s="28" t="str">
        <f t="shared" si="100"/>
        <v>Jul</v>
      </c>
      <c r="AC625" s="28" t="str">
        <f t="shared" si="101"/>
        <v>2025</v>
      </c>
    </row>
    <row r="626" spans="1:29" x14ac:dyDescent="0.25">
      <c r="A626" s="4" t="s">
        <v>638</v>
      </c>
      <c r="B626" s="14">
        <v>45141</v>
      </c>
      <c r="C626" s="14">
        <v>45140</v>
      </c>
      <c r="D626" s="16" t="str">
        <f t="shared" si="93"/>
        <v/>
      </c>
      <c r="E626" s="4" t="s">
        <v>647</v>
      </c>
      <c r="F626" s="4" t="s">
        <v>659</v>
      </c>
      <c r="G626" s="4" t="s">
        <v>685</v>
      </c>
      <c r="H626" s="4" t="s">
        <v>703</v>
      </c>
      <c r="I626" s="4" t="s">
        <v>711</v>
      </c>
      <c r="J626" s="4" t="s">
        <v>713</v>
      </c>
      <c r="K626" s="4" t="s">
        <v>729</v>
      </c>
      <c r="L626" s="4" t="s">
        <v>1356</v>
      </c>
      <c r="M626" s="9">
        <v>26</v>
      </c>
      <c r="N626" s="16">
        <f>ROUND(IF('Dashboard Visualization'!$U$3="",'Working Data'!$M626,'Working Data'!$M626*(100% +'Dashboard Visualization'!$U$3)),0)</f>
        <v>26</v>
      </c>
      <c r="O626" s="19">
        <v>1021.97</v>
      </c>
      <c r="P626" s="20">
        <f>IF('Dashboard Visualization'!$U$2="",'Working Data'!$O626*'Working Data'!$N626,'Working Data'!$O626*'Working Data'!$N626*(100%+'Dashboard Visualization'!$U$2))</f>
        <v>26571.22</v>
      </c>
      <c r="Q626" s="19">
        <v>2296.25</v>
      </c>
      <c r="R626" s="20">
        <f t="shared" si="94"/>
        <v>1926.55375</v>
      </c>
      <c r="S626" s="11">
        <v>0.161</v>
      </c>
      <c r="T626" s="22">
        <f>IF('Dashboard Visualization'!$U$1="",$S626,IF(S626&gt;'Dashboard Visualization'!$U$1,'Dashboard Visualization'!$U$1,S626))</f>
        <v>0.161</v>
      </c>
      <c r="U626" s="20">
        <f t="shared" si="95"/>
        <v>42025.8435025</v>
      </c>
      <c r="V626" s="20">
        <f t="shared" si="96"/>
        <v>15454.623502499999</v>
      </c>
      <c r="W626" s="22">
        <f t="shared" si="92"/>
        <v>0.3677409473430473</v>
      </c>
      <c r="X626" s="28" t="str">
        <f>TEXT(B626,"MMM-YYYY")</f>
        <v>Aug-2023</v>
      </c>
      <c r="Y626" s="7" t="str">
        <f t="shared" si="97"/>
        <v>Q3-2023</v>
      </c>
      <c r="Z626" s="7" t="str">
        <f t="shared" si="98"/>
        <v>Medium Price</v>
      </c>
      <c r="AA626" s="7" t="str">
        <f t="shared" si="99"/>
        <v>Q3</v>
      </c>
      <c r="AB626" s="28" t="str">
        <f t="shared" si="100"/>
        <v>Aug</v>
      </c>
      <c r="AC626" s="28" t="str">
        <f t="shared" si="101"/>
        <v>2023</v>
      </c>
    </row>
    <row r="627" spans="1:29" x14ac:dyDescent="0.25">
      <c r="A627" s="4" t="s">
        <v>639</v>
      </c>
      <c r="B627" s="14">
        <v>45249</v>
      </c>
      <c r="C627" s="14">
        <v>45272</v>
      </c>
      <c r="D627" s="16">
        <f t="shared" si="93"/>
        <v>23</v>
      </c>
      <c r="E627" s="4" t="s">
        <v>647</v>
      </c>
      <c r="F627" s="4" t="s">
        <v>654</v>
      </c>
      <c r="G627" s="4" t="s">
        <v>680</v>
      </c>
      <c r="H627" s="4" t="s">
        <v>705</v>
      </c>
      <c r="I627" s="4" t="s">
        <v>711</v>
      </c>
      <c r="J627" s="4" t="s">
        <v>712</v>
      </c>
      <c r="K627" s="4" t="s">
        <v>729</v>
      </c>
      <c r="L627" s="4" t="s">
        <v>1357</v>
      </c>
      <c r="M627" s="9">
        <v>14</v>
      </c>
      <c r="N627" s="16">
        <f>ROUND(IF('Dashboard Visualization'!$U$3="",'Working Data'!$M627,'Working Data'!$M627*(100% +'Dashboard Visualization'!$U$3)),0)</f>
        <v>14</v>
      </c>
      <c r="O627" s="19">
        <v>1349.04</v>
      </c>
      <c r="P627" s="20">
        <f>IF('Dashboard Visualization'!$U$2="",'Working Data'!$O627*'Working Data'!$N627,'Working Data'!$O627*'Working Data'!$N627*(100%+'Dashboard Visualization'!$U$2))</f>
        <v>18886.559999999998</v>
      </c>
      <c r="Q627" s="19">
        <v>2636.6</v>
      </c>
      <c r="R627" s="20">
        <f t="shared" si="94"/>
        <v>2336.0275999999999</v>
      </c>
      <c r="S627" s="11">
        <v>0.114</v>
      </c>
      <c r="T627" s="22">
        <f>IF('Dashboard Visualization'!$U$1="",$S627,IF(S627&gt;'Dashboard Visualization'!$U$1,'Dashboard Visualization'!$U$1,S627))</f>
        <v>0.114</v>
      </c>
      <c r="U627" s="20">
        <f t="shared" si="95"/>
        <v>28976.086350400001</v>
      </c>
      <c r="V627" s="20">
        <f t="shared" si="96"/>
        <v>10089.526350400003</v>
      </c>
      <c r="W627" s="22">
        <f t="shared" si="92"/>
        <v>0.34820183196550702</v>
      </c>
      <c r="X627" s="28" t="str">
        <f>TEXT(B627,"MMM-YYYY")</f>
        <v>Nov-2023</v>
      </c>
      <c r="Y627" s="7" t="str">
        <f t="shared" si="97"/>
        <v>Q4-2023</v>
      </c>
      <c r="Z627" s="7" t="str">
        <f t="shared" si="98"/>
        <v>Medium Price</v>
      </c>
      <c r="AA627" s="7" t="str">
        <f t="shared" si="99"/>
        <v>Q4</v>
      </c>
      <c r="AB627" s="28" t="str">
        <f t="shared" si="100"/>
        <v>Nov</v>
      </c>
      <c r="AC627" s="28" t="str">
        <f t="shared" si="101"/>
        <v>2023</v>
      </c>
    </row>
    <row r="628" spans="1:29" x14ac:dyDescent="0.25">
      <c r="A628" s="4" t="s">
        <v>640</v>
      </c>
      <c r="B628" s="14">
        <v>45282</v>
      </c>
      <c r="C628" s="14">
        <v>45307</v>
      </c>
      <c r="D628" s="16">
        <f t="shared" si="93"/>
        <v>25</v>
      </c>
      <c r="E628" s="4" t="s">
        <v>647</v>
      </c>
      <c r="F628" s="4" t="s">
        <v>654</v>
      </c>
      <c r="G628" s="4" t="s">
        <v>696</v>
      </c>
      <c r="H628" s="4" t="s">
        <v>705</v>
      </c>
      <c r="I628" s="4" t="s">
        <v>707</v>
      </c>
      <c r="J628" s="4" t="s">
        <v>720</v>
      </c>
      <c r="K628" s="4" t="s">
        <v>727</v>
      </c>
      <c r="L628" s="4" t="s">
        <v>1358</v>
      </c>
      <c r="M628" s="9">
        <v>17</v>
      </c>
      <c r="N628" s="16">
        <f>ROUND(IF('Dashboard Visualization'!$U$3="",'Working Data'!$M628,'Working Data'!$M628*(100% +'Dashboard Visualization'!$U$3)),0)</f>
        <v>17</v>
      </c>
      <c r="O628" s="19">
        <v>1346.81</v>
      </c>
      <c r="P628" s="20">
        <f>IF('Dashboard Visualization'!$U$2="",'Working Data'!$O628*'Working Data'!$N628,'Working Data'!$O628*'Working Data'!$N628*(100%+'Dashboard Visualization'!$U$2))</f>
        <v>22895.77</v>
      </c>
      <c r="Q628" s="19">
        <v>978.09</v>
      </c>
      <c r="R628" s="20">
        <f t="shared" si="94"/>
        <v>822.57368999999994</v>
      </c>
      <c r="S628" s="11">
        <v>0.159</v>
      </c>
      <c r="T628" s="22">
        <f>IF('Dashboard Visualization'!$U$1="",$S628,IF(S628&gt;'Dashboard Visualization'!$U$1,'Dashboard Visualization'!$U$1,S628))</f>
        <v>0.159</v>
      </c>
      <c r="U628" s="20">
        <f t="shared" si="95"/>
        <v>11760.336045929998</v>
      </c>
      <c r="V628" s="20">
        <f t="shared" si="96"/>
        <v>-11135.433954070002</v>
      </c>
      <c r="W628" s="22">
        <f t="shared" si="92"/>
        <v>0</v>
      </c>
      <c r="X628" s="28" t="str">
        <f>TEXT(B628,"MMM-YYYY")</f>
        <v>Dec-2023</v>
      </c>
      <c r="Y628" s="7" t="str">
        <f t="shared" si="97"/>
        <v>Q4-2023</v>
      </c>
      <c r="Z628" s="7" t="str">
        <f t="shared" si="98"/>
        <v>High Price</v>
      </c>
      <c r="AA628" s="7" t="str">
        <f t="shared" si="99"/>
        <v>Q4</v>
      </c>
      <c r="AB628" s="28" t="str">
        <f t="shared" si="100"/>
        <v>Dec</v>
      </c>
      <c r="AC628" s="28" t="str">
        <f t="shared" si="101"/>
        <v>2023</v>
      </c>
    </row>
    <row r="629" spans="1:29" x14ac:dyDescent="0.25">
      <c r="A629" s="4" t="s">
        <v>641</v>
      </c>
      <c r="B629" s="14">
        <v>45141</v>
      </c>
      <c r="C629" s="14">
        <v>45168</v>
      </c>
      <c r="D629" s="16">
        <f t="shared" si="93"/>
        <v>27</v>
      </c>
      <c r="E629" s="4" t="s">
        <v>647</v>
      </c>
      <c r="F629" s="4" t="s">
        <v>659</v>
      </c>
      <c r="G629" s="4" t="s">
        <v>685</v>
      </c>
      <c r="H629" s="4" t="s">
        <v>704</v>
      </c>
      <c r="I629" s="4" t="s">
        <v>710</v>
      </c>
      <c r="J629" s="4" t="s">
        <v>725</v>
      </c>
      <c r="K629" s="4" t="s">
        <v>732</v>
      </c>
      <c r="L629" s="4" t="s">
        <v>1359</v>
      </c>
      <c r="M629" s="9">
        <v>11</v>
      </c>
      <c r="N629" s="16">
        <f>ROUND(IF('Dashboard Visualization'!$U$3="",'Working Data'!$M629,'Working Data'!$M629*(100% +'Dashboard Visualization'!$U$3)),0)</f>
        <v>11</v>
      </c>
      <c r="O629" s="19">
        <v>226.04</v>
      </c>
      <c r="P629" s="20">
        <f>IF('Dashboard Visualization'!$U$2="",'Working Data'!$O629*'Working Data'!$N629,'Working Data'!$O629*'Working Data'!$N629*(100%+'Dashboard Visualization'!$U$2))</f>
        <v>2486.44</v>
      </c>
      <c r="Q629" s="19">
        <v>545.72</v>
      </c>
      <c r="R629" s="20">
        <f t="shared" si="94"/>
        <v>463.31628000000001</v>
      </c>
      <c r="S629" s="11">
        <v>0.151</v>
      </c>
      <c r="T629" s="22">
        <f>IF('Dashboard Visualization'!$U$1="",$S629,IF(S629&gt;'Dashboard Visualization'!$U$1,'Dashboard Visualization'!$U$1,S629))</f>
        <v>0.151</v>
      </c>
      <c r="U629" s="20">
        <f t="shared" si="95"/>
        <v>4326.9107389199999</v>
      </c>
      <c r="V629" s="20">
        <f t="shared" si="96"/>
        <v>1840.4707389199998</v>
      </c>
      <c r="W629" s="22">
        <f t="shared" si="92"/>
        <v>0.42535445031606606</v>
      </c>
      <c r="X629" s="28" t="str">
        <f>TEXT(B629,"MMM-YYYY")</f>
        <v>Aug-2023</v>
      </c>
      <c r="Y629" s="7" t="str">
        <f t="shared" si="97"/>
        <v>Q3-2023</v>
      </c>
      <c r="Z629" s="7" t="str">
        <f t="shared" si="98"/>
        <v>Low Price</v>
      </c>
      <c r="AA629" s="7" t="str">
        <f t="shared" si="99"/>
        <v>Q3</v>
      </c>
      <c r="AB629" s="28" t="str">
        <f t="shared" si="100"/>
        <v>Aug</v>
      </c>
      <c r="AC629" s="28" t="str">
        <f t="shared" si="101"/>
        <v>2023</v>
      </c>
    </row>
    <row r="630" spans="1:29" x14ac:dyDescent="0.25">
      <c r="A630" s="4" t="s">
        <v>642</v>
      </c>
      <c r="B630" s="14">
        <v>45100</v>
      </c>
      <c r="C630" s="14">
        <v>45125</v>
      </c>
      <c r="D630" s="16">
        <f t="shared" si="93"/>
        <v>25</v>
      </c>
      <c r="E630" s="4" t="s">
        <v>648</v>
      </c>
      <c r="F630" s="4" t="s">
        <v>653</v>
      </c>
      <c r="G630" s="4" t="s">
        <v>688</v>
      </c>
      <c r="H630" s="4" t="s">
        <v>706</v>
      </c>
      <c r="I630" s="4" t="s">
        <v>708</v>
      </c>
      <c r="J630" s="4" t="s">
        <v>725</v>
      </c>
      <c r="K630" s="4" t="s">
        <v>730</v>
      </c>
      <c r="L630" s="4" t="s">
        <v>1360</v>
      </c>
      <c r="M630" s="9">
        <v>23</v>
      </c>
      <c r="N630" s="16">
        <f>ROUND(IF('Dashboard Visualization'!$U$3="",'Working Data'!$M630,'Working Data'!$M630*(100% +'Dashboard Visualization'!$U$3)),0)</f>
        <v>23</v>
      </c>
      <c r="O630" s="19">
        <v>807.02</v>
      </c>
      <c r="P630" s="20">
        <f>IF('Dashboard Visualization'!$U$2="",'Working Data'!$O630*'Working Data'!$N630,'Working Data'!$O630*'Working Data'!$N630*(100%+'Dashboard Visualization'!$U$2))</f>
        <v>18561.46</v>
      </c>
      <c r="Q630" s="19">
        <v>1435.54</v>
      </c>
      <c r="R630" s="20">
        <f t="shared" si="94"/>
        <v>1435.54</v>
      </c>
      <c r="S630" s="11">
        <v>0</v>
      </c>
      <c r="T630" s="22">
        <f>IF('Dashboard Visualization'!$U$1="",$S630,IF(S630&gt;'Dashboard Visualization'!$U$1,'Dashboard Visualization'!$U$1,S630))</f>
        <v>0</v>
      </c>
      <c r="U630" s="20">
        <f t="shared" si="95"/>
        <v>33017.42</v>
      </c>
      <c r="V630" s="20">
        <f t="shared" si="96"/>
        <v>14455.96</v>
      </c>
      <c r="W630" s="22">
        <f t="shared" si="92"/>
        <v>0.43782827368098415</v>
      </c>
      <c r="X630" s="28" t="str">
        <f>TEXT(B630,"MMM-YYYY")</f>
        <v>Jun-2023</v>
      </c>
      <c r="Y630" s="7" t="str">
        <f t="shared" si="97"/>
        <v>Q2-2023</v>
      </c>
      <c r="Z630" s="7" t="str">
        <f t="shared" si="98"/>
        <v>High Price</v>
      </c>
      <c r="AA630" s="7" t="str">
        <f t="shared" si="99"/>
        <v>Q2</v>
      </c>
      <c r="AB630" s="28" t="str">
        <f t="shared" si="100"/>
        <v>Jun</v>
      </c>
      <c r="AC630" s="28" t="str">
        <f t="shared" si="101"/>
        <v>2023</v>
      </c>
    </row>
    <row r="631" spans="1:29" x14ac:dyDescent="0.25">
      <c r="A631" s="4" t="s">
        <v>643</v>
      </c>
      <c r="B631" s="14">
        <v>45267</v>
      </c>
      <c r="C631" s="14">
        <v>45293</v>
      </c>
      <c r="D631" s="16">
        <f t="shared" si="93"/>
        <v>26</v>
      </c>
      <c r="E631" s="4" t="s">
        <v>649</v>
      </c>
      <c r="F631" s="4" t="s">
        <v>656</v>
      </c>
      <c r="G631" s="4" t="s">
        <v>698</v>
      </c>
      <c r="H631" s="4" t="s">
        <v>706</v>
      </c>
      <c r="I631" s="4" t="s">
        <v>710</v>
      </c>
      <c r="J631" s="4" t="s">
        <v>718</v>
      </c>
      <c r="K631" s="4" t="s">
        <v>727</v>
      </c>
      <c r="L631" s="4" t="s">
        <v>1361</v>
      </c>
      <c r="M631" s="9">
        <v>18</v>
      </c>
      <c r="N631" s="16">
        <f>ROUND(IF('Dashboard Visualization'!$U$3="",'Working Data'!$M631,'Working Data'!$M631*(100% +'Dashboard Visualization'!$U$3)),0)</f>
        <v>18</v>
      </c>
      <c r="O631" s="19">
        <v>1071.99</v>
      </c>
      <c r="P631" s="20">
        <f>IF('Dashboard Visualization'!$U$2="",'Working Data'!$O631*'Working Data'!$N631,'Working Data'!$O631*'Working Data'!$N631*(100%+'Dashboard Visualization'!$U$2))</f>
        <v>19295.82</v>
      </c>
      <c r="Q631" s="19">
        <v>2397.3000000000002</v>
      </c>
      <c r="R631" s="20">
        <f t="shared" si="94"/>
        <v>2248.6673999999998</v>
      </c>
      <c r="S631" s="11">
        <v>6.2E-2</v>
      </c>
      <c r="T631" s="22">
        <f>IF('Dashboard Visualization'!$U$1="",$S631,IF(S631&gt;'Dashboard Visualization'!$U$1,'Dashboard Visualization'!$U$1,S631))</f>
        <v>6.2E-2</v>
      </c>
      <c r="U631" s="20">
        <f t="shared" si="95"/>
        <v>37966.500381599995</v>
      </c>
      <c r="V631" s="20">
        <f t="shared" si="96"/>
        <v>18670.680381599996</v>
      </c>
      <c r="W631" s="22">
        <f t="shared" si="92"/>
        <v>0.49176722094324277</v>
      </c>
      <c r="X631" s="28" t="str">
        <f>TEXT(B631,"MMM-YYYY")</f>
        <v>Dec-2023</v>
      </c>
      <c r="Y631" s="7" t="str">
        <f t="shared" si="97"/>
        <v>Q4-2023</v>
      </c>
      <c r="Z631" s="7" t="str">
        <f t="shared" si="98"/>
        <v>Medium Price</v>
      </c>
      <c r="AA631" s="7" t="str">
        <f t="shared" si="99"/>
        <v>Q4</v>
      </c>
      <c r="AB631" s="28" t="str">
        <f t="shared" si="100"/>
        <v>Dec</v>
      </c>
      <c r="AC631" s="28" t="str">
        <f t="shared" si="101"/>
        <v>2023</v>
      </c>
    </row>
    <row r="632" spans="1:29" x14ac:dyDescent="0.25">
      <c r="A632" s="4" t="s">
        <v>644</v>
      </c>
      <c r="B632" s="14">
        <v>45249</v>
      </c>
      <c r="C632" s="14">
        <v>45279</v>
      </c>
      <c r="D632" s="16">
        <f t="shared" si="93"/>
        <v>30</v>
      </c>
      <c r="E632" s="4" t="s">
        <v>647</v>
      </c>
      <c r="F632" s="4" t="s">
        <v>652</v>
      </c>
      <c r="G632" s="4" t="s">
        <v>694</v>
      </c>
      <c r="H632" s="4" t="s">
        <v>704</v>
      </c>
      <c r="I632" s="4" t="s">
        <v>707</v>
      </c>
      <c r="J632" s="12" t="s">
        <v>1430</v>
      </c>
      <c r="K632" s="4" t="s">
        <v>730</v>
      </c>
      <c r="L632" s="4" t="s">
        <v>1362</v>
      </c>
      <c r="M632" s="9">
        <v>8</v>
      </c>
      <c r="N632" s="16">
        <f>ROUND(IF('Dashboard Visualization'!$U$3="",'Working Data'!$M632,'Working Data'!$M632*(100% +'Dashboard Visualization'!$U$3)),0)</f>
        <v>8</v>
      </c>
      <c r="O632" s="19">
        <v>807.11</v>
      </c>
      <c r="P632" s="20">
        <f>IF('Dashboard Visualization'!$U$2="",'Working Data'!$O632*'Working Data'!$N632,'Working Data'!$O632*'Working Data'!$N632*(100%+'Dashboard Visualization'!$U$2))</f>
        <v>6456.88</v>
      </c>
      <c r="Q632" s="19">
        <v>1853.86</v>
      </c>
      <c r="R632" s="20">
        <f t="shared" si="94"/>
        <v>1596.17346</v>
      </c>
      <c r="S632" s="11">
        <v>0.13900000000000001</v>
      </c>
      <c r="T632" s="22">
        <f>IF('Dashboard Visualization'!$U$1="",$S632,IF(S632&gt;'Dashboard Visualization'!$U$1,'Dashboard Visualization'!$U$1,S632))</f>
        <v>0.13900000000000001</v>
      </c>
      <c r="U632" s="20">
        <f t="shared" si="95"/>
        <v>10994.44279248</v>
      </c>
      <c r="V632" s="20">
        <f t="shared" si="96"/>
        <v>4537.5627924800001</v>
      </c>
      <c r="W632" s="22">
        <f t="shared" si="92"/>
        <v>0.41271421190927576</v>
      </c>
      <c r="X632" s="28" t="str">
        <f>TEXT(B632,"MMM-YYYY")</f>
        <v>Nov-2023</v>
      </c>
      <c r="Y632" s="7" t="str">
        <f t="shared" si="97"/>
        <v>Q4-2023</v>
      </c>
      <c r="Z632" s="7" t="str">
        <f t="shared" si="98"/>
        <v>High Price</v>
      </c>
      <c r="AA632" s="7" t="str">
        <f t="shared" si="99"/>
        <v>Q4</v>
      </c>
      <c r="AB632" s="28" t="str">
        <f t="shared" si="100"/>
        <v>Nov</v>
      </c>
      <c r="AC632" s="28" t="str">
        <f t="shared" si="101"/>
        <v>2023</v>
      </c>
    </row>
    <row r="633" spans="1:29" x14ac:dyDescent="0.25">
      <c r="A633" s="4" t="s">
        <v>645</v>
      </c>
      <c r="B633" s="14">
        <v>45716</v>
      </c>
      <c r="C633" s="14">
        <v>45726</v>
      </c>
      <c r="D633" s="16">
        <f t="shared" si="93"/>
        <v>10</v>
      </c>
      <c r="E633" s="4" t="s">
        <v>647</v>
      </c>
      <c r="F633" s="4" t="s">
        <v>652</v>
      </c>
      <c r="G633" s="4" t="s">
        <v>666</v>
      </c>
      <c r="H633" s="4" t="s">
        <v>702</v>
      </c>
      <c r="I633" s="4" t="s">
        <v>710</v>
      </c>
      <c r="J633" s="4" t="s">
        <v>725</v>
      </c>
      <c r="K633" s="4" t="s">
        <v>731</v>
      </c>
      <c r="L633" s="4" t="s">
        <v>1363</v>
      </c>
      <c r="M633" s="9">
        <v>7</v>
      </c>
      <c r="N633" s="16">
        <f>ROUND(IF('Dashboard Visualization'!$U$3="",'Working Data'!$M633,'Working Data'!$M633*(100% +'Dashboard Visualization'!$U$3)),0)</f>
        <v>7</v>
      </c>
      <c r="O633" s="19">
        <v>51.86</v>
      </c>
      <c r="P633" s="20">
        <f>IF('Dashboard Visualization'!$U$2="",'Working Data'!$O633*'Working Data'!$N633,'Working Data'!$O633*'Working Data'!$N633*(100%+'Dashboard Visualization'!$U$2))</f>
        <v>363.02</v>
      </c>
      <c r="Q633" s="19">
        <v>45.98</v>
      </c>
      <c r="R633" s="20">
        <f t="shared" si="94"/>
        <v>38.025459999999995</v>
      </c>
      <c r="S633" s="11">
        <v>0.17299999999999999</v>
      </c>
      <c r="T633" s="22">
        <f>IF('Dashboard Visualization'!$U$1="",$S633,IF(S633&gt;'Dashboard Visualization'!$U$1,'Dashboard Visualization'!$U$1,S633))</f>
        <v>0.17299999999999999</v>
      </c>
      <c r="U633" s="20">
        <f t="shared" si="95"/>
        <v>220.12938793999996</v>
      </c>
      <c r="V633" s="20">
        <f t="shared" si="96"/>
        <v>-142.89061206000002</v>
      </c>
      <c r="W633" s="22">
        <f t="shared" si="92"/>
        <v>0</v>
      </c>
      <c r="X633" s="28" t="str">
        <f>TEXT(B633,"MMM-YYYY")</f>
        <v>Feb-2025</v>
      </c>
      <c r="Y633" s="7" t="str">
        <f t="shared" si="97"/>
        <v>Q1-2025</v>
      </c>
      <c r="Z633" s="7" t="str">
        <f t="shared" si="98"/>
        <v>Low Price</v>
      </c>
      <c r="AA633" s="7" t="str">
        <f t="shared" si="99"/>
        <v>Q1</v>
      </c>
      <c r="AB633" s="28" t="str">
        <f t="shared" si="100"/>
        <v>Feb</v>
      </c>
      <c r="AC633" s="28" t="str">
        <f t="shared" si="101"/>
        <v>2025</v>
      </c>
    </row>
  </sheetData>
  <autoFilter ref="A1:AC633" xr:uid="{361E9928-FB12-4109-BA2C-EB41387B610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39" workbookViewId="0">
      <selection activeCell="A44" sqref="A44:A48"/>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s="36" t="s">
        <v>1369</v>
      </c>
    </row>
    <row r="9" spans="1:1" x14ac:dyDescent="0.25">
      <c r="A9" s="36" t="s">
        <v>1370</v>
      </c>
    </row>
    <row r="10" spans="1:1" x14ac:dyDescent="0.25">
      <c r="A10" s="36" t="s">
        <v>1371</v>
      </c>
    </row>
    <row r="11" spans="1:1" x14ac:dyDescent="0.25">
      <c r="A11" s="36" t="s">
        <v>1372</v>
      </c>
    </row>
    <row r="12" spans="1:1" x14ac:dyDescent="0.25">
      <c r="A12" s="36" t="s">
        <v>1373</v>
      </c>
    </row>
    <row r="13" spans="1:1" x14ac:dyDescent="0.25">
      <c r="A13" s="36" t="s">
        <v>1374</v>
      </c>
    </row>
    <row r="14" spans="1:1" x14ac:dyDescent="0.25">
      <c r="A14" s="36" t="s">
        <v>1375</v>
      </c>
    </row>
    <row r="15" spans="1:1" x14ac:dyDescent="0.25">
      <c r="A15" s="36" t="s">
        <v>1376</v>
      </c>
    </row>
    <row r="17" spans="1:1" x14ac:dyDescent="0.25">
      <c r="A17" s="36" t="s">
        <v>1377</v>
      </c>
    </row>
    <row r="18" spans="1:1" x14ac:dyDescent="0.25">
      <c r="A18" s="36" t="s">
        <v>1378</v>
      </c>
    </row>
    <row r="19" spans="1:1" x14ac:dyDescent="0.25">
      <c r="A19" s="36" t="s">
        <v>1379</v>
      </c>
    </row>
    <row r="20" spans="1:1" x14ac:dyDescent="0.25">
      <c r="A20" s="36" t="s">
        <v>1380</v>
      </c>
    </row>
    <row r="21" spans="1:1" x14ac:dyDescent="0.25">
      <c r="A21" s="36" t="s">
        <v>1381</v>
      </c>
    </row>
    <row r="23" spans="1:1" x14ac:dyDescent="0.25">
      <c r="A23" t="s">
        <v>1382</v>
      </c>
    </row>
    <row r="24" spans="1:1" x14ac:dyDescent="0.25">
      <c r="A24" s="36" t="s">
        <v>1383</v>
      </c>
    </row>
    <row r="25" spans="1:1" x14ac:dyDescent="0.25">
      <c r="A25" s="36" t="s">
        <v>1384</v>
      </c>
    </row>
    <row r="26" spans="1:1" x14ac:dyDescent="0.25">
      <c r="A26" s="36" t="s">
        <v>1385</v>
      </c>
    </row>
    <row r="27" spans="1:1" x14ac:dyDescent="0.25">
      <c r="A27" s="36" t="s">
        <v>1386</v>
      </c>
    </row>
    <row r="29" spans="1:1" x14ac:dyDescent="0.25">
      <c r="A29" t="s">
        <v>1387</v>
      </c>
    </row>
    <row r="30" spans="1:1" x14ac:dyDescent="0.25">
      <c r="A30" s="36" t="s">
        <v>1388</v>
      </c>
    </row>
    <row r="31" spans="1:1" x14ac:dyDescent="0.25">
      <c r="A31" s="36" t="s">
        <v>1389</v>
      </c>
    </row>
    <row r="32" spans="1:1" x14ac:dyDescent="0.25">
      <c r="A32" s="36" t="s">
        <v>1390</v>
      </c>
    </row>
    <row r="33" spans="1:1" x14ac:dyDescent="0.25">
      <c r="A33" s="36" t="s">
        <v>1391</v>
      </c>
    </row>
    <row r="34" spans="1:1" x14ac:dyDescent="0.25">
      <c r="A34" s="36" t="s">
        <v>1392</v>
      </c>
    </row>
    <row r="35" spans="1:1" x14ac:dyDescent="0.25">
      <c r="A35" s="36" t="s">
        <v>1393</v>
      </c>
    </row>
    <row r="36" spans="1:1" x14ac:dyDescent="0.25">
      <c r="A36" s="36" t="s">
        <v>1394</v>
      </c>
    </row>
    <row r="37" spans="1:1" x14ac:dyDescent="0.25">
      <c r="A37" s="36" t="s">
        <v>1395</v>
      </c>
    </row>
    <row r="38" spans="1:1" x14ac:dyDescent="0.25">
      <c r="A38" s="36" t="s">
        <v>1396</v>
      </c>
    </row>
    <row r="39" spans="1:1" x14ac:dyDescent="0.25">
      <c r="A39" s="36" t="s">
        <v>1397</v>
      </c>
    </row>
    <row r="40" spans="1:1" x14ac:dyDescent="0.25">
      <c r="A40" s="7" t="s">
        <v>1398</v>
      </c>
    </row>
    <row r="41" spans="1:1" x14ac:dyDescent="0.25">
      <c r="A41" s="7" t="s">
        <v>1399</v>
      </c>
    </row>
    <row r="43" spans="1:1" x14ac:dyDescent="0.25">
      <c r="A43" s="36" t="s">
        <v>1400</v>
      </c>
    </row>
    <row r="44" spans="1:1" x14ac:dyDescent="0.25">
      <c r="A44" s="36" t="s">
        <v>1401</v>
      </c>
    </row>
    <row r="45" spans="1:1" x14ac:dyDescent="0.25">
      <c r="A45" s="36" t="s">
        <v>1402</v>
      </c>
    </row>
    <row r="46" spans="1:1" x14ac:dyDescent="0.25">
      <c r="A46" s="36" t="s">
        <v>1403</v>
      </c>
    </row>
    <row r="47" spans="1:1" x14ac:dyDescent="0.25">
      <c r="A47" s="36" t="s">
        <v>1404</v>
      </c>
    </row>
    <row r="48" spans="1:1" x14ac:dyDescent="0.25">
      <c r="A48" s="36" t="s">
        <v>1405</v>
      </c>
    </row>
    <row r="50" spans="1:1" x14ac:dyDescent="0.25">
      <c r="A50" t="s">
        <v>1406</v>
      </c>
    </row>
    <row r="51" spans="1:1" x14ac:dyDescent="0.25">
      <c r="A51" t="s">
        <v>1407</v>
      </c>
    </row>
    <row r="52" spans="1:1" x14ac:dyDescent="0.25">
      <c r="A52" s="36" t="s">
        <v>1408</v>
      </c>
    </row>
    <row r="53" spans="1:1" x14ac:dyDescent="0.25">
      <c r="A53" s="36" t="s">
        <v>1409</v>
      </c>
    </row>
    <row r="54" spans="1:1" x14ac:dyDescent="0.25">
      <c r="A54" s="36" t="s">
        <v>1410</v>
      </c>
    </row>
    <row r="55" spans="1:1" x14ac:dyDescent="0.25">
      <c r="A55" s="36" t="s">
        <v>1411</v>
      </c>
    </row>
    <row r="56" spans="1:1" x14ac:dyDescent="0.25">
      <c r="A56" s="36" t="s">
        <v>1412</v>
      </c>
    </row>
    <row r="57" spans="1:1" x14ac:dyDescent="0.25">
      <c r="A57" s="36" t="s">
        <v>1413</v>
      </c>
    </row>
    <row r="58" spans="1:1" x14ac:dyDescent="0.25">
      <c r="A58" t="s">
        <v>1414</v>
      </c>
    </row>
    <row r="59" spans="1:1" x14ac:dyDescent="0.25">
      <c r="A59" s="36"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B21" sqref="B21"/>
    </sheetView>
  </sheetViews>
  <sheetFormatPr defaultRowHeight="15" x14ac:dyDescent="0.25"/>
  <cols>
    <col min="1" max="1" width="22.28515625" customWidth="1"/>
    <col min="2" max="2" width="16.7109375" customWidth="1"/>
    <col min="3" max="3" width="14.5703125" customWidth="1"/>
    <col min="4" max="11" width="9.140625" style="4"/>
  </cols>
  <sheetData>
    <row r="1" spans="1:15" x14ac:dyDescent="0.25">
      <c r="A1" s="1" t="s">
        <v>0</v>
      </c>
      <c r="B1" s="1" t="s">
        <v>1</v>
      </c>
      <c r="C1" s="1" t="s">
        <v>2</v>
      </c>
      <c r="D1" s="3" t="s">
        <v>3</v>
      </c>
      <c r="E1" s="3" t="s">
        <v>4</v>
      </c>
      <c r="F1" s="3" t="s">
        <v>5</v>
      </c>
      <c r="G1" s="3" t="s">
        <v>6</v>
      </c>
      <c r="H1" s="3" t="s">
        <v>7</v>
      </c>
      <c r="I1" s="3" t="s">
        <v>8</v>
      </c>
      <c r="J1" s="3" t="s">
        <v>9</v>
      </c>
      <c r="K1" s="3" t="s">
        <v>10</v>
      </c>
      <c r="L1" s="1" t="s">
        <v>11</v>
      </c>
      <c r="M1" s="1" t="s">
        <v>12</v>
      </c>
      <c r="N1" s="1" t="s">
        <v>13</v>
      </c>
      <c r="O1" s="1" t="s">
        <v>14</v>
      </c>
    </row>
    <row r="2" spans="1:15" x14ac:dyDescent="0.25">
      <c r="A2" t="s">
        <v>15</v>
      </c>
      <c r="B2" s="2">
        <v>45362</v>
      </c>
      <c r="C2" s="2">
        <v>45388</v>
      </c>
      <c r="D2" s="4" t="s">
        <v>646</v>
      </c>
      <c r="E2" s="4" t="s">
        <v>650</v>
      </c>
      <c r="F2" s="4" t="s">
        <v>662</v>
      </c>
      <c r="G2" s="4" t="s">
        <v>701</v>
      </c>
      <c r="H2" s="4" t="s">
        <v>707</v>
      </c>
      <c r="I2" s="4" t="s">
        <v>712</v>
      </c>
      <c r="J2" s="4" t="s">
        <v>727</v>
      </c>
      <c r="K2" s="4" t="s">
        <v>734</v>
      </c>
      <c r="L2">
        <v>279.24</v>
      </c>
      <c r="M2">
        <v>608.9</v>
      </c>
      <c r="N2">
        <v>0.112</v>
      </c>
      <c r="O2">
        <v>9</v>
      </c>
    </row>
    <row r="3" spans="1:15" x14ac:dyDescent="0.25">
      <c r="A3" t="s">
        <v>16</v>
      </c>
      <c r="B3" s="2">
        <v>45588</v>
      </c>
      <c r="C3" s="2">
        <v>45587</v>
      </c>
      <c r="D3" s="4" t="s">
        <v>646</v>
      </c>
      <c r="E3" s="4" t="s">
        <v>651</v>
      </c>
      <c r="F3" s="4" t="s">
        <v>663</v>
      </c>
      <c r="G3" s="4" t="s">
        <v>702</v>
      </c>
      <c r="H3" s="4" t="s">
        <v>708</v>
      </c>
      <c r="I3" s="4" t="s">
        <v>713</v>
      </c>
      <c r="J3" s="4" t="s">
        <v>728</v>
      </c>
      <c r="K3" s="4" t="s">
        <v>735</v>
      </c>
      <c r="L3">
        <v>1084.3900000000001</v>
      </c>
      <c r="M3">
        <v>759.33</v>
      </c>
      <c r="N3">
        <v>0.23699999999999999</v>
      </c>
      <c r="O3">
        <v>31</v>
      </c>
    </row>
    <row r="4" spans="1:15" x14ac:dyDescent="0.25">
      <c r="A4" t="s">
        <v>17</v>
      </c>
      <c r="B4" s="2">
        <v>44985</v>
      </c>
      <c r="C4" s="2">
        <v>45010</v>
      </c>
      <c r="D4" s="4" t="s">
        <v>646</v>
      </c>
      <c r="E4" s="4" t="s">
        <v>650</v>
      </c>
      <c r="F4" s="4" t="s">
        <v>664</v>
      </c>
      <c r="G4" s="4" t="s">
        <v>701</v>
      </c>
      <c r="H4" s="4" t="s">
        <v>707</v>
      </c>
      <c r="I4" s="4" t="s">
        <v>714</v>
      </c>
      <c r="J4" s="4" t="s">
        <v>729</v>
      </c>
      <c r="K4" s="4" t="s">
        <v>736</v>
      </c>
      <c r="L4">
        <v>1460.76</v>
      </c>
      <c r="M4">
        <v>-30.66</v>
      </c>
      <c r="N4">
        <v>0.13100000000000001</v>
      </c>
      <c r="O4">
        <v>12</v>
      </c>
    </row>
    <row r="5" spans="1:15" x14ac:dyDescent="0.25">
      <c r="A5" t="s">
        <v>18</v>
      </c>
      <c r="B5" s="2">
        <v>45745</v>
      </c>
      <c r="C5" s="2">
        <v>45749</v>
      </c>
      <c r="D5" s="4" t="s">
        <v>646</v>
      </c>
      <c r="E5" s="4" t="s">
        <v>651</v>
      </c>
      <c r="F5" s="4" t="s">
        <v>665</v>
      </c>
      <c r="G5" s="4" t="s">
        <v>703</v>
      </c>
      <c r="H5" s="4" t="s">
        <v>709</v>
      </c>
      <c r="I5" s="4" t="s">
        <v>715</v>
      </c>
      <c r="J5" s="4" t="s">
        <v>730</v>
      </c>
      <c r="K5" s="4" t="s">
        <v>737</v>
      </c>
      <c r="L5">
        <v>259.93</v>
      </c>
      <c r="M5">
        <v>255.94</v>
      </c>
      <c r="N5">
        <v>7.1999999999999995E-2</v>
      </c>
      <c r="O5">
        <v>22</v>
      </c>
    </row>
    <row r="6" spans="1:15" x14ac:dyDescent="0.25">
      <c r="A6" t="s">
        <v>19</v>
      </c>
      <c r="B6" s="2">
        <v>45266</v>
      </c>
      <c r="C6" s="2">
        <v>45291</v>
      </c>
      <c r="D6" s="4" t="s">
        <v>647</v>
      </c>
      <c r="E6" s="4" t="s">
        <v>652</v>
      </c>
      <c r="F6" s="4" t="s">
        <v>666</v>
      </c>
      <c r="G6" s="4" t="s">
        <v>704</v>
      </c>
      <c r="H6" s="4" t="s">
        <v>707</v>
      </c>
      <c r="I6" s="4" t="s">
        <v>716</v>
      </c>
      <c r="J6" s="4" t="s">
        <v>728</v>
      </c>
      <c r="K6" s="4" t="s">
        <v>738</v>
      </c>
      <c r="L6">
        <v>663.03</v>
      </c>
      <c r="M6">
        <v>813.51</v>
      </c>
      <c r="N6">
        <v>0.10199999999999999</v>
      </c>
      <c r="O6">
        <v>15</v>
      </c>
    </row>
    <row r="7" spans="1:15" x14ac:dyDescent="0.25">
      <c r="A7" t="s">
        <v>20</v>
      </c>
      <c r="B7" s="2">
        <v>44928</v>
      </c>
      <c r="C7" s="2">
        <v>44931</v>
      </c>
      <c r="D7" s="4" t="s">
        <v>648</v>
      </c>
      <c r="E7" s="4" t="s">
        <v>653</v>
      </c>
      <c r="F7" s="4" t="s">
        <v>667</v>
      </c>
      <c r="G7" s="4" t="s">
        <v>701</v>
      </c>
      <c r="H7" s="4" t="s">
        <v>710</v>
      </c>
      <c r="I7" s="4" t="s">
        <v>717</v>
      </c>
      <c r="J7" s="4" t="s">
        <v>731</v>
      </c>
      <c r="K7" s="4" t="s">
        <v>739</v>
      </c>
      <c r="L7">
        <v>315.87</v>
      </c>
      <c r="M7">
        <v>591.67999999999995</v>
      </c>
      <c r="N7">
        <v>0</v>
      </c>
      <c r="O7">
        <v>7</v>
      </c>
    </row>
    <row r="8" spans="1:15" x14ac:dyDescent="0.25">
      <c r="A8" t="s">
        <v>21</v>
      </c>
      <c r="B8" s="2">
        <v>45653</v>
      </c>
      <c r="C8" s="2">
        <v>45671</v>
      </c>
      <c r="D8" s="4" t="s">
        <v>647</v>
      </c>
      <c r="E8" s="4" t="s">
        <v>654</v>
      </c>
      <c r="F8" s="4" t="s">
        <v>668</v>
      </c>
      <c r="G8" s="4" t="s">
        <v>705</v>
      </c>
      <c r="H8" s="4" t="s">
        <v>709</v>
      </c>
      <c r="I8" s="4" t="s">
        <v>718</v>
      </c>
      <c r="J8" s="4" t="s">
        <v>732</v>
      </c>
      <c r="K8" s="4" t="s">
        <v>740</v>
      </c>
      <c r="L8">
        <v>586.07000000000005</v>
      </c>
      <c r="M8">
        <v>845.97</v>
      </c>
      <c r="N8">
        <v>0.14699999999999999</v>
      </c>
      <c r="O8">
        <v>4</v>
      </c>
    </row>
    <row r="9" spans="1:15" x14ac:dyDescent="0.25">
      <c r="A9" t="s">
        <v>22</v>
      </c>
      <c r="B9" s="2">
        <v>44941</v>
      </c>
      <c r="C9" s="2">
        <v>44939</v>
      </c>
      <c r="D9" s="4" t="s">
        <v>646</v>
      </c>
      <c r="E9" s="4" t="s">
        <v>651</v>
      </c>
      <c r="F9" s="4" t="s">
        <v>669</v>
      </c>
      <c r="G9" s="4" t="s">
        <v>702</v>
      </c>
      <c r="H9" s="4" t="s">
        <v>708</v>
      </c>
      <c r="I9" s="4" t="s">
        <v>719</v>
      </c>
      <c r="J9" s="4" t="s">
        <v>728</v>
      </c>
      <c r="K9" s="4" t="s">
        <v>741</v>
      </c>
      <c r="L9">
        <v>28.38</v>
      </c>
      <c r="M9">
        <v>47.22</v>
      </c>
      <c r="N9">
        <v>0.19400000000000001</v>
      </c>
      <c r="O9">
        <v>18</v>
      </c>
    </row>
    <row r="10" spans="1:15" x14ac:dyDescent="0.25">
      <c r="A10" t="s">
        <v>23</v>
      </c>
      <c r="B10" s="2">
        <v>45416</v>
      </c>
      <c r="C10" s="2">
        <v>45441</v>
      </c>
      <c r="D10" s="4" t="s">
        <v>646</v>
      </c>
      <c r="E10" s="4" t="s">
        <v>651</v>
      </c>
      <c r="F10" s="4" t="s">
        <v>669</v>
      </c>
      <c r="G10" s="4" t="s">
        <v>703</v>
      </c>
      <c r="H10" s="4" t="s">
        <v>709</v>
      </c>
      <c r="I10" s="4" t="s">
        <v>719</v>
      </c>
      <c r="J10" s="4" t="s">
        <v>732</v>
      </c>
      <c r="K10" s="4" t="s">
        <v>742</v>
      </c>
      <c r="L10">
        <v>1295.3399999999999</v>
      </c>
      <c r="M10">
        <v>2530.81</v>
      </c>
      <c r="N10">
        <v>3.1E-2</v>
      </c>
      <c r="O10">
        <v>6</v>
      </c>
    </row>
    <row r="11" spans="1:15" x14ac:dyDescent="0.25">
      <c r="A11" t="s">
        <v>24</v>
      </c>
      <c r="B11" s="2">
        <v>45798</v>
      </c>
      <c r="C11" s="2">
        <v>45817</v>
      </c>
      <c r="D11" s="4" t="s">
        <v>648</v>
      </c>
      <c r="E11" s="4" t="s">
        <v>655</v>
      </c>
      <c r="F11" s="4" t="s">
        <v>670</v>
      </c>
      <c r="G11" s="4" t="s">
        <v>703</v>
      </c>
      <c r="H11" s="4" t="s">
        <v>708</v>
      </c>
      <c r="I11" s="4" t="s">
        <v>720</v>
      </c>
      <c r="J11" s="4" t="s">
        <v>727</v>
      </c>
      <c r="K11" s="4" t="s">
        <v>743</v>
      </c>
      <c r="L11">
        <v>1331.38</v>
      </c>
      <c r="M11">
        <v>2309.56</v>
      </c>
      <c r="N11">
        <v>0.14899999999999999</v>
      </c>
      <c r="O11">
        <v>31</v>
      </c>
    </row>
    <row r="12" spans="1:15" x14ac:dyDescent="0.25">
      <c r="A12" t="s">
        <v>25</v>
      </c>
      <c r="B12" s="2">
        <v>45319</v>
      </c>
      <c r="C12" s="2">
        <v>45331</v>
      </c>
      <c r="D12" s="4" t="s">
        <v>649</v>
      </c>
      <c r="E12" s="4" t="s">
        <v>656</v>
      </c>
      <c r="F12" s="4" t="s">
        <v>671</v>
      </c>
      <c r="G12" s="4" t="s">
        <v>701</v>
      </c>
      <c r="H12" s="4" t="s">
        <v>708</v>
      </c>
      <c r="I12" s="4" t="s">
        <v>715</v>
      </c>
      <c r="J12" s="4" t="s">
        <v>733</v>
      </c>
      <c r="K12" s="4" t="s">
        <v>744</v>
      </c>
      <c r="L12">
        <v>644.16999999999996</v>
      </c>
      <c r="M12">
        <v>700.12</v>
      </c>
      <c r="N12">
        <v>6.0000000000000001E-3</v>
      </c>
      <c r="O12">
        <v>23</v>
      </c>
    </row>
    <row r="13" spans="1:15" x14ac:dyDescent="0.25">
      <c r="A13" t="s">
        <v>26</v>
      </c>
      <c r="B13" s="2">
        <v>45660</v>
      </c>
      <c r="C13" s="2">
        <v>45680</v>
      </c>
      <c r="D13" s="4" t="s">
        <v>647</v>
      </c>
      <c r="E13" s="4" t="s">
        <v>652</v>
      </c>
      <c r="F13" s="4" t="s">
        <v>666</v>
      </c>
      <c r="G13" s="4" t="s">
        <v>701</v>
      </c>
      <c r="H13" s="4" t="s">
        <v>710</v>
      </c>
      <c r="I13" s="4" t="s">
        <v>721</v>
      </c>
      <c r="J13" s="4" t="s">
        <v>730</v>
      </c>
      <c r="K13" s="4" t="s">
        <v>745</v>
      </c>
      <c r="L13">
        <v>908.6</v>
      </c>
      <c r="M13">
        <v>691.37</v>
      </c>
      <c r="N13">
        <v>0.25</v>
      </c>
      <c r="O13">
        <v>20</v>
      </c>
    </row>
    <row r="14" spans="1:15" x14ac:dyDescent="0.25">
      <c r="A14" t="s">
        <v>27</v>
      </c>
      <c r="B14" s="2">
        <v>45722</v>
      </c>
      <c r="C14" s="2">
        <v>45747</v>
      </c>
      <c r="D14" s="4" t="s">
        <v>648</v>
      </c>
      <c r="E14" s="4" t="s">
        <v>655</v>
      </c>
      <c r="F14" s="4" t="s">
        <v>672</v>
      </c>
      <c r="G14" s="4" t="s">
        <v>703</v>
      </c>
      <c r="H14" s="4" t="s">
        <v>708</v>
      </c>
      <c r="I14" s="4" t="s">
        <v>713</v>
      </c>
      <c r="J14" s="4" t="s">
        <v>727</v>
      </c>
      <c r="K14" s="4" t="s">
        <v>746</v>
      </c>
      <c r="L14">
        <v>331.57</v>
      </c>
      <c r="M14">
        <v>548.4</v>
      </c>
      <c r="N14">
        <v>9.4E-2</v>
      </c>
      <c r="O14">
        <v>10</v>
      </c>
    </row>
    <row r="15" spans="1:15" x14ac:dyDescent="0.25">
      <c r="A15" t="s">
        <v>28</v>
      </c>
      <c r="B15" s="2">
        <v>45311</v>
      </c>
      <c r="C15" s="2">
        <v>45335</v>
      </c>
      <c r="D15" s="4" t="s">
        <v>649</v>
      </c>
      <c r="E15" s="4" t="s">
        <v>657</v>
      </c>
      <c r="F15" s="4" t="s">
        <v>673</v>
      </c>
      <c r="G15" s="4" t="s">
        <v>701</v>
      </c>
      <c r="H15" s="4" t="s">
        <v>707</v>
      </c>
      <c r="I15" s="4" t="s">
        <v>722</v>
      </c>
      <c r="J15" s="4" t="s">
        <v>728</v>
      </c>
      <c r="K15" s="4" t="s">
        <v>747</v>
      </c>
      <c r="L15">
        <v>643.53</v>
      </c>
      <c r="M15">
        <v>1439.01</v>
      </c>
      <c r="N15">
        <v>0</v>
      </c>
      <c r="O15">
        <v>15</v>
      </c>
    </row>
    <row r="16" spans="1:15" x14ac:dyDescent="0.25">
      <c r="A16" t="s">
        <v>29</v>
      </c>
      <c r="B16" s="2">
        <v>45901</v>
      </c>
      <c r="C16" s="2">
        <v>45930</v>
      </c>
      <c r="D16" s="4" t="s">
        <v>648</v>
      </c>
      <c r="E16" s="4" t="s">
        <v>655</v>
      </c>
      <c r="F16" s="4" t="s">
        <v>672</v>
      </c>
      <c r="G16" s="4" t="s">
        <v>702</v>
      </c>
      <c r="H16" s="4" t="s">
        <v>707</v>
      </c>
      <c r="I16" s="4" t="s">
        <v>723</v>
      </c>
      <c r="J16" s="4" t="s">
        <v>733</v>
      </c>
      <c r="K16" s="4" t="s">
        <v>748</v>
      </c>
      <c r="L16">
        <v>780.59</v>
      </c>
      <c r="M16">
        <v>631.57000000000005</v>
      </c>
      <c r="N16">
        <v>0</v>
      </c>
      <c r="O16">
        <v>12</v>
      </c>
    </row>
    <row r="17" spans="1:15" x14ac:dyDescent="0.25">
      <c r="A17" t="s">
        <v>30</v>
      </c>
      <c r="B17" s="2">
        <v>45039</v>
      </c>
      <c r="C17" s="2">
        <v>45038</v>
      </c>
      <c r="D17" s="4" t="s">
        <v>646</v>
      </c>
      <c r="E17" s="4" t="s">
        <v>650</v>
      </c>
      <c r="F17" s="4" t="s">
        <v>664</v>
      </c>
      <c r="G17" s="4" t="s">
        <v>705</v>
      </c>
      <c r="H17" s="4" t="s">
        <v>711</v>
      </c>
      <c r="I17" s="4" t="s">
        <v>718</v>
      </c>
      <c r="J17" s="4" t="s">
        <v>731</v>
      </c>
      <c r="K17" s="4" t="s">
        <v>749</v>
      </c>
      <c r="L17">
        <v>756.51</v>
      </c>
      <c r="M17">
        <v>850.8</v>
      </c>
      <c r="N17">
        <v>7.3999999999999996E-2</v>
      </c>
      <c r="O17">
        <v>9</v>
      </c>
    </row>
    <row r="18" spans="1:15" x14ac:dyDescent="0.25">
      <c r="A18" t="s">
        <v>31</v>
      </c>
      <c r="B18" s="2">
        <v>45636</v>
      </c>
      <c r="C18" s="2">
        <v>45665</v>
      </c>
      <c r="D18" s="4" t="s">
        <v>649</v>
      </c>
      <c r="E18" s="4" t="s">
        <v>657</v>
      </c>
      <c r="F18" s="4" t="s">
        <v>673</v>
      </c>
      <c r="G18" s="4" t="s">
        <v>705</v>
      </c>
      <c r="H18" s="4" t="s">
        <v>707</v>
      </c>
      <c r="I18" s="4" t="s">
        <v>723</v>
      </c>
      <c r="J18" s="4" t="s">
        <v>728</v>
      </c>
      <c r="K18" s="4" t="s">
        <v>750</v>
      </c>
      <c r="L18">
        <v>891.08</v>
      </c>
      <c r="M18">
        <v>1040.0999999999999</v>
      </c>
      <c r="N18">
        <v>0.109</v>
      </c>
      <c r="O18">
        <v>28</v>
      </c>
    </row>
    <row r="19" spans="1:15" x14ac:dyDescent="0.25">
      <c r="A19" t="s">
        <v>32</v>
      </c>
      <c r="B19" s="2">
        <v>45908</v>
      </c>
      <c r="C19" s="2">
        <v>45916</v>
      </c>
      <c r="D19" s="4" t="s">
        <v>647</v>
      </c>
      <c r="E19" s="4" t="s">
        <v>652</v>
      </c>
      <c r="F19" s="4" t="s">
        <v>666</v>
      </c>
      <c r="G19" s="4" t="s">
        <v>701</v>
      </c>
      <c r="H19" s="4" t="s">
        <v>710</v>
      </c>
      <c r="I19" s="4" t="s">
        <v>712</v>
      </c>
      <c r="J19" s="4" t="s">
        <v>730</v>
      </c>
      <c r="K19" s="4" t="s">
        <v>751</v>
      </c>
      <c r="L19">
        <v>1225.57</v>
      </c>
      <c r="M19">
        <v>2705.57</v>
      </c>
      <c r="N19">
        <v>0.183</v>
      </c>
      <c r="O19">
        <v>16</v>
      </c>
    </row>
    <row r="20" spans="1:15" x14ac:dyDescent="0.25">
      <c r="A20" t="s">
        <v>33</v>
      </c>
      <c r="B20" s="2">
        <v>45858</v>
      </c>
      <c r="C20" s="2">
        <v>45874</v>
      </c>
      <c r="D20" s="4" t="s">
        <v>648</v>
      </c>
      <c r="E20" s="4" t="s">
        <v>655</v>
      </c>
      <c r="F20" s="4" t="s">
        <v>672</v>
      </c>
      <c r="G20" s="4" t="s">
        <v>706</v>
      </c>
      <c r="H20" s="4" t="s">
        <v>709</v>
      </c>
      <c r="I20" s="4" t="s">
        <v>715</v>
      </c>
      <c r="J20" s="4" t="s">
        <v>733</v>
      </c>
      <c r="K20" s="4" t="s">
        <v>752</v>
      </c>
      <c r="L20">
        <v>1068.17</v>
      </c>
      <c r="M20">
        <v>2375.37</v>
      </c>
      <c r="N20">
        <v>0.109</v>
      </c>
      <c r="O20">
        <v>18</v>
      </c>
    </row>
    <row r="21" spans="1:15" x14ac:dyDescent="0.25">
      <c r="A21" t="s">
        <v>34</v>
      </c>
      <c r="B21" s="2">
        <v>45798</v>
      </c>
      <c r="C21" s="2">
        <v>45796</v>
      </c>
      <c r="D21" s="4" t="s">
        <v>649</v>
      </c>
      <c r="E21" s="4" t="s">
        <v>658</v>
      </c>
      <c r="F21" s="4" t="s">
        <v>674</v>
      </c>
      <c r="G21" s="4" t="s">
        <v>706</v>
      </c>
      <c r="H21" s="4" t="s">
        <v>708</v>
      </c>
      <c r="I21" s="4" t="s">
        <v>724</v>
      </c>
      <c r="J21" s="4" t="s">
        <v>731</v>
      </c>
      <c r="K21" s="4" t="s">
        <v>753</v>
      </c>
      <c r="L21">
        <v>1015.16</v>
      </c>
      <c r="M21">
        <v>2148.14</v>
      </c>
      <c r="N21">
        <v>3.7999999999999999E-2</v>
      </c>
      <c r="O21">
        <v>19</v>
      </c>
    </row>
    <row r="22" spans="1:15" x14ac:dyDescent="0.25">
      <c r="A22" t="s">
        <v>35</v>
      </c>
      <c r="B22" s="2">
        <v>45498</v>
      </c>
      <c r="C22" s="2">
        <v>45497</v>
      </c>
      <c r="D22" s="4" t="s">
        <v>646</v>
      </c>
      <c r="E22" s="4" t="s">
        <v>650</v>
      </c>
      <c r="F22" s="4" t="s">
        <v>675</v>
      </c>
      <c r="G22" s="4" t="s">
        <v>703</v>
      </c>
      <c r="H22" s="4" t="s">
        <v>711</v>
      </c>
      <c r="I22" s="4" t="s">
        <v>713</v>
      </c>
      <c r="J22" s="4" t="s">
        <v>731</v>
      </c>
      <c r="K22" s="4" t="s">
        <v>754</v>
      </c>
      <c r="L22">
        <v>1494.4</v>
      </c>
      <c r="M22">
        <v>3661.07</v>
      </c>
      <c r="N22">
        <v>7.1999999999999995E-2</v>
      </c>
      <c r="O22">
        <v>7</v>
      </c>
    </row>
    <row r="23" spans="1:15" x14ac:dyDescent="0.25">
      <c r="A23" t="s">
        <v>36</v>
      </c>
      <c r="B23" s="2">
        <v>45057</v>
      </c>
      <c r="C23" s="2">
        <v>45074</v>
      </c>
      <c r="D23" s="4" t="s">
        <v>647</v>
      </c>
      <c r="E23" s="4" t="s">
        <v>659</v>
      </c>
      <c r="F23" s="4" t="s">
        <v>676</v>
      </c>
      <c r="G23" s="4" t="s">
        <v>706</v>
      </c>
      <c r="H23" s="4" t="s">
        <v>709</v>
      </c>
      <c r="I23" s="4" t="s">
        <v>718</v>
      </c>
      <c r="J23" s="4" t="s">
        <v>729</v>
      </c>
      <c r="K23" s="4" t="s">
        <v>755</v>
      </c>
      <c r="L23">
        <v>1331.19</v>
      </c>
      <c r="M23">
        <v>2903.09</v>
      </c>
      <c r="N23">
        <v>0.14299999999999999</v>
      </c>
      <c r="O23">
        <v>8</v>
      </c>
    </row>
    <row r="24" spans="1:15" x14ac:dyDescent="0.25">
      <c r="A24" t="s">
        <v>37</v>
      </c>
      <c r="B24" s="2">
        <v>45822</v>
      </c>
      <c r="C24" s="2">
        <v>45837</v>
      </c>
      <c r="D24" s="4" t="s">
        <v>646</v>
      </c>
      <c r="E24" s="4" t="s">
        <v>651</v>
      </c>
      <c r="F24" s="4" t="s">
        <v>663</v>
      </c>
      <c r="G24" s="4" t="s">
        <v>704</v>
      </c>
      <c r="H24" s="4" t="s">
        <v>709</v>
      </c>
      <c r="I24" s="4" t="s">
        <v>724</v>
      </c>
      <c r="J24" s="4" t="s">
        <v>733</v>
      </c>
      <c r="K24" s="4" t="s">
        <v>756</v>
      </c>
      <c r="L24">
        <v>730.99</v>
      </c>
      <c r="M24">
        <v>1242.8399999999999</v>
      </c>
      <c r="N24">
        <v>0.12</v>
      </c>
      <c r="O24">
        <v>10</v>
      </c>
    </row>
    <row r="25" spans="1:15" x14ac:dyDescent="0.25">
      <c r="A25" t="s">
        <v>38</v>
      </c>
      <c r="B25" s="2">
        <v>45430</v>
      </c>
      <c r="C25" s="2">
        <v>45435</v>
      </c>
      <c r="D25" s="4" t="s">
        <v>648</v>
      </c>
      <c r="E25" s="4" t="s">
        <v>660</v>
      </c>
      <c r="F25" s="4" t="s">
        <v>677</v>
      </c>
      <c r="G25" s="4" t="s">
        <v>706</v>
      </c>
      <c r="H25" s="4" t="s">
        <v>707</v>
      </c>
      <c r="I25" s="4" t="s">
        <v>722</v>
      </c>
      <c r="J25" s="4" t="s">
        <v>731</v>
      </c>
      <c r="K25" s="4" t="s">
        <v>757</v>
      </c>
      <c r="L25">
        <v>1274.5899999999999</v>
      </c>
      <c r="M25">
        <v>2553.69</v>
      </c>
      <c r="N25">
        <v>0.01</v>
      </c>
      <c r="O25">
        <v>8</v>
      </c>
    </row>
    <row r="26" spans="1:15" x14ac:dyDescent="0.25">
      <c r="A26" t="s">
        <v>39</v>
      </c>
      <c r="B26" s="2">
        <v>44964</v>
      </c>
      <c r="C26" s="2">
        <v>44969</v>
      </c>
      <c r="D26" s="4" t="s">
        <v>648</v>
      </c>
      <c r="E26" s="4" t="s">
        <v>655</v>
      </c>
      <c r="F26" s="4" t="s">
        <v>670</v>
      </c>
      <c r="G26" s="4" t="s">
        <v>702</v>
      </c>
      <c r="H26" s="4" t="s">
        <v>708</v>
      </c>
      <c r="I26" s="4" t="s">
        <v>725</v>
      </c>
      <c r="J26" s="4" t="s">
        <v>727</v>
      </c>
      <c r="K26" s="4" t="s">
        <v>758</v>
      </c>
      <c r="L26">
        <v>948.55</v>
      </c>
      <c r="M26">
        <v>2089.16</v>
      </c>
      <c r="N26">
        <v>7.0000000000000001E-3</v>
      </c>
      <c r="O26">
        <v>12</v>
      </c>
    </row>
    <row r="27" spans="1:15" x14ac:dyDescent="0.25">
      <c r="A27" t="s">
        <v>40</v>
      </c>
      <c r="B27" s="2">
        <v>45473</v>
      </c>
      <c r="C27" s="2">
        <v>45487</v>
      </c>
      <c r="D27" s="4" t="s">
        <v>648</v>
      </c>
      <c r="E27" s="4" t="s">
        <v>655</v>
      </c>
      <c r="F27" s="4" t="s">
        <v>672</v>
      </c>
      <c r="G27" s="4" t="s">
        <v>702</v>
      </c>
      <c r="H27" s="4" t="s">
        <v>707</v>
      </c>
      <c r="I27" s="4" t="s">
        <v>712</v>
      </c>
      <c r="J27" s="4" t="s">
        <v>733</v>
      </c>
      <c r="K27" s="4" t="s">
        <v>759</v>
      </c>
      <c r="L27">
        <v>1491.85</v>
      </c>
      <c r="M27">
        <v>2583.02</v>
      </c>
      <c r="N27">
        <v>0.16800000000000001</v>
      </c>
      <c r="O27">
        <v>4</v>
      </c>
    </row>
    <row r="28" spans="1:15" x14ac:dyDescent="0.25">
      <c r="A28" t="s">
        <v>41</v>
      </c>
      <c r="B28" s="2">
        <v>45626</v>
      </c>
      <c r="C28" s="2">
        <v>45656</v>
      </c>
      <c r="D28" s="4" t="s">
        <v>649</v>
      </c>
      <c r="E28" s="4" t="s">
        <v>657</v>
      </c>
      <c r="F28" s="4" t="s">
        <v>673</v>
      </c>
      <c r="G28" s="4" t="s">
        <v>704</v>
      </c>
      <c r="H28" s="4" t="s">
        <v>709</v>
      </c>
      <c r="I28" s="4" t="s">
        <v>721</v>
      </c>
      <c r="J28" s="4" t="s">
        <v>728</v>
      </c>
      <c r="K28" s="4" t="s">
        <v>760</v>
      </c>
      <c r="L28">
        <v>117.64</v>
      </c>
      <c r="M28">
        <v>175.67</v>
      </c>
      <c r="N28">
        <v>0</v>
      </c>
      <c r="O28">
        <v>10</v>
      </c>
    </row>
    <row r="29" spans="1:15" x14ac:dyDescent="0.25">
      <c r="A29" t="s">
        <v>42</v>
      </c>
      <c r="B29" s="2">
        <v>45492</v>
      </c>
      <c r="C29" s="2">
        <v>45492</v>
      </c>
      <c r="D29" s="4" t="s">
        <v>646</v>
      </c>
      <c r="E29" s="4" t="s">
        <v>650</v>
      </c>
      <c r="F29" s="4" t="s">
        <v>662</v>
      </c>
      <c r="G29" s="4" t="s">
        <v>705</v>
      </c>
      <c r="H29" s="4" t="s">
        <v>707</v>
      </c>
      <c r="I29" s="4" t="s">
        <v>720</v>
      </c>
      <c r="J29" s="4" t="s">
        <v>730</v>
      </c>
      <c r="K29" s="4" t="s">
        <v>761</v>
      </c>
      <c r="L29">
        <v>857.24</v>
      </c>
      <c r="M29">
        <v>758.23</v>
      </c>
      <c r="N29">
        <v>0.125</v>
      </c>
      <c r="O29">
        <v>6</v>
      </c>
    </row>
    <row r="30" spans="1:15" x14ac:dyDescent="0.25">
      <c r="A30" t="s">
        <v>43</v>
      </c>
      <c r="B30" s="2">
        <v>45030</v>
      </c>
      <c r="C30" s="2">
        <v>45060</v>
      </c>
      <c r="D30" s="4" t="s">
        <v>646</v>
      </c>
      <c r="E30" s="4" t="s">
        <v>650</v>
      </c>
      <c r="F30" s="4" t="s">
        <v>678</v>
      </c>
      <c r="G30" s="4" t="s">
        <v>704</v>
      </c>
      <c r="H30" s="4" t="s">
        <v>709</v>
      </c>
      <c r="I30" s="4" t="s">
        <v>724</v>
      </c>
      <c r="J30" s="4" t="s">
        <v>730</v>
      </c>
      <c r="K30" s="4" t="s">
        <v>762</v>
      </c>
      <c r="L30">
        <v>209.25</v>
      </c>
      <c r="M30">
        <v>434.8</v>
      </c>
      <c r="N30">
        <v>0</v>
      </c>
      <c r="O30">
        <v>9</v>
      </c>
    </row>
    <row r="31" spans="1:15" x14ac:dyDescent="0.25">
      <c r="A31" t="s">
        <v>44</v>
      </c>
      <c r="B31" s="2">
        <v>45754</v>
      </c>
      <c r="C31" s="2">
        <v>45758</v>
      </c>
      <c r="D31" s="4" t="s">
        <v>649</v>
      </c>
      <c r="E31" s="4" t="s">
        <v>657</v>
      </c>
      <c r="F31" s="4" t="s">
        <v>679</v>
      </c>
      <c r="G31" s="4" t="s">
        <v>702</v>
      </c>
      <c r="H31" s="4" t="s">
        <v>707</v>
      </c>
      <c r="I31" s="4" t="s">
        <v>718</v>
      </c>
      <c r="J31" s="4" t="s">
        <v>729</v>
      </c>
      <c r="K31" s="4" t="s">
        <v>763</v>
      </c>
      <c r="L31">
        <v>754.77</v>
      </c>
      <c r="M31">
        <v>1666.18</v>
      </c>
      <c r="N31">
        <v>0.13900000000000001</v>
      </c>
      <c r="O31">
        <v>14</v>
      </c>
    </row>
    <row r="32" spans="1:15" x14ac:dyDescent="0.25">
      <c r="A32" t="s">
        <v>45</v>
      </c>
      <c r="B32" s="2">
        <v>45653</v>
      </c>
      <c r="C32" s="2">
        <v>45672</v>
      </c>
      <c r="D32" s="4" t="s">
        <v>647</v>
      </c>
      <c r="E32" s="4" t="s">
        <v>654</v>
      </c>
      <c r="F32" s="4" t="s">
        <v>680</v>
      </c>
      <c r="G32" s="4" t="s">
        <v>703</v>
      </c>
      <c r="H32" s="4" t="s">
        <v>710</v>
      </c>
      <c r="I32" s="4" t="s">
        <v>715</v>
      </c>
      <c r="J32" s="4" t="s">
        <v>727</v>
      </c>
      <c r="K32" s="4" t="s">
        <v>764</v>
      </c>
      <c r="L32">
        <v>495.59</v>
      </c>
      <c r="M32">
        <v>631.78</v>
      </c>
      <c r="N32">
        <v>8.6999999999999994E-2</v>
      </c>
      <c r="O32">
        <v>17</v>
      </c>
    </row>
    <row r="33" spans="1:15" x14ac:dyDescent="0.25">
      <c r="A33" t="s">
        <v>46</v>
      </c>
      <c r="B33" s="2">
        <v>44980</v>
      </c>
      <c r="C33" s="2">
        <v>45010</v>
      </c>
      <c r="D33" s="4" t="s">
        <v>648</v>
      </c>
      <c r="E33" s="4" t="s">
        <v>653</v>
      </c>
      <c r="F33" s="4" t="s">
        <v>681</v>
      </c>
      <c r="G33" s="4" t="s">
        <v>706</v>
      </c>
      <c r="H33" s="4" t="s">
        <v>708</v>
      </c>
      <c r="I33" s="4" t="s">
        <v>726</v>
      </c>
      <c r="J33" s="4" t="s">
        <v>730</v>
      </c>
      <c r="K33" s="4" t="s">
        <v>765</v>
      </c>
      <c r="L33">
        <v>1242.6600000000001</v>
      </c>
      <c r="M33">
        <v>1794.07</v>
      </c>
      <c r="N33">
        <v>8.8999999999999996E-2</v>
      </c>
      <c r="O33">
        <v>16</v>
      </c>
    </row>
    <row r="34" spans="1:15" x14ac:dyDescent="0.25">
      <c r="A34" t="s">
        <v>47</v>
      </c>
      <c r="B34" s="2">
        <v>45862</v>
      </c>
      <c r="C34" s="2">
        <v>45875</v>
      </c>
      <c r="D34" s="4" t="s">
        <v>646</v>
      </c>
      <c r="E34" s="4" t="s">
        <v>661</v>
      </c>
      <c r="F34" s="4" t="s">
        <v>682</v>
      </c>
      <c r="G34" s="4" t="s">
        <v>702</v>
      </c>
      <c r="H34" s="4" t="s">
        <v>709</v>
      </c>
      <c r="I34" s="4" t="s">
        <v>726</v>
      </c>
      <c r="J34" s="4" t="s">
        <v>729</v>
      </c>
      <c r="K34" s="4" t="s">
        <v>766</v>
      </c>
      <c r="L34">
        <v>1463.9</v>
      </c>
      <c r="M34">
        <v>2633.02</v>
      </c>
      <c r="N34">
        <v>8.4000000000000005E-2</v>
      </c>
      <c r="O34">
        <v>4</v>
      </c>
    </row>
    <row r="35" spans="1:15" x14ac:dyDescent="0.25">
      <c r="A35" t="s">
        <v>48</v>
      </c>
      <c r="B35" s="2">
        <v>45400</v>
      </c>
      <c r="C35" s="2">
        <v>45420</v>
      </c>
      <c r="D35" s="4" t="s">
        <v>649</v>
      </c>
      <c r="E35" s="4" t="s">
        <v>658</v>
      </c>
      <c r="F35" s="4" t="s">
        <v>683</v>
      </c>
      <c r="G35" s="4" t="s">
        <v>703</v>
      </c>
      <c r="I35" s="4" t="s">
        <v>726</v>
      </c>
      <c r="J35" s="4" t="s">
        <v>731</v>
      </c>
      <c r="K35" s="4" t="s">
        <v>767</v>
      </c>
      <c r="L35">
        <v>645.33000000000004</v>
      </c>
      <c r="M35">
        <v>1321.85</v>
      </c>
      <c r="N35">
        <v>0</v>
      </c>
      <c r="O35">
        <v>10</v>
      </c>
    </row>
    <row r="36" spans="1:15" x14ac:dyDescent="0.25">
      <c r="A36" t="s">
        <v>49</v>
      </c>
      <c r="B36" s="2">
        <v>45527</v>
      </c>
      <c r="C36" s="2">
        <v>45525</v>
      </c>
      <c r="D36" s="4" t="s">
        <v>646</v>
      </c>
      <c r="E36" s="4" t="s">
        <v>661</v>
      </c>
      <c r="F36" s="4" t="s">
        <v>682</v>
      </c>
      <c r="G36" s="4" t="s">
        <v>702</v>
      </c>
      <c r="H36" s="4" t="s">
        <v>707</v>
      </c>
      <c r="I36" s="4" t="s">
        <v>718</v>
      </c>
      <c r="J36" s="4" t="s">
        <v>727</v>
      </c>
      <c r="K36" s="4" t="s">
        <v>768</v>
      </c>
      <c r="L36">
        <v>1432.52</v>
      </c>
      <c r="M36">
        <v>3036.87</v>
      </c>
      <c r="N36">
        <v>0</v>
      </c>
      <c r="O36">
        <v>9</v>
      </c>
    </row>
    <row r="37" spans="1:15" x14ac:dyDescent="0.25">
      <c r="A37" t="s">
        <v>50</v>
      </c>
      <c r="B37" s="2">
        <v>45012</v>
      </c>
      <c r="C37" s="2">
        <v>45038</v>
      </c>
      <c r="D37" s="4" t="s">
        <v>647</v>
      </c>
      <c r="E37" s="4" t="s">
        <v>654</v>
      </c>
      <c r="F37" s="4" t="s">
        <v>680</v>
      </c>
      <c r="G37" s="4" t="s">
        <v>703</v>
      </c>
      <c r="H37" s="4" t="s">
        <v>709</v>
      </c>
      <c r="I37" s="4" t="s">
        <v>713</v>
      </c>
      <c r="J37" s="4" t="s">
        <v>728</v>
      </c>
      <c r="K37" s="4" t="s">
        <v>769</v>
      </c>
      <c r="L37">
        <v>178.53</v>
      </c>
      <c r="M37">
        <v>199.37</v>
      </c>
      <c r="N37">
        <v>0.10100000000000001</v>
      </c>
      <c r="O37">
        <v>37</v>
      </c>
    </row>
    <row r="38" spans="1:15" x14ac:dyDescent="0.25">
      <c r="A38" t="s">
        <v>51</v>
      </c>
      <c r="B38" s="2">
        <v>45358</v>
      </c>
      <c r="C38" s="2">
        <v>45376</v>
      </c>
      <c r="D38" s="4" t="s">
        <v>649</v>
      </c>
      <c r="E38" s="4" t="s">
        <v>656</v>
      </c>
      <c r="F38" s="4" t="s">
        <v>684</v>
      </c>
      <c r="G38" s="4" t="s">
        <v>701</v>
      </c>
      <c r="H38" s="4" t="s">
        <v>708</v>
      </c>
      <c r="I38" s="4" t="s">
        <v>717</v>
      </c>
      <c r="J38" s="4" t="s">
        <v>727</v>
      </c>
      <c r="K38" s="4" t="s">
        <v>770</v>
      </c>
      <c r="L38">
        <v>712.84</v>
      </c>
      <c r="M38">
        <v>927.51</v>
      </c>
      <c r="N38">
        <v>0.24299999999999999</v>
      </c>
      <c r="O38">
        <v>27</v>
      </c>
    </row>
    <row r="39" spans="1:15" x14ac:dyDescent="0.25">
      <c r="A39" t="s">
        <v>52</v>
      </c>
      <c r="B39" s="2">
        <v>45832</v>
      </c>
      <c r="C39" s="2">
        <v>45848</v>
      </c>
      <c r="D39" s="4" t="s">
        <v>647</v>
      </c>
      <c r="E39" s="4" t="s">
        <v>659</v>
      </c>
      <c r="F39" s="4" t="s">
        <v>685</v>
      </c>
      <c r="G39" s="4" t="s">
        <v>706</v>
      </c>
      <c r="H39" s="4" t="s">
        <v>711</v>
      </c>
      <c r="I39" s="4" t="s">
        <v>725</v>
      </c>
      <c r="J39" s="4" t="s">
        <v>727</v>
      </c>
      <c r="K39" s="4" t="s">
        <v>771</v>
      </c>
      <c r="L39">
        <v>757.19</v>
      </c>
      <c r="M39">
        <v>1735.41</v>
      </c>
      <c r="N39">
        <v>0.13600000000000001</v>
      </c>
      <c r="O39">
        <v>8</v>
      </c>
    </row>
    <row r="40" spans="1:15" x14ac:dyDescent="0.25">
      <c r="A40" t="s">
        <v>53</v>
      </c>
      <c r="B40" s="2">
        <v>45401</v>
      </c>
      <c r="C40" s="2">
        <v>45418</v>
      </c>
      <c r="D40" s="4" t="s">
        <v>646</v>
      </c>
      <c r="E40" s="4" t="s">
        <v>651</v>
      </c>
      <c r="F40" s="4" t="s">
        <v>663</v>
      </c>
      <c r="G40" s="4" t="s">
        <v>703</v>
      </c>
      <c r="H40" s="4" t="s">
        <v>708</v>
      </c>
      <c r="I40" s="4" t="s">
        <v>720</v>
      </c>
      <c r="J40" s="4" t="s">
        <v>728</v>
      </c>
      <c r="K40" s="4" t="s">
        <v>772</v>
      </c>
      <c r="L40">
        <v>865.33</v>
      </c>
      <c r="M40">
        <v>1395.64</v>
      </c>
      <c r="N40">
        <v>0.17499999999999999</v>
      </c>
      <c r="O40">
        <v>13</v>
      </c>
    </row>
    <row r="41" spans="1:15" x14ac:dyDescent="0.25">
      <c r="A41" t="s">
        <v>54</v>
      </c>
      <c r="B41" s="2">
        <v>45094</v>
      </c>
      <c r="C41" s="2">
        <v>45101</v>
      </c>
      <c r="D41" s="4" t="s">
        <v>648</v>
      </c>
      <c r="E41" s="4" t="s">
        <v>660</v>
      </c>
      <c r="F41" s="4" t="s">
        <v>686</v>
      </c>
      <c r="G41" s="4" t="s">
        <v>701</v>
      </c>
      <c r="H41" s="4" t="s">
        <v>707</v>
      </c>
      <c r="I41" s="4" t="s">
        <v>714</v>
      </c>
      <c r="J41" s="4" t="s">
        <v>728</v>
      </c>
      <c r="K41" s="4" t="s">
        <v>773</v>
      </c>
      <c r="L41">
        <v>313.99</v>
      </c>
      <c r="M41">
        <v>454.42</v>
      </c>
      <c r="N41">
        <v>0.129</v>
      </c>
      <c r="O41">
        <v>9</v>
      </c>
    </row>
    <row r="42" spans="1:15" x14ac:dyDescent="0.25">
      <c r="A42" t="s">
        <v>55</v>
      </c>
      <c r="B42" s="2">
        <v>45531</v>
      </c>
      <c r="C42" s="2">
        <v>45554</v>
      </c>
      <c r="D42" s="4" t="s">
        <v>649</v>
      </c>
      <c r="E42" s="4" t="s">
        <v>656</v>
      </c>
      <c r="F42" s="4" t="s">
        <v>671</v>
      </c>
      <c r="G42" s="4" t="s">
        <v>705</v>
      </c>
      <c r="H42" s="4" t="s">
        <v>711</v>
      </c>
      <c r="I42" s="4" t="s">
        <v>726</v>
      </c>
      <c r="J42" s="4" t="s">
        <v>732</v>
      </c>
      <c r="K42" s="4" t="s">
        <v>774</v>
      </c>
      <c r="L42">
        <v>1024.01</v>
      </c>
      <c r="M42">
        <v>1580.97</v>
      </c>
      <c r="N42">
        <v>3.6999999999999998E-2</v>
      </c>
      <c r="O42">
        <v>27</v>
      </c>
    </row>
    <row r="43" spans="1:15" x14ac:dyDescent="0.25">
      <c r="A43" t="s">
        <v>56</v>
      </c>
      <c r="B43" s="2">
        <v>45302</v>
      </c>
      <c r="C43" s="2">
        <v>45324</v>
      </c>
      <c r="D43" s="4" t="s">
        <v>646</v>
      </c>
      <c r="E43" s="4" t="s">
        <v>661</v>
      </c>
      <c r="F43" s="4" t="s">
        <v>687</v>
      </c>
      <c r="G43" s="4" t="s">
        <v>704</v>
      </c>
      <c r="H43" s="4" t="s">
        <v>708</v>
      </c>
      <c r="I43" s="4" t="s">
        <v>723</v>
      </c>
      <c r="J43" s="4" t="s">
        <v>729</v>
      </c>
      <c r="K43" s="4" t="s">
        <v>775</v>
      </c>
      <c r="L43">
        <v>1206.2</v>
      </c>
      <c r="M43">
        <v>1759.79</v>
      </c>
      <c r="N43">
        <v>0</v>
      </c>
      <c r="O43">
        <v>6</v>
      </c>
    </row>
    <row r="44" spans="1:15" x14ac:dyDescent="0.25">
      <c r="A44" t="s">
        <v>57</v>
      </c>
      <c r="B44" s="2">
        <v>45590</v>
      </c>
      <c r="C44" s="2">
        <v>45610</v>
      </c>
      <c r="D44" s="4" t="s">
        <v>646</v>
      </c>
      <c r="E44" s="4" t="s">
        <v>650</v>
      </c>
      <c r="F44" s="4" t="s">
        <v>675</v>
      </c>
      <c r="G44" s="4" t="s">
        <v>701</v>
      </c>
      <c r="H44" s="4" t="s">
        <v>711</v>
      </c>
      <c r="I44" s="4" t="s">
        <v>722</v>
      </c>
      <c r="J44" s="4" t="s">
        <v>728</v>
      </c>
      <c r="K44" s="4" t="s">
        <v>776</v>
      </c>
      <c r="L44">
        <v>1396.48</v>
      </c>
      <c r="M44">
        <v>3204.5</v>
      </c>
      <c r="N44">
        <v>0.318</v>
      </c>
      <c r="O44">
        <v>14</v>
      </c>
    </row>
    <row r="45" spans="1:15" x14ac:dyDescent="0.25">
      <c r="A45" t="s">
        <v>58</v>
      </c>
      <c r="B45" s="2">
        <v>45806</v>
      </c>
      <c r="C45" s="2">
        <v>45828</v>
      </c>
      <c r="D45" s="4" t="s">
        <v>649</v>
      </c>
      <c r="E45" s="4" t="s">
        <v>656</v>
      </c>
      <c r="F45" s="4" t="s">
        <v>671</v>
      </c>
      <c r="G45" s="4" t="s">
        <v>701</v>
      </c>
      <c r="H45" s="4" t="s">
        <v>711</v>
      </c>
      <c r="I45" s="4" t="s">
        <v>720</v>
      </c>
      <c r="J45" s="4" t="s">
        <v>728</v>
      </c>
      <c r="K45" s="4" t="s">
        <v>777</v>
      </c>
      <c r="L45">
        <v>483.47</v>
      </c>
      <c r="M45">
        <v>1135.43</v>
      </c>
      <c r="N45">
        <v>0.14599999999999999</v>
      </c>
      <c r="O45">
        <v>11</v>
      </c>
    </row>
    <row r="46" spans="1:15" x14ac:dyDescent="0.25">
      <c r="A46" t="s">
        <v>59</v>
      </c>
      <c r="B46" s="2">
        <v>45432</v>
      </c>
      <c r="C46" s="2">
        <v>45445</v>
      </c>
      <c r="D46" s="4" t="s">
        <v>648</v>
      </c>
      <c r="E46" s="4" t="s">
        <v>653</v>
      </c>
      <c r="F46" s="4" t="s">
        <v>688</v>
      </c>
      <c r="G46" s="4" t="s">
        <v>706</v>
      </c>
      <c r="H46" s="4" t="s">
        <v>709</v>
      </c>
      <c r="I46" s="4" t="s">
        <v>723</v>
      </c>
      <c r="J46" s="4" t="s">
        <v>727</v>
      </c>
      <c r="K46" s="4" t="s">
        <v>778</v>
      </c>
      <c r="L46">
        <v>675.43</v>
      </c>
      <c r="M46">
        <v>996.36</v>
      </c>
      <c r="N46">
        <v>0.182</v>
      </c>
      <c r="O46">
        <v>22</v>
      </c>
    </row>
    <row r="47" spans="1:15" x14ac:dyDescent="0.25">
      <c r="A47" t="s">
        <v>60</v>
      </c>
      <c r="B47" s="2">
        <v>45035</v>
      </c>
      <c r="C47" s="2">
        <v>45046</v>
      </c>
      <c r="D47" s="4" t="s">
        <v>647</v>
      </c>
      <c r="E47" s="4" t="s">
        <v>654</v>
      </c>
      <c r="F47" s="4" t="s">
        <v>680</v>
      </c>
      <c r="G47" s="4" t="s">
        <v>705</v>
      </c>
      <c r="H47" s="4" t="s">
        <v>707</v>
      </c>
      <c r="I47" s="4" t="s">
        <v>720</v>
      </c>
      <c r="J47" s="4" t="s">
        <v>729</v>
      </c>
      <c r="K47" s="4" t="s">
        <v>779</v>
      </c>
      <c r="L47">
        <v>826.55</v>
      </c>
      <c r="M47">
        <v>1397.05</v>
      </c>
      <c r="N47">
        <v>0.16900000000000001</v>
      </c>
      <c r="O47">
        <v>28</v>
      </c>
    </row>
    <row r="48" spans="1:15" x14ac:dyDescent="0.25">
      <c r="A48" t="s">
        <v>61</v>
      </c>
      <c r="B48" s="2">
        <v>45100</v>
      </c>
      <c r="C48" s="2">
        <v>45110</v>
      </c>
      <c r="D48" s="4" t="s">
        <v>646</v>
      </c>
      <c r="E48" s="4" t="s">
        <v>651</v>
      </c>
      <c r="F48" s="4" t="s">
        <v>669</v>
      </c>
      <c r="G48" s="4" t="s">
        <v>704</v>
      </c>
      <c r="H48" s="4" t="s">
        <v>708</v>
      </c>
      <c r="I48" s="4" t="s">
        <v>713</v>
      </c>
      <c r="J48" s="4" t="s">
        <v>728</v>
      </c>
      <c r="K48" s="4" t="s">
        <v>780</v>
      </c>
      <c r="L48">
        <v>337.75</v>
      </c>
      <c r="M48">
        <v>548.89</v>
      </c>
      <c r="N48">
        <v>0</v>
      </c>
      <c r="O48">
        <v>13</v>
      </c>
    </row>
    <row r="49" spans="1:15" x14ac:dyDescent="0.25">
      <c r="A49" t="s">
        <v>62</v>
      </c>
      <c r="B49" s="2">
        <v>45426</v>
      </c>
      <c r="C49" s="2">
        <v>45440</v>
      </c>
      <c r="D49" s="4" t="s">
        <v>649</v>
      </c>
      <c r="E49" s="4" t="s">
        <v>658</v>
      </c>
      <c r="F49" s="4" t="s">
        <v>674</v>
      </c>
      <c r="G49" s="4" t="s">
        <v>704</v>
      </c>
      <c r="H49" s="4" t="s">
        <v>707</v>
      </c>
      <c r="I49" s="4" t="s">
        <v>717</v>
      </c>
      <c r="J49" s="4" t="s">
        <v>729</v>
      </c>
      <c r="K49" s="4" t="s">
        <v>781</v>
      </c>
      <c r="L49">
        <v>1421.14</v>
      </c>
      <c r="M49">
        <v>3524</v>
      </c>
      <c r="N49">
        <v>0</v>
      </c>
      <c r="O49">
        <v>31</v>
      </c>
    </row>
    <row r="50" spans="1:15" x14ac:dyDescent="0.25">
      <c r="A50" t="s">
        <v>63</v>
      </c>
      <c r="B50" s="2">
        <v>45579</v>
      </c>
      <c r="C50" s="2">
        <v>45604</v>
      </c>
      <c r="D50" s="4" t="s">
        <v>646</v>
      </c>
      <c r="E50" s="4" t="s">
        <v>651</v>
      </c>
      <c r="F50" s="4" t="s">
        <v>665</v>
      </c>
      <c r="G50" s="4" t="s">
        <v>706</v>
      </c>
      <c r="H50" s="4" t="s">
        <v>708</v>
      </c>
      <c r="I50" s="4" t="s">
        <v>719</v>
      </c>
      <c r="J50" s="4" t="s">
        <v>729</v>
      </c>
      <c r="K50" s="4" t="s">
        <v>782</v>
      </c>
      <c r="L50">
        <v>859.35</v>
      </c>
      <c r="M50">
        <v>1825.61</v>
      </c>
      <c r="N50">
        <v>0.187</v>
      </c>
      <c r="O50">
        <v>24</v>
      </c>
    </row>
    <row r="51" spans="1:15" x14ac:dyDescent="0.25">
      <c r="A51" t="s">
        <v>64</v>
      </c>
      <c r="B51" s="2">
        <v>45117</v>
      </c>
      <c r="C51" s="2">
        <v>45139</v>
      </c>
      <c r="D51" s="4" t="s">
        <v>649</v>
      </c>
      <c r="E51" s="4" t="s">
        <v>657</v>
      </c>
      <c r="F51" s="4" t="s">
        <v>673</v>
      </c>
      <c r="G51" s="4" t="s">
        <v>704</v>
      </c>
      <c r="H51" s="4" t="s">
        <v>709</v>
      </c>
      <c r="I51" s="4" t="s">
        <v>717</v>
      </c>
      <c r="J51" s="4" t="s">
        <v>728</v>
      </c>
      <c r="K51" s="4" t="s">
        <v>783</v>
      </c>
      <c r="L51">
        <v>1303.56</v>
      </c>
      <c r="M51">
        <v>1791.37</v>
      </c>
      <c r="N51">
        <v>0.126</v>
      </c>
      <c r="O51">
        <v>22</v>
      </c>
    </row>
    <row r="52" spans="1:15" x14ac:dyDescent="0.25">
      <c r="A52" t="s">
        <v>65</v>
      </c>
      <c r="B52" s="2">
        <v>45602</v>
      </c>
      <c r="C52" s="2">
        <v>45618</v>
      </c>
      <c r="D52" s="4" t="s">
        <v>648</v>
      </c>
      <c r="E52" s="4" t="s">
        <v>653</v>
      </c>
      <c r="F52" s="4" t="s">
        <v>667</v>
      </c>
      <c r="G52" s="4" t="s">
        <v>703</v>
      </c>
      <c r="H52" s="4" t="s">
        <v>710</v>
      </c>
      <c r="I52" s="4" t="s">
        <v>726</v>
      </c>
      <c r="J52" s="4" t="s">
        <v>733</v>
      </c>
      <c r="K52" s="4" t="s">
        <v>784</v>
      </c>
      <c r="L52">
        <v>1454.11</v>
      </c>
      <c r="M52">
        <v>2629.75</v>
      </c>
      <c r="N52">
        <v>0.29199999999999998</v>
      </c>
      <c r="O52">
        <v>8</v>
      </c>
    </row>
    <row r="53" spans="1:15" x14ac:dyDescent="0.25">
      <c r="A53" t="s">
        <v>66</v>
      </c>
      <c r="B53" s="2">
        <v>45582</v>
      </c>
      <c r="C53" s="2">
        <v>45602</v>
      </c>
      <c r="D53" s="4" t="s">
        <v>647</v>
      </c>
      <c r="E53" s="4" t="s">
        <v>654</v>
      </c>
      <c r="F53" s="4" t="s">
        <v>668</v>
      </c>
      <c r="G53" s="4" t="s">
        <v>706</v>
      </c>
      <c r="H53" s="4" t="s">
        <v>710</v>
      </c>
      <c r="I53" s="4" t="s">
        <v>719</v>
      </c>
      <c r="J53" s="4" t="s">
        <v>732</v>
      </c>
      <c r="K53" s="4" t="s">
        <v>785</v>
      </c>
      <c r="L53">
        <v>72.94</v>
      </c>
      <c r="M53">
        <v>106.3</v>
      </c>
      <c r="N53">
        <v>0.29499999999999998</v>
      </c>
      <c r="O53">
        <v>8</v>
      </c>
    </row>
    <row r="54" spans="1:15" x14ac:dyDescent="0.25">
      <c r="A54" t="s">
        <v>67</v>
      </c>
      <c r="B54" s="2">
        <v>45016</v>
      </c>
      <c r="C54" s="2">
        <v>45021</v>
      </c>
      <c r="D54" s="4" t="s">
        <v>646</v>
      </c>
      <c r="E54" s="4" t="s">
        <v>650</v>
      </c>
      <c r="F54" s="4" t="s">
        <v>678</v>
      </c>
      <c r="G54" s="4" t="s">
        <v>702</v>
      </c>
      <c r="H54" s="4" t="s">
        <v>709</v>
      </c>
      <c r="I54" s="4" t="s">
        <v>717</v>
      </c>
      <c r="J54" s="4" t="s">
        <v>731</v>
      </c>
      <c r="K54" s="4" t="s">
        <v>786</v>
      </c>
      <c r="L54">
        <v>533.26</v>
      </c>
      <c r="M54">
        <v>385.72</v>
      </c>
      <c r="N54">
        <v>0</v>
      </c>
      <c r="O54">
        <v>15</v>
      </c>
    </row>
    <row r="55" spans="1:15" x14ac:dyDescent="0.25">
      <c r="A55" t="s">
        <v>68</v>
      </c>
      <c r="B55" s="2">
        <v>45678</v>
      </c>
      <c r="C55" s="2">
        <v>45704</v>
      </c>
      <c r="D55" s="4" t="s">
        <v>649</v>
      </c>
      <c r="E55" s="4" t="s">
        <v>657</v>
      </c>
      <c r="F55" s="4" t="s">
        <v>679</v>
      </c>
      <c r="G55" s="4" t="s">
        <v>701</v>
      </c>
      <c r="H55" s="4" t="s">
        <v>710</v>
      </c>
      <c r="I55" s="4" t="s">
        <v>719</v>
      </c>
      <c r="J55" s="4" t="s">
        <v>731</v>
      </c>
      <c r="K55" s="4" t="s">
        <v>787</v>
      </c>
      <c r="L55">
        <v>204.11</v>
      </c>
      <c r="M55">
        <v>236.87</v>
      </c>
      <c r="N55">
        <v>0.182</v>
      </c>
      <c r="O55">
        <v>13</v>
      </c>
    </row>
    <row r="56" spans="1:15" x14ac:dyDescent="0.25">
      <c r="A56" t="s">
        <v>69</v>
      </c>
      <c r="B56" s="2">
        <v>45168</v>
      </c>
      <c r="C56" s="2">
        <v>45170</v>
      </c>
      <c r="D56" s="4" t="s">
        <v>649</v>
      </c>
      <c r="E56" s="4" t="s">
        <v>656</v>
      </c>
      <c r="F56" s="4" t="s">
        <v>684</v>
      </c>
      <c r="G56" s="4" t="s">
        <v>701</v>
      </c>
      <c r="H56" s="4" t="s">
        <v>711</v>
      </c>
      <c r="I56" s="4" t="s">
        <v>725</v>
      </c>
      <c r="J56" s="4" t="s">
        <v>729</v>
      </c>
      <c r="K56" s="4" t="s">
        <v>788</v>
      </c>
      <c r="L56">
        <v>44.42</v>
      </c>
      <c r="M56">
        <v>41.9</v>
      </c>
      <c r="N56">
        <v>0.14399999999999999</v>
      </c>
      <c r="O56">
        <v>6</v>
      </c>
    </row>
    <row r="57" spans="1:15" x14ac:dyDescent="0.25">
      <c r="A57" t="s">
        <v>70</v>
      </c>
      <c r="B57" s="2">
        <v>45753</v>
      </c>
      <c r="C57" s="2">
        <v>45777</v>
      </c>
      <c r="D57" s="4" t="s">
        <v>648</v>
      </c>
      <c r="E57" s="4" t="s">
        <v>655</v>
      </c>
      <c r="F57" s="4" t="s">
        <v>672</v>
      </c>
      <c r="G57" s="4" t="s">
        <v>702</v>
      </c>
      <c r="H57" s="4" t="s">
        <v>708</v>
      </c>
      <c r="I57" s="4" t="s">
        <v>723</v>
      </c>
      <c r="J57" s="4" t="s">
        <v>732</v>
      </c>
      <c r="K57" s="4" t="s">
        <v>789</v>
      </c>
      <c r="L57">
        <v>855.78</v>
      </c>
      <c r="M57">
        <v>977.38</v>
      </c>
      <c r="N57">
        <v>0.14699999999999999</v>
      </c>
      <c r="O57">
        <v>38</v>
      </c>
    </row>
    <row r="58" spans="1:15" x14ac:dyDescent="0.25">
      <c r="A58" t="s">
        <v>71</v>
      </c>
      <c r="B58" s="2">
        <v>45697</v>
      </c>
      <c r="C58" s="2">
        <v>45717</v>
      </c>
      <c r="D58" s="4" t="s">
        <v>648</v>
      </c>
      <c r="E58" s="4" t="s">
        <v>655</v>
      </c>
      <c r="F58" s="4" t="s">
        <v>670</v>
      </c>
      <c r="G58" s="4" t="s">
        <v>701</v>
      </c>
      <c r="H58" s="4" t="s">
        <v>710</v>
      </c>
      <c r="I58" s="4" t="s">
        <v>717</v>
      </c>
      <c r="J58" s="4" t="s">
        <v>731</v>
      </c>
      <c r="K58" s="4" t="s">
        <v>790</v>
      </c>
      <c r="L58">
        <v>1154.6400000000001</v>
      </c>
      <c r="M58">
        <v>2794.13</v>
      </c>
      <c r="N58">
        <v>3.5000000000000003E-2</v>
      </c>
      <c r="O58">
        <v>11</v>
      </c>
    </row>
    <row r="59" spans="1:15" x14ac:dyDescent="0.25">
      <c r="A59" t="s">
        <v>72</v>
      </c>
      <c r="B59" s="2">
        <v>45643</v>
      </c>
      <c r="C59" s="2">
        <v>45644</v>
      </c>
      <c r="D59" s="4" t="s">
        <v>649</v>
      </c>
      <c r="E59" s="4" t="s">
        <v>656</v>
      </c>
      <c r="F59" s="4" t="s">
        <v>684</v>
      </c>
      <c r="G59" s="4" t="s">
        <v>702</v>
      </c>
      <c r="H59" s="4" t="s">
        <v>707</v>
      </c>
      <c r="I59" s="4" t="s">
        <v>716</v>
      </c>
      <c r="J59" s="4" t="s">
        <v>733</v>
      </c>
      <c r="K59" s="4" t="s">
        <v>791</v>
      </c>
      <c r="L59">
        <v>346.82</v>
      </c>
      <c r="M59">
        <v>701.95</v>
      </c>
      <c r="N59">
        <v>0.14699999999999999</v>
      </c>
      <c r="O59">
        <v>8</v>
      </c>
    </row>
    <row r="60" spans="1:15" x14ac:dyDescent="0.25">
      <c r="A60" t="s">
        <v>73</v>
      </c>
      <c r="B60" s="2">
        <v>45817</v>
      </c>
      <c r="C60" s="2">
        <v>45826</v>
      </c>
      <c r="D60" s="4" t="s">
        <v>649</v>
      </c>
      <c r="E60" s="4" t="s">
        <v>657</v>
      </c>
      <c r="F60" s="4" t="s">
        <v>673</v>
      </c>
      <c r="G60" s="4" t="s">
        <v>705</v>
      </c>
      <c r="H60" s="4" t="s">
        <v>709</v>
      </c>
      <c r="I60" s="4" t="s">
        <v>722</v>
      </c>
      <c r="J60" s="4" t="s">
        <v>733</v>
      </c>
      <c r="K60" s="4" t="s">
        <v>792</v>
      </c>
      <c r="L60">
        <v>1225.5</v>
      </c>
      <c r="M60">
        <v>-5.27</v>
      </c>
      <c r="N60">
        <v>7.4999999999999997E-2</v>
      </c>
      <c r="O60">
        <v>56</v>
      </c>
    </row>
    <row r="61" spans="1:15" x14ac:dyDescent="0.25">
      <c r="A61" t="s">
        <v>74</v>
      </c>
      <c r="B61" s="2">
        <v>45779</v>
      </c>
      <c r="C61" s="2">
        <v>45790</v>
      </c>
      <c r="D61" s="4" t="s">
        <v>646</v>
      </c>
      <c r="E61" s="4" t="s">
        <v>650</v>
      </c>
      <c r="F61" s="4" t="s">
        <v>678</v>
      </c>
      <c r="G61" s="4" t="s">
        <v>705</v>
      </c>
      <c r="H61" s="4" t="s">
        <v>708</v>
      </c>
      <c r="I61" s="4" t="s">
        <v>720</v>
      </c>
      <c r="J61" s="4" t="s">
        <v>733</v>
      </c>
      <c r="K61" s="4" t="s">
        <v>793</v>
      </c>
      <c r="L61">
        <v>1057.5999999999999</v>
      </c>
      <c r="M61">
        <v>1437.06</v>
      </c>
      <c r="N61">
        <v>0.20499999999999999</v>
      </c>
      <c r="O61">
        <v>4</v>
      </c>
    </row>
    <row r="62" spans="1:15" x14ac:dyDescent="0.25">
      <c r="A62" t="s">
        <v>75</v>
      </c>
      <c r="B62" s="2">
        <v>45361</v>
      </c>
      <c r="C62" s="2">
        <v>45391</v>
      </c>
      <c r="D62" s="4" t="s">
        <v>649</v>
      </c>
      <c r="E62" s="4" t="s">
        <v>657</v>
      </c>
      <c r="F62" s="4" t="s">
        <v>679</v>
      </c>
      <c r="G62" s="4" t="s">
        <v>701</v>
      </c>
      <c r="H62" s="4" t="s">
        <v>711</v>
      </c>
      <c r="I62" s="4" t="s">
        <v>714</v>
      </c>
      <c r="J62" s="4" t="s">
        <v>727</v>
      </c>
      <c r="K62" s="4" t="s">
        <v>794</v>
      </c>
      <c r="L62">
        <v>1176.56</v>
      </c>
      <c r="M62">
        <v>1911.89</v>
      </c>
      <c r="N62">
        <v>0.11899999999999999</v>
      </c>
      <c r="O62">
        <v>20</v>
      </c>
    </row>
    <row r="63" spans="1:15" x14ac:dyDescent="0.25">
      <c r="A63" t="s">
        <v>76</v>
      </c>
      <c r="B63" s="2">
        <v>45910</v>
      </c>
      <c r="C63" s="2">
        <v>45912</v>
      </c>
      <c r="D63" s="4" t="s">
        <v>647</v>
      </c>
      <c r="E63" s="4" t="s">
        <v>652</v>
      </c>
      <c r="F63" s="4" t="s">
        <v>689</v>
      </c>
      <c r="G63" s="4" t="s">
        <v>704</v>
      </c>
      <c r="H63" s="4" t="s">
        <v>708</v>
      </c>
      <c r="I63" s="4" t="s">
        <v>719</v>
      </c>
      <c r="J63" s="4" t="s">
        <v>727</v>
      </c>
      <c r="K63" s="4" t="s">
        <v>795</v>
      </c>
      <c r="L63">
        <v>1470.15</v>
      </c>
      <c r="M63">
        <v>2593.7800000000002</v>
      </c>
      <c r="N63">
        <v>0.11</v>
      </c>
      <c r="O63">
        <v>12</v>
      </c>
    </row>
    <row r="64" spans="1:15" x14ac:dyDescent="0.25">
      <c r="A64" t="s">
        <v>77</v>
      </c>
      <c r="B64" s="2">
        <v>45774</v>
      </c>
      <c r="C64" s="2">
        <v>45802</v>
      </c>
      <c r="D64" s="4" t="s">
        <v>649</v>
      </c>
      <c r="E64" s="4" t="s">
        <v>657</v>
      </c>
      <c r="F64" s="4" t="s">
        <v>690</v>
      </c>
      <c r="G64" s="4" t="s">
        <v>705</v>
      </c>
      <c r="H64" s="4" t="s">
        <v>709</v>
      </c>
      <c r="I64" s="4" t="s">
        <v>714</v>
      </c>
      <c r="J64" s="4" t="s">
        <v>730</v>
      </c>
      <c r="K64" s="4" t="s">
        <v>796</v>
      </c>
      <c r="L64">
        <v>603.45000000000005</v>
      </c>
      <c r="M64">
        <v>1244.08</v>
      </c>
      <c r="N64">
        <v>0.2</v>
      </c>
      <c r="O64">
        <v>11</v>
      </c>
    </row>
    <row r="65" spans="1:15" x14ac:dyDescent="0.25">
      <c r="A65" t="s">
        <v>78</v>
      </c>
      <c r="B65" s="2">
        <v>45598</v>
      </c>
      <c r="C65" s="2">
        <v>45614</v>
      </c>
      <c r="D65" s="4" t="s">
        <v>647</v>
      </c>
      <c r="E65" s="4" t="s">
        <v>654</v>
      </c>
      <c r="F65" s="4" t="s">
        <v>691</v>
      </c>
      <c r="G65" s="4" t="s">
        <v>705</v>
      </c>
      <c r="H65" s="4" t="s">
        <v>710</v>
      </c>
      <c r="I65" s="4" t="s">
        <v>719</v>
      </c>
      <c r="J65" s="4" t="s">
        <v>732</v>
      </c>
      <c r="K65" s="4" t="s">
        <v>797</v>
      </c>
      <c r="L65">
        <v>1233.58</v>
      </c>
      <c r="M65">
        <v>1912.51</v>
      </c>
      <c r="N65">
        <v>0.255</v>
      </c>
      <c r="O65">
        <v>51</v>
      </c>
    </row>
    <row r="66" spans="1:15" x14ac:dyDescent="0.25">
      <c r="A66" t="s">
        <v>79</v>
      </c>
      <c r="B66" s="2">
        <v>44972</v>
      </c>
      <c r="C66" s="2">
        <v>44983</v>
      </c>
      <c r="D66" s="4" t="s">
        <v>646</v>
      </c>
      <c r="E66" s="4" t="s">
        <v>661</v>
      </c>
      <c r="F66" s="4" t="s">
        <v>682</v>
      </c>
      <c r="G66" s="4" t="s">
        <v>703</v>
      </c>
      <c r="H66" s="4" t="s">
        <v>707</v>
      </c>
      <c r="I66" s="4" t="s">
        <v>723</v>
      </c>
      <c r="J66" s="4" t="s">
        <v>731</v>
      </c>
      <c r="K66" s="4" t="s">
        <v>798</v>
      </c>
      <c r="L66">
        <v>498.5</v>
      </c>
      <c r="M66">
        <v>755.87</v>
      </c>
      <c r="N66">
        <v>0.13</v>
      </c>
      <c r="O66">
        <v>40</v>
      </c>
    </row>
    <row r="67" spans="1:15" x14ac:dyDescent="0.25">
      <c r="A67" t="s">
        <v>80</v>
      </c>
      <c r="B67" s="2">
        <v>45263</v>
      </c>
      <c r="C67" s="2">
        <v>45286</v>
      </c>
      <c r="D67" s="4" t="s">
        <v>648</v>
      </c>
      <c r="E67" s="4" t="s">
        <v>655</v>
      </c>
      <c r="F67" s="4" t="s">
        <v>692</v>
      </c>
      <c r="G67" s="4" t="s">
        <v>702</v>
      </c>
      <c r="H67" s="4" t="s">
        <v>707</v>
      </c>
      <c r="I67" s="4" t="s">
        <v>719</v>
      </c>
      <c r="J67" s="4" t="s">
        <v>730</v>
      </c>
      <c r="K67" s="4" t="s">
        <v>799</v>
      </c>
      <c r="L67">
        <v>1303.1099999999999</v>
      </c>
      <c r="M67">
        <v>1145.67</v>
      </c>
      <c r="N67">
        <v>0.184</v>
      </c>
      <c r="O67">
        <v>13</v>
      </c>
    </row>
    <row r="68" spans="1:15" x14ac:dyDescent="0.25">
      <c r="A68" t="s">
        <v>81</v>
      </c>
      <c r="B68" s="2">
        <v>45004</v>
      </c>
      <c r="C68" s="2">
        <v>45025</v>
      </c>
      <c r="D68" s="4" t="s">
        <v>649</v>
      </c>
      <c r="E68" s="4" t="s">
        <v>658</v>
      </c>
      <c r="F68" s="4" t="s">
        <v>693</v>
      </c>
      <c r="G68" s="4" t="s">
        <v>704</v>
      </c>
      <c r="H68" s="4" t="s">
        <v>707</v>
      </c>
      <c r="I68" s="4" t="s">
        <v>716</v>
      </c>
      <c r="J68" s="4" t="s">
        <v>733</v>
      </c>
      <c r="K68" s="4" t="s">
        <v>800</v>
      </c>
      <c r="L68">
        <v>1082.17</v>
      </c>
      <c r="M68">
        <v>1234.0999999999999</v>
      </c>
      <c r="N68">
        <v>0.189</v>
      </c>
      <c r="O68">
        <v>16</v>
      </c>
    </row>
    <row r="69" spans="1:15" x14ac:dyDescent="0.25">
      <c r="A69" t="s">
        <v>82</v>
      </c>
      <c r="B69" s="2">
        <v>45434</v>
      </c>
      <c r="C69" s="2">
        <v>45449</v>
      </c>
      <c r="D69" s="4" t="s">
        <v>647</v>
      </c>
      <c r="E69" s="4" t="s">
        <v>652</v>
      </c>
      <c r="F69" s="4" t="s">
        <v>694</v>
      </c>
      <c r="G69" s="4" t="s">
        <v>701</v>
      </c>
      <c r="H69" s="4" t="s">
        <v>710</v>
      </c>
      <c r="I69" s="4" t="s">
        <v>712</v>
      </c>
      <c r="J69" s="4" t="s">
        <v>732</v>
      </c>
      <c r="K69" s="4" t="s">
        <v>801</v>
      </c>
      <c r="L69">
        <v>673.88</v>
      </c>
      <c r="M69">
        <v>1228.01</v>
      </c>
      <c r="N69">
        <v>0.105</v>
      </c>
      <c r="O69">
        <v>13</v>
      </c>
    </row>
    <row r="70" spans="1:15" x14ac:dyDescent="0.25">
      <c r="A70" t="s">
        <v>83</v>
      </c>
      <c r="B70" s="2">
        <v>45157</v>
      </c>
      <c r="C70" s="2">
        <v>45176</v>
      </c>
      <c r="D70" s="4" t="s">
        <v>646</v>
      </c>
      <c r="E70" s="4" t="s">
        <v>661</v>
      </c>
      <c r="F70" s="4" t="s">
        <v>682</v>
      </c>
      <c r="G70" s="4" t="s">
        <v>706</v>
      </c>
      <c r="H70" s="4" t="s">
        <v>707</v>
      </c>
      <c r="I70" s="4" t="s">
        <v>726</v>
      </c>
      <c r="J70" s="4" t="s">
        <v>732</v>
      </c>
      <c r="K70" s="4" t="s">
        <v>802</v>
      </c>
      <c r="L70">
        <v>494.61</v>
      </c>
      <c r="M70">
        <v>605.23</v>
      </c>
      <c r="N70">
        <v>0.20399999999999999</v>
      </c>
      <c r="O70">
        <v>18</v>
      </c>
    </row>
    <row r="71" spans="1:15" x14ac:dyDescent="0.25">
      <c r="A71" t="s">
        <v>84</v>
      </c>
      <c r="B71" s="2">
        <v>45037</v>
      </c>
      <c r="C71" s="2">
        <v>45056</v>
      </c>
      <c r="D71" s="4" t="s">
        <v>647</v>
      </c>
      <c r="E71" s="4" t="s">
        <v>659</v>
      </c>
      <c r="F71" s="4" t="s">
        <v>685</v>
      </c>
      <c r="G71" s="4" t="s">
        <v>701</v>
      </c>
      <c r="H71" s="4" t="s">
        <v>707</v>
      </c>
      <c r="I71" s="4" t="s">
        <v>720</v>
      </c>
      <c r="J71" s="4" t="s">
        <v>727</v>
      </c>
      <c r="K71" s="4" t="s">
        <v>803</v>
      </c>
      <c r="L71">
        <v>882.33</v>
      </c>
      <c r="M71">
        <v>1880.15</v>
      </c>
      <c r="N71">
        <v>0.05</v>
      </c>
      <c r="O71">
        <v>5</v>
      </c>
    </row>
    <row r="72" spans="1:15" x14ac:dyDescent="0.25">
      <c r="A72" t="s">
        <v>85</v>
      </c>
      <c r="B72" s="2">
        <v>45369</v>
      </c>
      <c r="C72" s="2">
        <v>45372</v>
      </c>
      <c r="D72" s="4" t="s">
        <v>649</v>
      </c>
      <c r="E72" s="4" t="s">
        <v>656</v>
      </c>
      <c r="F72" s="4" t="s">
        <v>684</v>
      </c>
      <c r="G72" s="4" t="s">
        <v>705</v>
      </c>
      <c r="H72" s="4" t="s">
        <v>708</v>
      </c>
      <c r="I72" s="4" t="s">
        <v>724</v>
      </c>
      <c r="J72" s="4" t="s">
        <v>733</v>
      </c>
      <c r="K72" s="4" t="s">
        <v>804</v>
      </c>
      <c r="L72">
        <v>910.63</v>
      </c>
      <c r="M72">
        <v>1269.4000000000001</v>
      </c>
      <c r="N72">
        <v>6.8000000000000005E-2</v>
      </c>
      <c r="O72">
        <v>9</v>
      </c>
    </row>
    <row r="73" spans="1:15" x14ac:dyDescent="0.25">
      <c r="A73" t="s">
        <v>86</v>
      </c>
      <c r="B73" s="2">
        <v>45756</v>
      </c>
      <c r="C73" s="2">
        <v>45783</v>
      </c>
      <c r="D73" s="4" t="s">
        <v>648</v>
      </c>
      <c r="E73" s="4" t="s">
        <v>655</v>
      </c>
      <c r="F73" s="4" t="s">
        <v>672</v>
      </c>
      <c r="G73" s="4" t="s">
        <v>706</v>
      </c>
      <c r="H73" s="4" t="s">
        <v>709</v>
      </c>
      <c r="I73" s="4" t="s">
        <v>721</v>
      </c>
      <c r="J73" s="4" t="s">
        <v>731</v>
      </c>
      <c r="K73" s="4" t="s">
        <v>805</v>
      </c>
      <c r="L73">
        <v>264.19</v>
      </c>
      <c r="M73">
        <v>620.92999999999995</v>
      </c>
      <c r="N73">
        <v>0.14199999999999999</v>
      </c>
      <c r="O73">
        <v>12</v>
      </c>
    </row>
    <row r="74" spans="1:15" x14ac:dyDescent="0.25">
      <c r="A74" t="s">
        <v>87</v>
      </c>
      <c r="B74" s="2">
        <v>45394</v>
      </c>
      <c r="C74" s="2">
        <v>45419</v>
      </c>
      <c r="D74" s="4" t="s">
        <v>646</v>
      </c>
      <c r="E74" s="4" t="s">
        <v>661</v>
      </c>
      <c r="F74" s="4" t="s">
        <v>682</v>
      </c>
      <c r="G74" s="4" t="s">
        <v>702</v>
      </c>
      <c r="H74" s="4" t="s">
        <v>710</v>
      </c>
      <c r="I74" s="4" t="s">
        <v>720</v>
      </c>
      <c r="J74" s="4" t="s">
        <v>731</v>
      </c>
      <c r="K74" s="4" t="s">
        <v>806</v>
      </c>
      <c r="L74">
        <v>1376.51</v>
      </c>
      <c r="M74">
        <v>1455.91</v>
      </c>
      <c r="N74">
        <v>0.185</v>
      </c>
      <c r="O74">
        <v>17</v>
      </c>
    </row>
    <row r="75" spans="1:15" x14ac:dyDescent="0.25">
      <c r="A75" t="s">
        <v>88</v>
      </c>
      <c r="B75" s="2">
        <v>45641</v>
      </c>
      <c r="C75" s="2">
        <v>45646</v>
      </c>
      <c r="D75" s="4" t="s">
        <v>647</v>
      </c>
      <c r="E75" s="4" t="s">
        <v>659</v>
      </c>
      <c r="F75" s="4" t="s">
        <v>676</v>
      </c>
      <c r="G75" s="4" t="s">
        <v>705</v>
      </c>
      <c r="H75" s="4" t="s">
        <v>711</v>
      </c>
      <c r="I75" s="4" t="s">
        <v>713</v>
      </c>
      <c r="J75" s="4" t="s">
        <v>729</v>
      </c>
      <c r="K75" s="4" t="s">
        <v>807</v>
      </c>
      <c r="L75">
        <v>717.55</v>
      </c>
      <c r="M75">
        <v>546.42999999999995</v>
      </c>
      <c r="N75">
        <v>4.7E-2</v>
      </c>
      <c r="O75">
        <v>18</v>
      </c>
    </row>
    <row r="76" spans="1:15" x14ac:dyDescent="0.25">
      <c r="A76" t="s">
        <v>89</v>
      </c>
      <c r="B76" s="2">
        <v>45066</v>
      </c>
      <c r="C76" s="2">
        <v>45064</v>
      </c>
      <c r="D76" s="4" t="s">
        <v>646</v>
      </c>
      <c r="E76" s="4" t="s">
        <v>661</v>
      </c>
      <c r="F76" s="4" t="s">
        <v>687</v>
      </c>
      <c r="G76" s="4" t="s">
        <v>701</v>
      </c>
      <c r="H76" s="4" t="s">
        <v>710</v>
      </c>
      <c r="I76" s="4" t="s">
        <v>720</v>
      </c>
      <c r="J76" s="4" t="s">
        <v>727</v>
      </c>
      <c r="K76" s="4" t="s">
        <v>808</v>
      </c>
      <c r="L76">
        <v>917.88</v>
      </c>
      <c r="M76">
        <v>1347.92</v>
      </c>
      <c r="N76">
        <v>0.34300000000000003</v>
      </c>
      <c r="O76">
        <v>5</v>
      </c>
    </row>
    <row r="77" spans="1:15" x14ac:dyDescent="0.25">
      <c r="A77" t="s">
        <v>90</v>
      </c>
      <c r="B77" s="2">
        <v>45187</v>
      </c>
      <c r="C77" s="2">
        <v>45207</v>
      </c>
      <c r="D77" s="4" t="s">
        <v>647</v>
      </c>
      <c r="E77" s="4" t="s">
        <v>654</v>
      </c>
      <c r="F77" s="4" t="s">
        <v>680</v>
      </c>
      <c r="G77" s="4" t="s">
        <v>705</v>
      </c>
      <c r="H77" s="4" t="s">
        <v>711</v>
      </c>
      <c r="I77" s="4" t="s">
        <v>717</v>
      </c>
      <c r="J77" s="4" t="s">
        <v>727</v>
      </c>
      <c r="K77" s="4" t="s">
        <v>809</v>
      </c>
      <c r="L77">
        <v>825.64</v>
      </c>
      <c r="M77">
        <v>1108.43</v>
      </c>
      <c r="N77">
        <v>0.114</v>
      </c>
      <c r="O77">
        <v>7</v>
      </c>
    </row>
    <row r="78" spans="1:15" x14ac:dyDescent="0.25">
      <c r="A78" t="s">
        <v>91</v>
      </c>
      <c r="B78" s="2">
        <v>45532</v>
      </c>
      <c r="C78" s="2">
        <v>45560</v>
      </c>
      <c r="D78" s="4" t="s">
        <v>648</v>
      </c>
      <c r="E78" s="4" t="s">
        <v>655</v>
      </c>
      <c r="F78" s="4" t="s">
        <v>692</v>
      </c>
      <c r="G78" s="4" t="s">
        <v>703</v>
      </c>
      <c r="H78" s="4" t="s">
        <v>708</v>
      </c>
      <c r="J78" s="4" t="s">
        <v>733</v>
      </c>
      <c r="K78" s="4" t="s">
        <v>810</v>
      </c>
      <c r="L78">
        <v>1394.65</v>
      </c>
      <c r="M78">
        <v>3144.1</v>
      </c>
      <c r="N78">
        <v>0.13400000000000001</v>
      </c>
      <c r="O78">
        <v>13</v>
      </c>
    </row>
    <row r="79" spans="1:15" x14ac:dyDescent="0.25">
      <c r="A79" t="s">
        <v>92</v>
      </c>
      <c r="B79" s="2">
        <v>45473</v>
      </c>
      <c r="C79" s="2">
        <v>45471</v>
      </c>
      <c r="D79" s="4" t="s">
        <v>648</v>
      </c>
      <c r="E79" s="4" t="s">
        <v>655</v>
      </c>
      <c r="F79" s="4" t="s">
        <v>692</v>
      </c>
      <c r="G79" s="4" t="s">
        <v>705</v>
      </c>
      <c r="H79" s="4" t="s">
        <v>711</v>
      </c>
      <c r="I79" s="4" t="s">
        <v>716</v>
      </c>
      <c r="J79" s="4" t="s">
        <v>733</v>
      </c>
      <c r="K79" s="4" t="s">
        <v>811</v>
      </c>
      <c r="L79">
        <v>1112.98</v>
      </c>
      <c r="M79">
        <v>2095.73</v>
      </c>
      <c r="N79">
        <v>7.1999999999999995E-2</v>
      </c>
      <c r="O79">
        <v>17</v>
      </c>
    </row>
    <row r="80" spans="1:15" x14ac:dyDescent="0.25">
      <c r="A80" t="s">
        <v>93</v>
      </c>
      <c r="B80" s="2">
        <v>45091</v>
      </c>
      <c r="C80" s="2">
        <v>45093</v>
      </c>
      <c r="D80" s="4" t="s">
        <v>649</v>
      </c>
      <c r="E80" s="4" t="s">
        <v>658</v>
      </c>
      <c r="F80" s="4" t="s">
        <v>693</v>
      </c>
      <c r="G80" s="4" t="s">
        <v>703</v>
      </c>
      <c r="H80" s="4" t="s">
        <v>711</v>
      </c>
      <c r="I80" s="4" t="s">
        <v>723</v>
      </c>
      <c r="J80" s="4" t="s">
        <v>727</v>
      </c>
      <c r="K80" s="4" t="s">
        <v>812</v>
      </c>
      <c r="L80">
        <v>357.36</v>
      </c>
      <c r="M80">
        <v>703.62</v>
      </c>
      <c r="N80">
        <v>0.25700000000000001</v>
      </c>
      <c r="O80">
        <v>20</v>
      </c>
    </row>
    <row r="81" spans="1:15" x14ac:dyDescent="0.25">
      <c r="A81" t="s">
        <v>94</v>
      </c>
      <c r="B81" s="2">
        <v>45617</v>
      </c>
      <c r="C81" s="2">
        <v>45647</v>
      </c>
      <c r="D81" s="4" t="s">
        <v>649</v>
      </c>
      <c r="E81" s="4" t="s">
        <v>657</v>
      </c>
      <c r="F81" s="4" t="s">
        <v>673</v>
      </c>
      <c r="G81" s="4" t="s">
        <v>705</v>
      </c>
      <c r="H81" s="4" t="s">
        <v>711</v>
      </c>
      <c r="I81" s="4" t="s">
        <v>714</v>
      </c>
      <c r="J81" s="4" t="s">
        <v>732</v>
      </c>
      <c r="K81" s="4" t="s">
        <v>813</v>
      </c>
      <c r="L81">
        <v>1122.68</v>
      </c>
      <c r="M81">
        <v>1997.19</v>
      </c>
      <c r="N81">
        <v>0.186</v>
      </c>
      <c r="O81">
        <v>3</v>
      </c>
    </row>
    <row r="82" spans="1:15" x14ac:dyDescent="0.25">
      <c r="A82" t="s">
        <v>95</v>
      </c>
      <c r="B82" s="2">
        <v>44965</v>
      </c>
      <c r="C82" s="2">
        <v>44968</v>
      </c>
      <c r="D82" s="4" t="s">
        <v>646</v>
      </c>
      <c r="E82" s="4" t="s">
        <v>661</v>
      </c>
      <c r="F82" s="4" t="s">
        <v>695</v>
      </c>
      <c r="G82" s="4" t="s">
        <v>701</v>
      </c>
      <c r="H82" s="4" t="s">
        <v>711</v>
      </c>
      <c r="I82" s="4" t="s">
        <v>724</v>
      </c>
      <c r="J82" s="4" t="s">
        <v>729</v>
      </c>
      <c r="K82" s="4" t="s">
        <v>814</v>
      </c>
      <c r="L82">
        <v>1410.05</v>
      </c>
      <c r="M82">
        <v>2763.95</v>
      </c>
      <c r="N82">
        <v>0.161</v>
      </c>
      <c r="O82">
        <v>26</v>
      </c>
    </row>
    <row r="83" spans="1:15" x14ac:dyDescent="0.25">
      <c r="A83" t="s">
        <v>96</v>
      </c>
      <c r="B83" s="2">
        <v>45157</v>
      </c>
      <c r="C83" s="2">
        <v>45181</v>
      </c>
      <c r="D83" s="4" t="s">
        <v>648</v>
      </c>
      <c r="E83" s="4" t="s">
        <v>653</v>
      </c>
      <c r="F83" s="4" t="s">
        <v>688</v>
      </c>
      <c r="G83" s="4" t="s">
        <v>706</v>
      </c>
      <c r="H83" s="4" t="s">
        <v>707</v>
      </c>
      <c r="I83" s="4" t="s">
        <v>714</v>
      </c>
      <c r="J83" s="4" t="s">
        <v>728</v>
      </c>
      <c r="K83" s="4" t="s">
        <v>815</v>
      </c>
      <c r="L83">
        <v>1183.95</v>
      </c>
      <c r="M83">
        <v>1503.53</v>
      </c>
      <c r="N83">
        <v>0.24099999999999999</v>
      </c>
      <c r="O83">
        <v>16</v>
      </c>
    </row>
    <row r="84" spans="1:15" x14ac:dyDescent="0.25">
      <c r="A84" t="s">
        <v>97</v>
      </c>
      <c r="B84" s="2">
        <v>45791</v>
      </c>
      <c r="C84" s="2">
        <v>45801</v>
      </c>
      <c r="D84" s="4" t="s">
        <v>649</v>
      </c>
      <c r="E84" s="4" t="s">
        <v>657</v>
      </c>
      <c r="F84" s="4" t="s">
        <v>690</v>
      </c>
      <c r="G84" s="4" t="s">
        <v>705</v>
      </c>
      <c r="H84" s="4" t="s">
        <v>709</v>
      </c>
      <c r="I84" s="4" t="s">
        <v>723</v>
      </c>
      <c r="J84" s="4" t="s">
        <v>727</v>
      </c>
      <c r="K84" s="4" t="s">
        <v>816</v>
      </c>
      <c r="L84">
        <v>170.39</v>
      </c>
      <c r="M84">
        <v>388.04</v>
      </c>
      <c r="N84">
        <v>8.4000000000000005E-2</v>
      </c>
      <c r="O84">
        <v>15</v>
      </c>
    </row>
    <row r="85" spans="1:15" x14ac:dyDescent="0.25">
      <c r="A85" t="s">
        <v>98</v>
      </c>
      <c r="B85" s="2">
        <v>45770</v>
      </c>
      <c r="C85" s="2">
        <v>45769</v>
      </c>
      <c r="D85" s="4" t="s">
        <v>648</v>
      </c>
      <c r="E85" s="4" t="s">
        <v>660</v>
      </c>
      <c r="F85" s="4" t="s">
        <v>686</v>
      </c>
      <c r="G85" s="4" t="s">
        <v>703</v>
      </c>
      <c r="H85" s="4" t="s">
        <v>710</v>
      </c>
      <c r="I85" s="4" t="s">
        <v>726</v>
      </c>
      <c r="J85" s="4" t="s">
        <v>732</v>
      </c>
      <c r="K85" s="4" t="s">
        <v>817</v>
      </c>
      <c r="L85">
        <v>23.24</v>
      </c>
      <c r="M85">
        <v>44.57</v>
      </c>
      <c r="N85">
        <v>0.215</v>
      </c>
      <c r="O85">
        <v>15</v>
      </c>
    </row>
    <row r="86" spans="1:15" x14ac:dyDescent="0.25">
      <c r="A86" t="s">
        <v>99</v>
      </c>
      <c r="B86" s="2">
        <v>45741</v>
      </c>
      <c r="C86" s="2">
        <v>45764</v>
      </c>
      <c r="D86" s="4" t="s">
        <v>649</v>
      </c>
      <c r="E86" s="4" t="s">
        <v>658</v>
      </c>
      <c r="F86" s="4" t="s">
        <v>683</v>
      </c>
      <c r="G86" s="4" t="s">
        <v>704</v>
      </c>
      <c r="H86" s="4" t="s">
        <v>707</v>
      </c>
      <c r="I86" s="4" t="s">
        <v>722</v>
      </c>
      <c r="J86" s="4" t="s">
        <v>729</v>
      </c>
      <c r="K86" s="4" t="s">
        <v>818</v>
      </c>
      <c r="L86">
        <v>1421.19</v>
      </c>
      <c r="M86">
        <v>1808.26</v>
      </c>
      <c r="N86">
        <v>0.104</v>
      </c>
      <c r="O86">
        <v>13</v>
      </c>
    </row>
    <row r="87" spans="1:15" x14ac:dyDescent="0.25">
      <c r="A87" t="s">
        <v>100</v>
      </c>
      <c r="B87" s="2">
        <v>45282</v>
      </c>
      <c r="C87" s="2">
        <v>45283</v>
      </c>
      <c r="D87" s="4" t="s">
        <v>646</v>
      </c>
      <c r="E87" s="4" t="s">
        <v>661</v>
      </c>
      <c r="F87" s="4" t="s">
        <v>695</v>
      </c>
      <c r="G87" s="4" t="s">
        <v>703</v>
      </c>
      <c r="H87" s="4" t="s">
        <v>709</v>
      </c>
      <c r="I87" s="4" t="s">
        <v>726</v>
      </c>
      <c r="J87" s="4" t="s">
        <v>727</v>
      </c>
      <c r="K87" s="4" t="s">
        <v>819</v>
      </c>
      <c r="L87">
        <v>1186.18</v>
      </c>
      <c r="M87">
        <v>1285.0899999999999</v>
      </c>
      <c r="N87">
        <v>7.0000000000000007E-2</v>
      </c>
      <c r="O87">
        <v>11</v>
      </c>
    </row>
    <row r="88" spans="1:15" x14ac:dyDescent="0.25">
      <c r="A88" t="s">
        <v>101</v>
      </c>
      <c r="B88" s="2">
        <v>45388</v>
      </c>
      <c r="C88" s="2">
        <v>45407</v>
      </c>
      <c r="D88" s="4" t="s">
        <v>647</v>
      </c>
      <c r="E88" s="4" t="s">
        <v>659</v>
      </c>
      <c r="F88" s="4" t="s">
        <v>685</v>
      </c>
      <c r="G88" s="4" t="s">
        <v>701</v>
      </c>
      <c r="H88" s="4" t="s">
        <v>707</v>
      </c>
      <c r="I88" s="4" t="s">
        <v>723</v>
      </c>
      <c r="J88" s="4" t="s">
        <v>727</v>
      </c>
      <c r="K88" s="4" t="s">
        <v>820</v>
      </c>
      <c r="L88">
        <v>1366.48</v>
      </c>
      <c r="M88">
        <v>1678.14</v>
      </c>
      <c r="N88">
        <v>0.154</v>
      </c>
      <c r="O88">
        <v>10</v>
      </c>
    </row>
    <row r="89" spans="1:15" x14ac:dyDescent="0.25">
      <c r="A89" t="s">
        <v>102</v>
      </c>
      <c r="B89" s="2">
        <v>45876</v>
      </c>
      <c r="C89" s="2">
        <v>45888</v>
      </c>
      <c r="D89" s="4" t="s">
        <v>646</v>
      </c>
      <c r="E89" s="4" t="s">
        <v>650</v>
      </c>
      <c r="F89" s="4" t="s">
        <v>678</v>
      </c>
      <c r="G89" s="4" t="s">
        <v>701</v>
      </c>
      <c r="I89" s="4" t="s">
        <v>724</v>
      </c>
      <c r="J89" s="4" t="s">
        <v>727</v>
      </c>
      <c r="K89" s="4" t="s">
        <v>821</v>
      </c>
      <c r="L89">
        <v>601.51</v>
      </c>
      <c r="M89">
        <v>679.35</v>
      </c>
      <c r="N89">
        <v>0.188</v>
      </c>
      <c r="O89">
        <v>3</v>
      </c>
    </row>
    <row r="90" spans="1:15" x14ac:dyDescent="0.25">
      <c r="A90" t="s">
        <v>103</v>
      </c>
      <c r="B90" s="2">
        <v>45312</v>
      </c>
      <c r="C90" s="2">
        <v>45316</v>
      </c>
      <c r="D90" s="4" t="s">
        <v>647</v>
      </c>
      <c r="E90" s="4" t="s">
        <v>654</v>
      </c>
      <c r="F90" s="4" t="s">
        <v>680</v>
      </c>
      <c r="G90" s="4" t="s">
        <v>704</v>
      </c>
      <c r="H90" s="4" t="s">
        <v>711</v>
      </c>
      <c r="I90" s="4" t="s">
        <v>712</v>
      </c>
      <c r="J90" s="4" t="s">
        <v>732</v>
      </c>
      <c r="K90" s="4" t="s">
        <v>822</v>
      </c>
      <c r="L90">
        <v>523.70000000000005</v>
      </c>
      <c r="M90">
        <v>1109.92</v>
      </c>
      <c r="N90">
        <v>0.03</v>
      </c>
      <c r="O90">
        <v>11</v>
      </c>
    </row>
    <row r="91" spans="1:15" x14ac:dyDescent="0.25">
      <c r="A91" t="s">
        <v>104</v>
      </c>
      <c r="B91" s="2">
        <v>45106</v>
      </c>
      <c r="C91" s="2">
        <v>45109</v>
      </c>
      <c r="D91" s="4" t="s">
        <v>647</v>
      </c>
      <c r="E91" s="4" t="s">
        <v>652</v>
      </c>
      <c r="F91" s="4" t="s">
        <v>694</v>
      </c>
      <c r="G91" s="4" t="s">
        <v>702</v>
      </c>
      <c r="H91" s="4" t="s">
        <v>709</v>
      </c>
      <c r="I91" s="4" t="s">
        <v>721</v>
      </c>
      <c r="J91" s="4" t="s">
        <v>732</v>
      </c>
      <c r="K91" s="4" t="s">
        <v>823</v>
      </c>
      <c r="L91">
        <v>55.65</v>
      </c>
      <c r="M91">
        <v>83.57</v>
      </c>
      <c r="N91">
        <v>6.6000000000000003E-2</v>
      </c>
      <c r="O91">
        <v>8</v>
      </c>
    </row>
    <row r="92" spans="1:15" x14ac:dyDescent="0.25">
      <c r="A92" t="s">
        <v>105</v>
      </c>
      <c r="B92" s="2">
        <v>45775</v>
      </c>
      <c r="C92" s="2">
        <v>45792</v>
      </c>
      <c r="D92" s="4" t="s">
        <v>647</v>
      </c>
      <c r="E92" s="4" t="s">
        <v>652</v>
      </c>
      <c r="F92" s="4" t="s">
        <v>694</v>
      </c>
      <c r="G92" s="4" t="s">
        <v>702</v>
      </c>
      <c r="H92" s="4" t="s">
        <v>711</v>
      </c>
      <c r="I92" s="4" t="s">
        <v>725</v>
      </c>
      <c r="J92" s="4" t="s">
        <v>729</v>
      </c>
      <c r="K92" s="4" t="s">
        <v>824</v>
      </c>
      <c r="L92">
        <v>691.19</v>
      </c>
      <c r="M92">
        <v>1284.3</v>
      </c>
      <c r="N92">
        <v>7.3999999999999996E-2</v>
      </c>
      <c r="O92">
        <v>7</v>
      </c>
    </row>
    <row r="93" spans="1:15" x14ac:dyDescent="0.25">
      <c r="A93" t="s">
        <v>106</v>
      </c>
      <c r="B93" s="2">
        <v>45817</v>
      </c>
      <c r="C93" s="2">
        <v>45833</v>
      </c>
      <c r="D93" s="4" t="s">
        <v>647</v>
      </c>
      <c r="E93" s="4" t="s">
        <v>654</v>
      </c>
      <c r="F93" s="4" t="s">
        <v>696</v>
      </c>
      <c r="G93" s="4" t="s">
        <v>706</v>
      </c>
      <c r="H93" s="4" t="s">
        <v>710</v>
      </c>
      <c r="I93" s="4" t="s">
        <v>724</v>
      </c>
      <c r="J93" s="4" t="s">
        <v>730</v>
      </c>
      <c r="K93" s="4" t="s">
        <v>825</v>
      </c>
      <c r="L93">
        <v>527.33000000000004</v>
      </c>
      <c r="M93">
        <v>911.72</v>
      </c>
      <c r="N93">
        <v>0.14399999999999999</v>
      </c>
      <c r="O93">
        <v>25</v>
      </c>
    </row>
    <row r="94" spans="1:15" x14ac:dyDescent="0.25">
      <c r="A94" t="s">
        <v>107</v>
      </c>
      <c r="B94" s="2">
        <v>45101</v>
      </c>
      <c r="C94" s="2">
        <v>45100</v>
      </c>
      <c r="D94" s="4" t="s">
        <v>648</v>
      </c>
      <c r="E94" s="4" t="s">
        <v>655</v>
      </c>
      <c r="F94" s="4" t="s">
        <v>692</v>
      </c>
      <c r="G94" s="4" t="s">
        <v>703</v>
      </c>
      <c r="H94" s="4" t="s">
        <v>707</v>
      </c>
      <c r="I94" s="4" t="s">
        <v>718</v>
      </c>
      <c r="J94" s="4" t="s">
        <v>728</v>
      </c>
      <c r="K94" s="4" t="s">
        <v>826</v>
      </c>
      <c r="L94">
        <v>804.01</v>
      </c>
      <c r="M94">
        <v>1405.07</v>
      </c>
      <c r="N94">
        <v>9.6000000000000002E-2</v>
      </c>
      <c r="O94">
        <v>8</v>
      </c>
    </row>
    <row r="95" spans="1:15" x14ac:dyDescent="0.25">
      <c r="A95" t="s">
        <v>108</v>
      </c>
      <c r="B95" s="2">
        <v>45569</v>
      </c>
      <c r="C95" s="2">
        <v>45598</v>
      </c>
      <c r="D95" s="4" t="s">
        <v>646</v>
      </c>
      <c r="E95" s="4" t="s">
        <v>651</v>
      </c>
      <c r="F95" s="4" t="s">
        <v>669</v>
      </c>
      <c r="G95" s="4" t="s">
        <v>701</v>
      </c>
      <c r="H95" s="4" t="s">
        <v>710</v>
      </c>
      <c r="I95" s="4" t="s">
        <v>721</v>
      </c>
      <c r="J95" s="4" t="s">
        <v>733</v>
      </c>
      <c r="K95" s="4" t="s">
        <v>827</v>
      </c>
      <c r="L95">
        <v>412.09</v>
      </c>
      <c r="M95">
        <v>968.94</v>
      </c>
      <c r="N95">
        <v>9.9000000000000005E-2</v>
      </c>
      <c r="O95">
        <v>23</v>
      </c>
    </row>
    <row r="96" spans="1:15" x14ac:dyDescent="0.25">
      <c r="A96" t="s">
        <v>109</v>
      </c>
      <c r="B96" s="2">
        <v>45910</v>
      </c>
      <c r="C96" s="2">
        <v>45930</v>
      </c>
      <c r="D96" s="4" t="s">
        <v>646</v>
      </c>
      <c r="E96" s="4" t="s">
        <v>650</v>
      </c>
      <c r="F96" s="4" t="s">
        <v>675</v>
      </c>
      <c r="G96" s="4" t="s">
        <v>701</v>
      </c>
      <c r="H96" s="4" t="s">
        <v>711</v>
      </c>
      <c r="I96" s="4" t="s">
        <v>716</v>
      </c>
      <c r="J96" s="4" t="s">
        <v>730</v>
      </c>
      <c r="K96" s="4" t="s">
        <v>828</v>
      </c>
      <c r="L96">
        <v>1009.48</v>
      </c>
      <c r="M96">
        <v>1088.81</v>
      </c>
      <c r="N96">
        <v>0.16</v>
      </c>
      <c r="O96">
        <v>6</v>
      </c>
    </row>
    <row r="97" spans="1:15" x14ac:dyDescent="0.25">
      <c r="A97" t="s">
        <v>110</v>
      </c>
      <c r="B97" s="2">
        <v>45022</v>
      </c>
      <c r="C97" s="2">
        <v>45043</v>
      </c>
      <c r="D97" s="4" t="s">
        <v>649</v>
      </c>
      <c r="E97" s="4" t="s">
        <v>658</v>
      </c>
      <c r="F97" s="4" t="s">
        <v>693</v>
      </c>
      <c r="G97" s="4" t="s">
        <v>706</v>
      </c>
      <c r="H97" s="4" t="s">
        <v>710</v>
      </c>
      <c r="I97" s="4" t="s">
        <v>714</v>
      </c>
      <c r="J97" s="4" t="s">
        <v>728</v>
      </c>
      <c r="K97" s="4" t="s">
        <v>829</v>
      </c>
      <c r="L97">
        <v>1084.79</v>
      </c>
      <c r="M97">
        <v>2484.9899999999998</v>
      </c>
      <c r="N97">
        <v>3.4000000000000002E-2</v>
      </c>
      <c r="O97">
        <v>18</v>
      </c>
    </row>
    <row r="98" spans="1:15" x14ac:dyDescent="0.25">
      <c r="A98" t="s">
        <v>111</v>
      </c>
      <c r="B98" s="2">
        <v>45870</v>
      </c>
      <c r="C98" s="2">
        <v>45885</v>
      </c>
      <c r="D98" s="4" t="s">
        <v>647</v>
      </c>
      <c r="E98" s="4" t="s">
        <v>654</v>
      </c>
      <c r="G98" s="4" t="s">
        <v>706</v>
      </c>
      <c r="H98" s="4" t="s">
        <v>711</v>
      </c>
      <c r="I98" s="4" t="s">
        <v>719</v>
      </c>
      <c r="J98" s="4" t="s">
        <v>732</v>
      </c>
      <c r="K98" s="4" t="s">
        <v>830</v>
      </c>
      <c r="L98">
        <v>24.44</v>
      </c>
      <c r="M98">
        <v>28.69</v>
      </c>
      <c r="N98">
        <v>0.14599999999999999</v>
      </c>
      <c r="O98">
        <v>6</v>
      </c>
    </row>
    <row r="99" spans="1:15" x14ac:dyDescent="0.25">
      <c r="A99" t="s">
        <v>112</v>
      </c>
      <c r="B99" s="2">
        <v>45440</v>
      </c>
      <c r="C99" s="2">
        <v>45438</v>
      </c>
      <c r="D99" s="4" t="s">
        <v>646</v>
      </c>
      <c r="E99" s="4" t="s">
        <v>651</v>
      </c>
      <c r="F99" s="4" t="s">
        <v>669</v>
      </c>
      <c r="G99" s="4" t="s">
        <v>706</v>
      </c>
      <c r="H99" s="4" t="s">
        <v>708</v>
      </c>
      <c r="I99" s="4" t="s">
        <v>721</v>
      </c>
      <c r="J99" s="4" t="s">
        <v>733</v>
      </c>
      <c r="K99" s="4" t="s">
        <v>831</v>
      </c>
      <c r="L99">
        <v>1227.08</v>
      </c>
      <c r="M99">
        <v>1896.62</v>
      </c>
      <c r="N99">
        <v>0</v>
      </c>
      <c r="O99">
        <v>18</v>
      </c>
    </row>
    <row r="100" spans="1:15" x14ac:dyDescent="0.25">
      <c r="A100" t="s">
        <v>113</v>
      </c>
      <c r="B100" s="2">
        <v>45860</v>
      </c>
      <c r="C100" s="2">
        <v>45887</v>
      </c>
      <c r="D100" s="4" t="s">
        <v>647</v>
      </c>
      <c r="E100" s="4" t="s">
        <v>659</v>
      </c>
      <c r="F100" s="4" t="s">
        <v>676</v>
      </c>
      <c r="G100" s="4" t="s">
        <v>703</v>
      </c>
      <c r="H100" s="4" t="s">
        <v>709</v>
      </c>
      <c r="I100" s="4" t="s">
        <v>724</v>
      </c>
      <c r="J100" s="4" t="s">
        <v>729</v>
      </c>
      <c r="K100" s="4" t="s">
        <v>832</v>
      </c>
      <c r="L100">
        <v>547.32000000000005</v>
      </c>
      <c r="M100">
        <v>419.17</v>
      </c>
      <c r="N100">
        <v>9.1999999999999998E-2</v>
      </c>
      <c r="O100">
        <v>14</v>
      </c>
    </row>
    <row r="101" spans="1:15" x14ac:dyDescent="0.25">
      <c r="A101" t="s">
        <v>114</v>
      </c>
      <c r="B101" s="2">
        <v>44985</v>
      </c>
      <c r="C101" s="2">
        <v>45005</v>
      </c>
      <c r="D101" s="4" t="s">
        <v>649</v>
      </c>
      <c r="E101" s="4" t="s">
        <v>656</v>
      </c>
      <c r="F101" s="4" t="s">
        <v>671</v>
      </c>
      <c r="G101" s="4" t="s">
        <v>705</v>
      </c>
      <c r="H101" s="4" t="s">
        <v>711</v>
      </c>
      <c r="I101" s="4" t="s">
        <v>722</v>
      </c>
      <c r="J101" s="4" t="s">
        <v>731</v>
      </c>
      <c r="K101" s="4" t="s">
        <v>833</v>
      </c>
      <c r="L101">
        <v>1200.78</v>
      </c>
      <c r="M101">
        <v>2001.17</v>
      </c>
      <c r="N101">
        <v>0.29199999999999998</v>
      </c>
      <c r="O101">
        <v>18</v>
      </c>
    </row>
    <row r="102" spans="1:15" x14ac:dyDescent="0.25">
      <c r="A102" t="s">
        <v>115</v>
      </c>
      <c r="B102" s="2">
        <v>45684</v>
      </c>
      <c r="C102" s="2">
        <v>45703</v>
      </c>
      <c r="D102" s="4" t="s">
        <v>647</v>
      </c>
      <c r="E102" s="4" t="s">
        <v>659</v>
      </c>
      <c r="F102" s="4" t="s">
        <v>676</v>
      </c>
      <c r="G102" s="4" t="s">
        <v>703</v>
      </c>
      <c r="H102" s="4" t="s">
        <v>711</v>
      </c>
      <c r="I102" s="4" t="s">
        <v>716</v>
      </c>
      <c r="J102" s="4" t="s">
        <v>730</v>
      </c>
      <c r="K102" s="4" t="s">
        <v>834</v>
      </c>
      <c r="L102">
        <v>1253.22</v>
      </c>
      <c r="M102">
        <v>3104.71</v>
      </c>
      <c r="N102">
        <v>0</v>
      </c>
      <c r="O102">
        <v>17</v>
      </c>
    </row>
    <row r="103" spans="1:15" x14ac:dyDescent="0.25">
      <c r="A103" t="s">
        <v>116</v>
      </c>
      <c r="B103" s="2">
        <v>45304</v>
      </c>
      <c r="C103" s="2">
        <v>45313</v>
      </c>
      <c r="D103" s="4" t="s">
        <v>647</v>
      </c>
      <c r="E103" s="4" t="s">
        <v>654</v>
      </c>
      <c r="F103" s="4" t="s">
        <v>691</v>
      </c>
      <c r="G103" s="4" t="s">
        <v>706</v>
      </c>
      <c r="H103" s="4" t="s">
        <v>709</v>
      </c>
      <c r="I103" s="4" t="s">
        <v>713</v>
      </c>
      <c r="J103" s="4" t="s">
        <v>727</v>
      </c>
      <c r="K103" s="4" t="s">
        <v>835</v>
      </c>
      <c r="L103">
        <v>313.60000000000002</v>
      </c>
      <c r="M103">
        <v>334.28</v>
      </c>
      <c r="N103">
        <v>0.14000000000000001</v>
      </c>
      <c r="O103">
        <v>22</v>
      </c>
    </row>
    <row r="104" spans="1:15" x14ac:dyDescent="0.25">
      <c r="A104" t="s">
        <v>117</v>
      </c>
      <c r="B104" s="2">
        <v>45747</v>
      </c>
      <c r="C104" s="2">
        <v>45751</v>
      </c>
      <c r="D104" s="4" t="s">
        <v>646</v>
      </c>
      <c r="E104" s="4" t="s">
        <v>650</v>
      </c>
      <c r="F104" s="4" t="s">
        <v>678</v>
      </c>
      <c r="G104" s="4" t="s">
        <v>701</v>
      </c>
      <c r="H104" s="4" t="s">
        <v>711</v>
      </c>
      <c r="I104" s="4" t="s">
        <v>712</v>
      </c>
      <c r="J104" s="4" t="s">
        <v>731</v>
      </c>
      <c r="K104" s="4" t="s">
        <v>836</v>
      </c>
      <c r="L104">
        <v>862.08</v>
      </c>
      <c r="M104">
        <v>1952.83</v>
      </c>
      <c r="N104">
        <v>0</v>
      </c>
      <c r="O104">
        <v>7</v>
      </c>
    </row>
    <row r="105" spans="1:15" x14ac:dyDescent="0.25">
      <c r="A105" t="s">
        <v>118</v>
      </c>
      <c r="B105" s="2">
        <v>45631</v>
      </c>
      <c r="C105" s="2">
        <v>45654</v>
      </c>
      <c r="D105" s="4" t="s">
        <v>648</v>
      </c>
      <c r="E105" s="4" t="s">
        <v>653</v>
      </c>
      <c r="F105" s="4" t="s">
        <v>688</v>
      </c>
      <c r="G105" s="4" t="s">
        <v>701</v>
      </c>
      <c r="H105" s="4" t="s">
        <v>711</v>
      </c>
      <c r="I105" s="4" t="s">
        <v>721</v>
      </c>
      <c r="J105" s="4" t="s">
        <v>733</v>
      </c>
      <c r="K105" s="4" t="s">
        <v>837</v>
      </c>
      <c r="L105">
        <v>107.03</v>
      </c>
      <c r="M105">
        <v>242.29</v>
      </c>
      <c r="N105">
        <v>0.18</v>
      </c>
      <c r="O105">
        <v>30</v>
      </c>
    </row>
    <row r="106" spans="1:15" x14ac:dyDescent="0.25">
      <c r="A106" t="s">
        <v>119</v>
      </c>
      <c r="B106" s="2">
        <v>45549</v>
      </c>
      <c r="C106" s="2">
        <v>45570</v>
      </c>
      <c r="D106" s="4" t="s">
        <v>647</v>
      </c>
      <c r="E106" s="4" t="s">
        <v>659</v>
      </c>
      <c r="F106" s="4" t="s">
        <v>685</v>
      </c>
      <c r="G106" s="4" t="s">
        <v>705</v>
      </c>
      <c r="H106" s="4" t="s">
        <v>708</v>
      </c>
      <c r="I106" s="4" t="s">
        <v>722</v>
      </c>
      <c r="J106" s="4" t="s">
        <v>731</v>
      </c>
      <c r="K106" s="4" t="s">
        <v>838</v>
      </c>
      <c r="L106">
        <v>1405.56</v>
      </c>
      <c r="M106">
        <v>2968.87</v>
      </c>
      <c r="N106">
        <v>0.16900000000000001</v>
      </c>
      <c r="O106">
        <v>5</v>
      </c>
    </row>
    <row r="107" spans="1:15" x14ac:dyDescent="0.25">
      <c r="A107" t="s">
        <v>120</v>
      </c>
      <c r="B107" s="2">
        <v>45433</v>
      </c>
      <c r="C107" s="2">
        <v>45439</v>
      </c>
      <c r="D107" s="4" t="s">
        <v>646</v>
      </c>
      <c r="E107" s="4" t="s">
        <v>661</v>
      </c>
      <c r="F107" s="4" t="s">
        <v>682</v>
      </c>
      <c r="G107" s="4" t="s">
        <v>703</v>
      </c>
      <c r="H107" s="4" t="s">
        <v>708</v>
      </c>
      <c r="I107" s="4" t="s">
        <v>724</v>
      </c>
      <c r="J107" s="4" t="s">
        <v>727</v>
      </c>
      <c r="K107" s="4" t="s">
        <v>839</v>
      </c>
      <c r="L107">
        <v>1157.51</v>
      </c>
      <c r="M107">
        <v>1394.3</v>
      </c>
      <c r="N107">
        <v>0.27800000000000002</v>
      </c>
      <c r="O107">
        <v>12</v>
      </c>
    </row>
    <row r="108" spans="1:15" x14ac:dyDescent="0.25">
      <c r="A108" t="s">
        <v>121</v>
      </c>
      <c r="B108" s="2">
        <v>45057</v>
      </c>
      <c r="C108" s="2">
        <v>45084</v>
      </c>
      <c r="D108" s="4" t="s">
        <v>646</v>
      </c>
      <c r="E108" s="4" t="s">
        <v>650</v>
      </c>
      <c r="F108" s="4" t="s">
        <v>675</v>
      </c>
      <c r="G108" s="4" t="s">
        <v>701</v>
      </c>
      <c r="H108" s="4" t="s">
        <v>708</v>
      </c>
      <c r="I108" s="4" t="s">
        <v>713</v>
      </c>
      <c r="J108" s="4" t="s">
        <v>730</v>
      </c>
      <c r="K108" s="4" t="s">
        <v>840</v>
      </c>
      <c r="L108">
        <v>12.85</v>
      </c>
      <c r="M108">
        <v>15.41</v>
      </c>
      <c r="N108">
        <v>0.13700000000000001</v>
      </c>
      <c r="O108">
        <v>39</v>
      </c>
    </row>
    <row r="109" spans="1:15" x14ac:dyDescent="0.25">
      <c r="A109" t="s">
        <v>122</v>
      </c>
      <c r="B109" s="2">
        <v>45518</v>
      </c>
      <c r="C109" s="2">
        <v>45539</v>
      </c>
      <c r="D109" s="4" t="s">
        <v>649</v>
      </c>
      <c r="E109" s="4" t="s">
        <v>658</v>
      </c>
      <c r="F109" s="4" t="s">
        <v>693</v>
      </c>
      <c r="G109" s="4" t="s">
        <v>703</v>
      </c>
      <c r="H109" s="4" t="s">
        <v>708</v>
      </c>
      <c r="I109" s="4" t="s">
        <v>713</v>
      </c>
      <c r="J109" s="4" t="s">
        <v>730</v>
      </c>
      <c r="K109" s="4" t="s">
        <v>841</v>
      </c>
      <c r="L109">
        <v>1138.8</v>
      </c>
      <c r="M109">
        <v>2250.81</v>
      </c>
      <c r="N109">
        <v>0.123</v>
      </c>
      <c r="O109">
        <v>12</v>
      </c>
    </row>
    <row r="110" spans="1:15" x14ac:dyDescent="0.25">
      <c r="A110" t="s">
        <v>123</v>
      </c>
      <c r="B110" s="2">
        <v>45581</v>
      </c>
      <c r="C110" s="2">
        <v>45604</v>
      </c>
      <c r="D110" s="4" t="s">
        <v>647</v>
      </c>
      <c r="E110" s="4" t="s">
        <v>652</v>
      </c>
      <c r="F110" s="4" t="s">
        <v>666</v>
      </c>
      <c r="G110" s="4" t="s">
        <v>705</v>
      </c>
      <c r="H110" s="4" t="s">
        <v>707</v>
      </c>
      <c r="I110" s="4" t="s">
        <v>713</v>
      </c>
      <c r="J110" s="4" t="s">
        <v>729</v>
      </c>
      <c r="K110" s="4" t="s">
        <v>842</v>
      </c>
      <c r="L110">
        <v>82.14</v>
      </c>
      <c r="M110">
        <v>166.04</v>
      </c>
      <c r="N110">
        <v>0</v>
      </c>
      <c r="O110">
        <v>10</v>
      </c>
    </row>
    <row r="111" spans="1:15" x14ac:dyDescent="0.25">
      <c r="A111" t="s">
        <v>124</v>
      </c>
      <c r="B111" s="2">
        <v>45445</v>
      </c>
      <c r="C111" s="2">
        <v>45451</v>
      </c>
      <c r="D111" s="4" t="s">
        <v>646</v>
      </c>
      <c r="E111" s="4" t="s">
        <v>650</v>
      </c>
      <c r="F111" s="4" t="s">
        <v>662</v>
      </c>
      <c r="G111" s="4" t="s">
        <v>704</v>
      </c>
      <c r="H111" s="4" t="s">
        <v>709</v>
      </c>
      <c r="I111" s="4" t="s">
        <v>720</v>
      </c>
      <c r="J111" s="4" t="s">
        <v>733</v>
      </c>
      <c r="K111" s="4" t="s">
        <v>843</v>
      </c>
      <c r="L111">
        <v>292.94</v>
      </c>
      <c r="M111">
        <v>356.55</v>
      </c>
      <c r="N111">
        <v>0.22900000000000001</v>
      </c>
      <c r="O111">
        <v>2</v>
      </c>
    </row>
    <row r="112" spans="1:15" x14ac:dyDescent="0.25">
      <c r="A112" t="s">
        <v>125</v>
      </c>
      <c r="B112" s="2">
        <v>45452</v>
      </c>
      <c r="C112" s="2">
        <v>45480</v>
      </c>
      <c r="D112" s="4" t="s">
        <v>647</v>
      </c>
      <c r="E112" s="4" t="s">
        <v>659</v>
      </c>
      <c r="F112" s="4" t="s">
        <v>676</v>
      </c>
      <c r="G112" s="4" t="s">
        <v>701</v>
      </c>
      <c r="H112" s="4" t="s">
        <v>708</v>
      </c>
      <c r="I112" s="4" t="s">
        <v>713</v>
      </c>
      <c r="J112" s="4" t="s">
        <v>727</v>
      </c>
      <c r="K112" s="4" t="s">
        <v>844</v>
      </c>
      <c r="L112">
        <v>550.22</v>
      </c>
      <c r="M112">
        <v>1025.05</v>
      </c>
      <c r="N112">
        <v>0</v>
      </c>
      <c r="O112">
        <v>27</v>
      </c>
    </row>
    <row r="113" spans="1:15" x14ac:dyDescent="0.25">
      <c r="A113" t="s">
        <v>126</v>
      </c>
      <c r="B113" s="2">
        <v>45453</v>
      </c>
      <c r="C113" s="2">
        <v>45454</v>
      </c>
      <c r="D113" s="4" t="s">
        <v>649</v>
      </c>
      <c r="E113" s="4" t="s">
        <v>658</v>
      </c>
      <c r="F113" s="4" t="s">
        <v>674</v>
      </c>
      <c r="G113" s="4" t="s">
        <v>705</v>
      </c>
      <c r="H113" s="4" t="s">
        <v>709</v>
      </c>
      <c r="I113" s="4" t="s">
        <v>724</v>
      </c>
      <c r="J113" s="4" t="s">
        <v>731</v>
      </c>
      <c r="K113" s="4" t="s">
        <v>845</v>
      </c>
      <c r="L113">
        <v>1187.1300000000001</v>
      </c>
      <c r="M113">
        <v>1795.17</v>
      </c>
      <c r="N113">
        <v>1.2E-2</v>
      </c>
      <c r="O113">
        <v>17</v>
      </c>
    </row>
    <row r="114" spans="1:15" x14ac:dyDescent="0.25">
      <c r="A114" t="s">
        <v>127</v>
      </c>
      <c r="B114" s="2">
        <v>45472</v>
      </c>
      <c r="C114" s="2">
        <v>45499</v>
      </c>
      <c r="D114" s="4" t="s">
        <v>646</v>
      </c>
      <c r="E114" s="4" t="s">
        <v>661</v>
      </c>
      <c r="F114" s="4" t="s">
        <v>687</v>
      </c>
      <c r="G114" s="4" t="s">
        <v>706</v>
      </c>
      <c r="H114" s="4" t="s">
        <v>710</v>
      </c>
      <c r="I114" s="4" t="s">
        <v>717</v>
      </c>
      <c r="J114" s="4" t="s">
        <v>729</v>
      </c>
      <c r="K114" s="4" t="s">
        <v>846</v>
      </c>
      <c r="L114">
        <v>5.36</v>
      </c>
      <c r="M114">
        <v>4.37</v>
      </c>
      <c r="N114">
        <v>0.11799999999999999</v>
      </c>
      <c r="O114">
        <v>9</v>
      </c>
    </row>
    <row r="115" spans="1:15" x14ac:dyDescent="0.25">
      <c r="A115" t="s">
        <v>128</v>
      </c>
      <c r="B115" s="2">
        <v>45674</v>
      </c>
      <c r="C115" s="2">
        <v>45681</v>
      </c>
      <c r="D115" s="4" t="s">
        <v>648</v>
      </c>
      <c r="E115" s="4" t="s">
        <v>660</v>
      </c>
      <c r="F115" s="4" t="s">
        <v>697</v>
      </c>
      <c r="G115" s="4" t="s">
        <v>706</v>
      </c>
      <c r="H115" s="4" t="s">
        <v>708</v>
      </c>
      <c r="I115" s="4" t="s">
        <v>715</v>
      </c>
      <c r="J115" s="4" t="s">
        <v>733</v>
      </c>
      <c r="K115" s="4" t="s">
        <v>847</v>
      </c>
      <c r="L115">
        <v>142.09</v>
      </c>
      <c r="M115">
        <v>218.5</v>
      </c>
      <c r="N115">
        <v>0.11899999999999999</v>
      </c>
      <c r="O115">
        <v>11</v>
      </c>
    </row>
    <row r="116" spans="1:15" x14ac:dyDescent="0.25">
      <c r="A116" t="s">
        <v>129</v>
      </c>
      <c r="B116" s="2">
        <v>45250</v>
      </c>
      <c r="C116" s="2">
        <v>45265</v>
      </c>
      <c r="D116" s="4" t="s">
        <v>647</v>
      </c>
      <c r="E116" s="4" t="s">
        <v>652</v>
      </c>
      <c r="F116" s="4" t="s">
        <v>689</v>
      </c>
      <c r="G116" s="4" t="s">
        <v>706</v>
      </c>
      <c r="H116" s="4" t="s">
        <v>707</v>
      </c>
      <c r="I116" s="4" t="s">
        <v>716</v>
      </c>
      <c r="J116" s="4" t="s">
        <v>729</v>
      </c>
      <c r="K116" s="4" t="s">
        <v>848</v>
      </c>
      <c r="L116">
        <v>354.24</v>
      </c>
      <c r="M116">
        <v>249.87</v>
      </c>
      <c r="N116">
        <v>0</v>
      </c>
      <c r="O116">
        <v>6</v>
      </c>
    </row>
    <row r="117" spans="1:15" x14ac:dyDescent="0.25">
      <c r="A117" t="s">
        <v>130</v>
      </c>
      <c r="B117" s="2">
        <v>44987</v>
      </c>
      <c r="C117" s="2">
        <v>44990</v>
      </c>
      <c r="D117" s="4" t="s">
        <v>648</v>
      </c>
      <c r="E117" s="4" t="s">
        <v>655</v>
      </c>
      <c r="F117" s="4" t="s">
        <v>672</v>
      </c>
      <c r="G117" s="4" t="s">
        <v>706</v>
      </c>
      <c r="H117" s="4" t="s">
        <v>711</v>
      </c>
      <c r="I117" s="4" t="s">
        <v>715</v>
      </c>
      <c r="J117" s="4" t="s">
        <v>732</v>
      </c>
      <c r="K117" s="4" t="s">
        <v>849</v>
      </c>
      <c r="L117">
        <v>1473.58</v>
      </c>
      <c r="M117">
        <v>3436.52</v>
      </c>
      <c r="N117">
        <v>0.108</v>
      </c>
      <c r="O117">
        <v>8</v>
      </c>
    </row>
    <row r="118" spans="1:15" x14ac:dyDescent="0.25">
      <c r="A118" t="s">
        <v>131</v>
      </c>
      <c r="B118" s="2">
        <v>45811</v>
      </c>
      <c r="C118" s="2">
        <v>45818</v>
      </c>
      <c r="D118" s="4" t="s">
        <v>648</v>
      </c>
      <c r="E118" s="4" t="s">
        <v>653</v>
      </c>
      <c r="F118" s="4" t="s">
        <v>667</v>
      </c>
      <c r="G118" s="4" t="s">
        <v>704</v>
      </c>
      <c r="H118" s="4" t="s">
        <v>710</v>
      </c>
      <c r="I118" s="4" t="s">
        <v>719</v>
      </c>
      <c r="J118" s="4" t="s">
        <v>728</v>
      </c>
      <c r="K118" s="4" t="s">
        <v>850</v>
      </c>
      <c r="L118">
        <v>75.180000000000007</v>
      </c>
      <c r="M118">
        <v>53.45</v>
      </c>
      <c r="N118">
        <v>0.157</v>
      </c>
      <c r="O118">
        <v>17</v>
      </c>
    </row>
    <row r="119" spans="1:15" x14ac:dyDescent="0.25">
      <c r="A119" t="s">
        <v>132</v>
      </c>
      <c r="B119" s="2">
        <v>45653</v>
      </c>
      <c r="C119" s="2">
        <v>45659</v>
      </c>
      <c r="D119" s="4" t="s">
        <v>649</v>
      </c>
      <c r="E119" s="4" t="s">
        <v>656</v>
      </c>
      <c r="F119" s="4" t="s">
        <v>698</v>
      </c>
      <c r="G119" s="4" t="s">
        <v>702</v>
      </c>
      <c r="H119" s="4" t="s">
        <v>711</v>
      </c>
      <c r="I119" s="4" t="s">
        <v>721</v>
      </c>
      <c r="J119" s="4" t="s">
        <v>731</v>
      </c>
      <c r="K119" s="4" t="s">
        <v>851</v>
      </c>
      <c r="L119">
        <v>1391.99</v>
      </c>
      <c r="M119">
        <v>3469.7</v>
      </c>
      <c r="N119">
        <v>0.184</v>
      </c>
      <c r="O119">
        <v>23</v>
      </c>
    </row>
    <row r="120" spans="1:15" x14ac:dyDescent="0.25">
      <c r="A120" t="s">
        <v>133</v>
      </c>
      <c r="B120" s="2">
        <v>45086</v>
      </c>
      <c r="C120" s="2">
        <v>45096</v>
      </c>
      <c r="D120" s="4" t="s">
        <v>647</v>
      </c>
      <c r="E120" s="4" t="s">
        <v>659</v>
      </c>
      <c r="F120" s="4" t="s">
        <v>699</v>
      </c>
      <c r="G120" s="4" t="s">
        <v>706</v>
      </c>
      <c r="H120" s="4" t="s">
        <v>707</v>
      </c>
      <c r="I120" s="4" t="s">
        <v>721</v>
      </c>
      <c r="J120" s="4" t="s">
        <v>732</v>
      </c>
      <c r="K120" s="4" t="s">
        <v>852</v>
      </c>
      <c r="L120">
        <v>339.61</v>
      </c>
      <c r="M120">
        <v>621.02</v>
      </c>
      <c r="N120">
        <v>7.0999999999999994E-2</v>
      </c>
      <c r="O120">
        <v>10</v>
      </c>
    </row>
    <row r="121" spans="1:15" x14ac:dyDescent="0.25">
      <c r="A121" t="s">
        <v>134</v>
      </c>
      <c r="B121" s="2">
        <v>45847</v>
      </c>
      <c r="C121" s="2">
        <v>45856</v>
      </c>
      <c r="D121" s="4" t="s">
        <v>648</v>
      </c>
      <c r="E121" s="4" t="s">
        <v>653</v>
      </c>
      <c r="F121" s="4" t="s">
        <v>688</v>
      </c>
      <c r="G121" s="4" t="s">
        <v>702</v>
      </c>
      <c r="H121" s="4" t="s">
        <v>710</v>
      </c>
      <c r="I121" s="4" t="s">
        <v>714</v>
      </c>
      <c r="J121" s="4" t="s">
        <v>731</v>
      </c>
      <c r="K121" s="4" t="s">
        <v>853</v>
      </c>
      <c r="L121">
        <v>57.96</v>
      </c>
      <c r="M121">
        <v>88.51</v>
      </c>
      <c r="N121">
        <v>4.2999999999999997E-2</v>
      </c>
      <c r="O121">
        <v>7</v>
      </c>
    </row>
    <row r="122" spans="1:15" x14ac:dyDescent="0.25">
      <c r="A122" t="s">
        <v>135</v>
      </c>
      <c r="B122" s="2">
        <v>45827</v>
      </c>
      <c r="C122" s="2">
        <v>45850</v>
      </c>
      <c r="D122" s="4" t="s">
        <v>649</v>
      </c>
      <c r="E122" s="4" t="s">
        <v>658</v>
      </c>
      <c r="G122" s="4" t="s">
        <v>703</v>
      </c>
      <c r="H122" s="4" t="s">
        <v>711</v>
      </c>
      <c r="J122" s="4" t="s">
        <v>729</v>
      </c>
      <c r="K122" s="4" t="s">
        <v>854</v>
      </c>
      <c r="L122">
        <v>801.24</v>
      </c>
      <c r="M122">
        <v>1959.09</v>
      </c>
      <c r="N122">
        <v>0.123</v>
      </c>
      <c r="O122">
        <v>23</v>
      </c>
    </row>
    <row r="123" spans="1:15" x14ac:dyDescent="0.25">
      <c r="A123" t="s">
        <v>136</v>
      </c>
      <c r="B123" s="2">
        <v>45249</v>
      </c>
      <c r="C123" s="2">
        <v>45273</v>
      </c>
      <c r="D123" s="4" t="s">
        <v>649</v>
      </c>
      <c r="E123" s="4" t="s">
        <v>657</v>
      </c>
      <c r="F123" s="4" t="s">
        <v>679</v>
      </c>
      <c r="G123" s="4" t="s">
        <v>703</v>
      </c>
      <c r="H123" s="4" t="s">
        <v>711</v>
      </c>
      <c r="I123" s="4" t="s">
        <v>722</v>
      </c>
      <c r="J123" s="4" t="s">
        <v>732</v>
      </c>
      <c r="K123" s="4" t="s">
        <v>855</v>
      </c>
      <c r="L123">
        <v>1297.42</v>
      </c>
      <c r="M123">
        <v>2742.97</v>
      </c>
      <c r="N123">
        <v>6.9000000000000006E-2</v>
      </c>
      <c r="O123">
        <v>9</v>
      </c>
    </row>
    <row r="124" spans="1:15" x14ac:dyDescent="0.25">
      <c r="A124" t="s">
        <v>137</v>
      </c>
      <c r="B124" s="2">
        <v>45289</v>
      </c>
      <c r="C124" s="2">
        <v>45311</v>
      </c>
      <c r="D124" s="4" t="s">
        <v>646</v>
      </c>
      <c r="E124" s="4" t="s">
        <v>650</v>
      </c>
      <c r="F124" s="4" t="s">
        <v>662</v>
      </c>
      <c r="G124" s="4" t="s">
        <v>701</v>
      </c>
      <c r="H124" s="4" t="s">
        <v>711</v>
      </c>
      <c r="I124" s="4" t="s">
        <v>716</v>
      </c>
      <c r="J124" s="4" t="s">
        <v>730</v>
      </c>
      <c r="K124" s="4" t="s">
        <v>856</v>
      </c>
      <c r="L124">
        <v>1395.49</v>
      </c>
      <c r="M124">
        <v>1679.42</v>
      </c>
      <c r="N124">
        <v>0.20300000000000001</v>
      </c>
      <c r="O124">
        <v>12</v>
      </c>
    </row>
    <row r="125" spans="1:15" x14ac:dyDescent="0.25">
      <c r="A125" t="s">
        <v>138</v>
      </c>
      <c r="B125" s="2">
        <v>45598</v>
      </c>
      <c r="C125" s="2">
        <v>45625</v>
      </c>
      <c r="D125" s="4" t="s">
        <v>648</v>
      </c>
      <c r="E125" s="4" t="s">
        <v>655</v>
      </c>
      <c r="F125" s="4" t="s">
        <v>672</v>
      </c>
      <c r="G125" s="4" t="s">
        <v>705</v>
      </c>
      <c r="H125" s="4" t="s">
        <v>711</v>
      </c>
      <c r="I125" s="4" t="s">
        <v>714</v>
      </c>
      <c r="J125" s="4" t="s">
        <v>729</v>
      </c>
      <c r="K125" s="4" t="s">
        <v>857</v>
      </c>
      <c r="L125">
        <v>1363.51</v>
      </c>
      <c r="M125">
        <v>1433.9</v>
      </c>
      <c r="N125">
        <v>5.7000000000000002E-2</v>
      </c>
      <c r="O125">
        <v>8</v>
      </c>
    </row>
    <row r="126" spans="1:15" x14ac:dyDescent="0.25">
      <c r="A126" t="s">
        <v>139</v>
      </c>
      <c r="B126" s="2">
        <v>45159</v>
      </c>
      <c r="C126" s="2">
        <v>45173</v>
      </c>
      <c r="D126" s="4" t="s">
        <v>648</v>
      </c>
      <c r="E126" s="4" t="s">
        <v>653</v>
      </c>
      <c r="F126" s="4" t="s">
        <v>681</v>
      </c>
      <c r="G126" s="4" t="s">
        <v>702</v>
      </c>
      <c r="H126" s="4" t="s">
        <v>710</v>
      </c>
      <c r="I126" s="4" t="s">
        <v>721</v>
      </c>
      <c r="J126" s="4" t="s">
        <v>727</v>
      </c>
      <c r="K126" s="4" t="s">
        <v>858</v>
      </c>
      <c r="L126">
        <v>178.19</v>
      </c>
      <c r="M126">
        <v>284.43</v>
      </c>
      <c r="N126">
        <v>8.8999999999999996E-2</v>
      </c>
      <c r="O126">
        <v>8</v>
      </c>
    </row>
    <row r="127" spans="1:15" x14ac:dyDescent="0.25">
      <c r="A127" t="s">
        <v>140</v>
      </c>
      <c r="B127" s="2">
        <v>45150</v>
      </c>
      <c r="C127" s="2">
        <v>45175</v>
      </c>
      <c r="D127" s="4" t="s">
        <v>647</v>
      </c>
      <c r="E127" s="4" t="s">
        <v>659</v>
      </c>
      <c r="F127" s="4" t="s">
        <v>685</v>
      </c>
      <c r="G127" s="4" t="s">
        <v>705</v>
      </c>
      <c r="H127" s="4" t="s">
        <v>707</v>
      </c>
      <c r="I127" s="4" t="s">
        <v>717</v>
      </c>
      <c r="J127" s="4" t="s">
        <v>727</v>
      </c>
      <c r="K127" s="4" t="s">
        <v>859</v>
      </c>
      <c r="L127">
        <v>950.77</v>
      </c>
      <c r="M127">
        <v>694.78</v>
      </c>
      <c r="N127">
        <v>8.4000000000000005E-2</v>
      </c>
      <c r="O127">
        <v>14</v>
      </c>
    </row>
    <row r="128" spans="1:15" x14ac:dyDescent="0.25">
      <c r="A128" t="s">
        <v>141</v>
      </c>
      <c r="B128" s="2">
        <v>45450</v>
      </c>
      <c r="C128" s="2">
        <v>45469</v>
      </c>
      <c r="D128" s="4" t="s">
        <v>649</v>
      </c>
      <c r="E128" s="4" t="s">
        <v>656</v>
      </c>
      <c r="F128" s="4" t="s">
        <v>671</v>
      </c>
      <c r="G128" s="4" t="s">
        <v>703</v>
      </c>
      <c r="H128" s="4" t="s">
        <v>709</v>
      </c>
      <c r="I128" s="4" t="s">
        <v>724</v>
      </c>
      <c r="J128" s="4" t="s">
        <v>727</v>
      </c>
      <c r="K128" s="4" t="s">
        <v>860</v>
      </c>
      <c r="L128">
        <v>1064.32</v>
      </c>
      <c r="M128">
        <v>1848.39</v>
      </c>
      <c r="N128">
        <v>7.2999999999999995E-2</v>
      </c>
      <c r="O128">
        <v>38</v>
      </c>
    </row>
    <row r="129" spans="1:15" x14ac:dyDescent="0.25">
      <c r="A129" t="s">
        <v>142</v>
      </c>
      <c r="B129" s="2">
        <v>45874</v>
      </c>
      <c r="C129" s="2">
        <v>45883</v>
      </c>
      <c r="D129" s="4" t="s">
        <v>649</v>
      </c>
      <c r="E129" s="4" t="s">
        <v>658</v>
      </c>
      <c r="F129" s="4" t="s">
        <v>683</v>
      </c>
      <c r="G129" s="4" t="s">
        <v>703</v>
      </c>
      <c r="H129" s="4" t="s">
        <v>711</v>
      </c>
      <c r="I129" s="4" t="s">
        <v>718</v>
      </c>
      <c r="J129" s="4" t="s">
        <v>727</v>
      </c>
      <c r="K129" s="4" t="s">
        <v>861</v>
      </c>
      <c r="L129">
        <v>41.76</v>
      </c>
      <c r="M129">
        <v>45.19</v>
      </c>
      <c r="N129">
        <v>0.17899999999999999</v>
      </c>
      <c r="O129">
        <v>23</v>
      </c>
    </row>
    <row r="130" spans="1:15" x14ac:dyDescent="0.25">
      <c r="A130" t="s">
        <v>143</v>
      </c>
      <c r="B130" s="2">
        <v>45442</v>
      </c>
      <c r="C130" s="2">
        <v>45456</v>
      </c>
      <c r="D130" s="4" t="s">
        <v>648</v>
      </c>
      <c r="E130" s="4" t="s">
        <v>660</v>
      </c>
      <c r="F130" s="4" t="s">
        <v>686</v>
      </c>
      <c r="G130" s="4" t="s">
        <v>705</v>
      </c>
      <c r="H130" s="4" t="s">
        <v>707</v>
      </c>
      <c r="I130" s="4" t="s">
        <v>721</v>
      </c>
      <c r="J130" s="4" t="s">
        <v>730</v>
      </c>
      <c r="K130" s="4" t="s">
        <v>862</v>
      </c>
      <c r="L130">
        <v>157.78</v>
      </c>
      <c r="M130">
        <v>361.1</v>
      </c>
      <c r="N130">
        <v>0.187</v>
      </c>
      <c r="O130">
        <v>9</v>
      </c>
    </row>
    <row r="131" spans="1:15" x14ac:dyDescent="0.25">
      <c r="A131" t="s">
        <v>144</v>
      </c>
      <c r="B131" s="2">
        <v>44948</v>
      </c>
      <c r="C131" s="2">
        <v>44956</v>
      </c>
      <c r="D131" s="4" t="s">
        <v>648</v>
      </c>
      <c r="E131" s="4" t="s">
        <v>660</v>
      </c>
      <c r="F131" s="4" t="s">
        <v>686</v>
      </c>
      <c r="G131" s="4" t="s">
        <v>705</v>
      </c>
      <c r="H131" s="4" t="s">
        <v>708</v>
      </c>
      <c r="I131" s="4" t="s">
        <v>720</v>
      </c>
      <c r="J131" s="4" t="s">
        <v>729</v>
      </c>
      <c r="K131" s="4" t="s">
        <v>863</v>
      </c>
      <c r="L131">
        <v>413.52</v>
      </c>
      <c r="M131">
        <v>1004.34</v>
      </c>
      <c r="N131">
        <v>0.111</v>
      </c>
      <c r="O131">
        <v>18</v>
      </c>
    </row>
    <row r="132" spans="1:15" x14ac:dyDescent="0.25">
      <c r="A132" t="s">
        <v>145</v>
      </c>
      <c r="B132" s="2">
        <v>45700</v>
      </c>
      <c r="C132" s="2">
        <v>45716</v>
      </c>
      <c r="D132" s="4" t="s">
        <v>648</v>
      </c>
      <c r="E132" s="4" t="s">
        <v>655</v>
      </c>
      <c r="F132" s="4" t="s">
        <v>670</v>
      </c>
      <c r="G132" s="4" t="s">
        <v>703</v>
      </c>
      <c r="H132" s="4" t="s">
        <v>711</v>
      </c>
      <c r="I132" s="4" t="s">
        <v>717</v>
      </c>
      <c r="J132" s="4" t="s">
        <v>732</v>
      </c>
      <c r="K132" s="4" t="s">
        <v>864</v>
      </c>
      <c r="L132">
        <v>414.95</v>
      </c>
      <c r="M132">
        <v>1027.73</v>
      </c>
      <c r="N132">
        <v>6.3E-2</v>
      </c>
      <c r="O132">
        <v>8</v>
      </c>
    </row>
    <row r="133" spans="1:15" x14ac:dyDescent="0.25">
      <c r="A133" t="s">
        <v>146</v>
      </c>
      <c r="B133" s="2">
        <v>45719</v>
      </c>
      <c r="C133" s="2">
        <v>45740</v>
      </c>
      <c r="D133" s="4" t="s">
        <v>646</v>
      </c>
      <c r="E133" s="4" t="s">
        <v>651</v>
      </c>
      <c r="F133" s="4" t="s">
        <v>669</v>
      </c>
      <c r="G133" s="4" t="s">
        <v>706</v>
      </c>
      <c r="H133" s="4" t="s">
        <v>711</v>
      </c>
      <c r="I133" s="4" t="s">
        <v>722</v>
      </c>
      <c r="J133" s="4" t="s">
        <v>733</v>
      </c>
      <c r="K133" s="4" t="s">
        <v>865</v>
      </c>
      <c r="L133">
        <v>555.95000000000005</v>
      </c>
      <c r="M133">
        <v>468.09</v>
      </c>
      <c r="N133">
        <v>0.14199999999999999</v>
      </c>
      <c r="O133">
        <v>11</v>
      </c>
    </row>
    <row r="134" spans="1:15" x14ac:dyDescent="0.25">
      <c r="A134" t="s">
        <v>147</v>
      </c>
      <c r="B134" s="2">
        <v>44953</v>
      </c>
      <c r="C134" s="2">
        <v>44957</v>
      </c>
      <c r="D134" s="4" t="s">
        <v>649</v>
      </c>
      <c r="E134" s="4" t="s">
        <v>658</v>
      </c>
      <c r="F134" s="4" t="s">
        <v>693</v>
      </c>
      <c r="G134" s="4" t="s">
        <v>706</v>
      </c>
      <c r="H134" s="4" t="s">
        <v>708</v>
      </c>
      <c r="I134" s="4" t="s">
        <v>725</v>
      </c>
      <c r="J134" s="4" t="s">
        <v>731</v>
      </c>
      <c r="K134" s="4" t="s">
        <v>866</v>
      </c>
      <c r="L134">
        <v>941.2</v>
      </c>
      <c r="M134">
        <v>668.02</v>
      </c>
      <c r="N134">
        <v>0.22</v>
      </c>
      <c r="O134">
        <v>16</v>
      </c>
    </row>
    <row r="135" spans="1:15" x14ac:dyDescent="0.25">
      <c r="A135" t="s">
        <v>148</v>
      </c>
      <c r="B135" s="2">
        <v>45666</v>
      </c>
      <c r="C135" s="2">
        <v>45672</v>
      </c>
      <c r="D135" s="4" t="s">
        <v>647</v>
      </c>
      <c r="E135" s="4" t="s">
        <v>659</v>
      </c>
      <c r="F135" s="4" t="s">
        <v>699</v>
      </c>
      <c r="G135" s="4" t="s">
        <v>702</v>
      </c>
      <c r="H135" s="4" t="s">
        <v>708</v>
      </c>
      <c r="I135" s="4" t="s">
        <v>712</v>
      </c>
      <c r="J135" s="4" t="s">
        <v>730</v>
      </c>
      <c r="K135" s="4" t="s">
        <v>867</v>
      </c>
      <c r="L135">
        <v>304.77999999999997</v>
      </c>
      <c r="M135">
        <v>537.27</v>
      </c>
      <c r="N135">
        <v>0.187</v>
      </c>
      <c r="O135">
        <v>8</v>
      </c>
    </row>
    <row r="136" spans="1:15" x14ac:dyDescent="0.25">
      <c r="A136" t="s">
        <v>149</v>
      </c>
      <c r="B136" s="2">
        <v>45647</v>
      </c>
      <c r="C136" s="2">
        <v>45652</v>
      </c>
      <c r="D136" s="4" t="s">
        <v>648</v>
      </c>
      <c r="E136" s="4" t="s">
        <v>660</v>
      </c>
      <c r="F136" s="4" t="s">
        <v>686</v>
      </c>
      <c r="G136" s="4" t="s">
        <v>704</v>
      </c>
      <c r="H136" s="4" t="s">
        <v>709</v>
      </c>
      <c r="I136" s="4" t="s">
        <v>724</v>
      </c>
      <c r="J136" s="4" t="s">
        <v>728</v>
      </c>
      <c r="K136" s="4" t="s">
        <v>868</v>
      </c>
      <c r="L136">
        <v>699.57</v>
      </c>
      <c r="M136">
        <v>572.71</v>
      </c>
      <c r="N136">
        <v>0.192</v>
      </c>
      <c r="O136">
        <v>26</v>
      </c>
    </row>
    <row r="137" spans="1:15" x14ac:dyDescent="0.25">
      <c r="A137" t="s">
        <v>150</v>
      </c>
      <c r="B137" s="2">
        <v>45028</v>
      </c>
      <c r="C137" s="2">
        <v>45033</v>
      </c>
      <c r="D137" s="4" t="s">
        <v>649</v>
      </c>
      <c r="E137" s="4" t="s">
        <v>657</v>
      </c>
      <c r="F137" s="4" t="s">
        <v>679</v>
      </c>
      <c r="G137" s="4" t="s">
        <v>706</v>
      </c>
      <c r="H137" s="4" t="s">
        <v>711</v>
      </c>
      <c r="I137" s="4" t="s">
        <v>718</v>
      </c>
      <c r="J137" s="4" t="s">
        <v>732</v>
      </c>
      <c r="K137" s="4" t="s">
        <v>869</v>
      </c>
      <c r="L137">
        <v>1087.81</v>
      </c>
      <c r="M137">
        <v>2323.87</v>
      </c>
      <c r="N137">
        <v>9.4E-2</v>
      </c>
      <c r="O137">
        <v>13</v>
      </c>
    </row>
    <row r="138" spans="1:15" x14ac:dyDescent="0.25">
      <c r="A138" t="s">
        <v>151</v>
      </c>
      <c r="B138" s="2">
        <v>45640</v>
      </c>
      <c r="C138" s="2">
        <v>45669</v>
      </c>
      <c r="D138" s="4" t="s">
        <v>647</v>
      </c>
      <c r="E138" s="4" t="s">
        <v>659</v>
      </c>
      <c r="F138" s="4" t="s">
        <v>676</v>
      </c>
      <c r="G138" s="4" t="s">
        <v>702</v>
      </c>
      <c r="H138" s="4" t="s">
        <v>708</v>
      </c>
      <c r="I138" s="4" t="s">
        <v>713</v>
      </c>
      <c r="J138" s="4" t="s">
        <v>727</v>
      </c>
      <c r="K138" s="4" t="s">
        <v>870</v>
      </c>
      <c r="L138">
        <v>1412.15</v>
      </c>
      <c r="M138">
        <v>1631.04</v>
      </c>
      <c r="N138">
        <v>8.9999999999999993E-3</v>
      </c>
      <c r="O138">
        <v>6</v>
      </c>
    </row>
    <row r="139" spans="1:15" x14ac:dyDescent="0.25">
      <c r="A139" t="s">
        <v>152</v>
      </c>
      <c r="B139" s="2">
        <v>45016</v>
      </c>
      <c r="C139" s="2">
        <v>45028</v>
      </c>
      <c r="D139" s="4" t="s">
        <v>646</v>
      </c>
      <c r="E139" s="4" t="s">
        <v>650</v>
      </c>
      <c r="F139" s="4" t="s">
        <v>675</v>
      </c>
      <c r="G139" s="4" t="s">
        <v>705</v>
      </c>
      <c r="H139" s="4" t="s">
        <v>708</v>
      </c>
      <c r="I139" s="4" t="s">
        <v>712</v>
      </c>
      <c r="J139" s="4" t="s">
        <v>730</v>
      </c>
      <c r="K139" s="4" t="s">
        <v>871</v>
      </c>
      <c r="L139">
        <v>304.22000000000003</v>
      </c>
      <c r="M139">
        <v>393.31</v>
      </c>
      <c r="N139">
        <v>0.26500000000000001</v>
      </c>
      <c r="O139">
        <v>15</v>
      </c>
    </row>
    <row r="140" spans="1:15" x14ac:dyDescent="0.25">
      <c r="A140" t="s">
        <v>153</v>
      </c>
      <c r="B140" s="2">
        <v>45616</v>
      </c>
      <c r="C140" s="2">
        <v>45641</v>
      </c>
      <c r="D140" s="4" t="s">
        <v>649</v>
      </c>
      <c r="E140" s="4" t="s">
        <v>657</v>
      </c>
      <c r="F140" s="4" t="s">
        <v>690</v>
      </c>
      <c r="G140" s="4" t="s">
        <v>701</v>
      </c>
      <c r="H140" s="4" t="s">
        <v>708</v>
      </c>
      <c r="I140" s="4" t="s">
        <v>715</v>
      </c>
      <c r="J140" s="4" t="s">
        <v>728</v>
      </c>
      <c r="K140" s="4" t="s">
        <v>872</v>
      </c>
      <c r="L140">
        <v>1203.58</v>
      </c>
      <c r="M140">
        <v>1856.16</v>
      </c>
      <c r="N140">
        <v>0.129</v>
      </c>
      <c r="O140">
        <v>22</v>
      </c>
    </row>
    <row r="141" spans="1:15" x14ac:dyDescent="0.25">
      <c r="A141" t="s">
        <v>154</v>
      </c>
      <c r="B141" s="2">
        <v>45336</v>
      </c>
      <c r="C141" s="2">
        <v>45336</v>
      </c>
      <c r="D141" s="4" t="s">
        <v>647</v>
      </c>
      <c r="E141" s="4" t="s">
        <v>659</v>
      </c>
      <c r="F141" s="4" t="s">
        <v>699</v>
      </c>
      <c r="G141" s="4" t="s">
        <v>701</v>
      </c>
      <c r="H141" s="4" t="s">
        <v>710</v>
      </c>
      <c r="I141" s="4" t="s">
        <v>716</v>
      </c>
      <c r="J141" s="4" t="s">
        <v>733</v>
      </c>
      <c r="K141" s="4" t="s">
        <v>873</v>
      </c>
      <c r="L141">
        <v>65.930000000000007</v>
      </c>
      <c r="M141">
        <v>84.9</v>
      </c>
      <c r="N141">
        <v>0.25900000000000001</v>
      </c>
      <c r="O141">
        <v>23</v>
      </c>
    </row>
    <row r="142" spans="1:15" x14ac:dyDescent="0.25">
      <c r="A142" t="s">
        <v>155</v>
      </c>
      <c r="B142" s="2">
        <v>45048</v>
      </c>
      <c r="C142" s="2">
        <v>45064</v>
      </c>
      <c r="D142" s="4" t="s">
        <v>647</v>
      </c>
      <c r="E142" s="4" t="s">
        <v>654</v>
      </c>
      <c r="F142" s="4" t="s">
        <v>680</v>
      </c>
      <c r="G142" s="4" t="s">
        <v>705</v>
      </c>
      <c r="H142" s="4" t="s">
        <v>709</v>
      </c>
      <c r="I142" s="4" t="s">
        <v>723</v>
      </c>
      <c r="J142" s="4" t="s">
        <v>732</v>
      </c>
      <c r="K142" s="4" t="s">
        <v>874</v>
      </c>
      <c r="L142">
        <v>1463.92</v>
      </c>
      <c r="M142">
        <v>2252.2399999999998</v>
      </c>
      <c r="N142">
        <v>0.11799999999999999</v>
      </c>
      <c r="O142">
        <v>44</v>
      </c>
    </row>
    <row r="143" spans="1:15" x14ac:dyDescent="0.25">
      <c r="A143" t="s">
        <v>156</v>
      </c>
      <c r="B143" s="2">
        <v>45649</v>
      </c>
      <c r="C143" s="2">
        <v>45668</v>
      </c>
      <c r="D143" s="4" t="s">
        <v>649</v>
      </c>
      <c r="E143" s="4" t="s">
        <v>656</v>
      </c>
      <c r="F143" s="4" t="s">
        <v>671</v>
      </c>
      <c r="G143" s="4" t="s">
        <v>702</v>
      </c>
      <c r="H143" s="4" t="s">
        <v>707</v>
      </c>
      <c r="I143" s="4" t="s">
        <v>723</v>
      </c>
      <c r="J143" s="4" t="s">
        <v>730</v>
      </c>
      <c r="K143" s="4" t="s">
        <v>875</v>
      </c>
      <c r="L143">
        <v>501.81</v>
      </c>
      <c r="M143">
        <v>921.62</v>
      </c>
      <c r="N143">
        <v>0.01</v>
      </c>
      <c r="O143">
        <v>9</v>
      </c>
    </row>
    <row r="144" spans="1:15" x14ac:dyDescent="0.25">
      <c r="A144" t="s">
        <v>157</v>
      </c>
      <c r="B144" s="2">
        <v>45133</v>
      </c>
      <c r="C144" s="2">
        <v>45163</v>
      </c>
      <c r="D144" s="4" t="s">
        <v>648</v>
      </c>
      <c r="E144" s="4" t="s">
        <v>660</v>
      </c>
      <c r="F144" s="4" t="s">
        <v>700</v>
      </c>
      <c r="G144" s="4" t="s">
        <v>704</v>
      </c>
      <c r="H144" s="4" t="s">
        <v>707</v>
      </c>
      <c r="I144" s="4" t="s">
        <v>724</v>
      </c>
      <c r="J144" s="4" t="s">
        <v>733</v>
      </c>
      <c r="K144" s="4" t="s">
        <v>876</v>
      </c>
      <c r="L144">
        <v>1261.48</v>
      </c>
      <c r="M144">
        <v>1643.18</v>
      </c>
      <c r="N144">
        <v>0.151</v>
      </c>
      <c r="O144">
        <v>23</v>
      </c>
    </row>
    <row r="145" spans="1:15" x14ac:dyDescent="0.25">
      <c r="A145" t="s">
        <v>158</v>
      </c>
      <c r="B145" s="2">
        <v>45458</v>
      </c>
      <c r="C145" s="2">
        <v>45479</v>
      </c>
      <c r="D145" s="4" t="s">
        <v>648</v>
      </c>
      <c r="E145" s="4" t="s">
        <v>653</v>
      </c>
      <c r="F145" s="4" t="s">
        <v>667</v>
      </c>
      <c r="G145" s="4" t="s">
        <v>706</v>
      </c>
      <c r="H145" s="4" t="s">
        <v>710</v>
      </c>
      <c r="I145" s="4" t="s">
        <v>716</v>
      </c>
      <c r="J145" s="4" t="s">
        <v>728</v>
      </c>
      <c r="K145" s="4" t="s">
        <v>877</v>
      </c>
      <c r="L145">
        <v>817.23</v>
      </c>
      <c r="M145">
        <v>1467.17</v>
      </c>
      <c r="N145">
        <v>0.245</v>
      </c>
      <c r="O145">
        <v>9</v>
      </c>
    </row>
    <row r="146" spans="1:15" x14ac:dyDescent="0.25">
      <c r="A146" t="s">
        <v>159</v>
      </c>
      <c r="B146" s="2">
        <v>45112</v>
      </c>
      <c r="C146" s="2">
        <v>45121</v>
      </c>
      <c r="D146" s="4" t="s">
        <v>648</v>
      </c>
      <c r="E146" s="4" t="s">
        <v>655</v>
      </c>
      <c r="F146" s="4" t="s">
        <v>672</v>
      </c>
      <c r="G146" s="4" t="s">
        <v>706</v>
      </c>
      <c r="H146" s="4" t="s">
        <v>711</v>
      </c>
      <c r="I146" s="4" t="s">
        <v>717</v>
      </c>
      <c r="J146" s="4" t="s">
        <v>729</v>
      </c>
      <c r="K146" s="4" t="s">
        <v>878</v>
      </c>
      <c r="L146">
        <v>578.85</v>
      </c>
      <c r="M146">
        <v>998.76</v>
      </c>
      <c r="N146">
        <v>8.2000000000000003E-2</v>
      </c>
      <c r="O146">
        <v>28</v>
      </c>
    </row>
    <row r="147" spans="1:15" x14ac:dyDescent="0.25">
      <c r="A147" t="s">
        <v>160</v>
      </c>
      <c r="B147" s="2">
        <v>45260</v>
      </c>
      <c r="C147" s="2">
        <v>45259</v>
      </c>
      <c r="D147" s="4" t="s">
        <v>646</v>
      </c>
      <c r="E147" s="4" t="s">
        <v>661</v>
      </c>
      <c r="F147" s="4" t="s">
        <v>687</v>
      </c>
      <c r="G147" s="4" t="s">
        <v>705</v>
      </c>
      <c r="H147" s="4" t="s">
        <v>709</v>
      </c>
      <c r="I147" s="4" t="s">
        <v>718</v>
      </c>
      <c r="J147" s="4" t="s">
        <v>731</v>
      </c>
      <c r="K147" s="4" t="s">
        <v>879</v>
      </c>
      <c r="L147">
        <v>275.56</v>
      </c>
      <c r="M147">
        <v>630.72</v>
      </c>
      <c r="N147">
        <v>0.107</v>
      </c>
      <c r="O147">
        <v>23</v>
      </c>
    </row>
    <row r="148" spans="1:15" x14ac:dyDescent="0.25">
      <c r="A148" t="s">
        <v>161</v>
      </c>
      <c r="B148" s="2">
        <v>45911</v>
      </c>
      <c r="C148" s="2">
        <v>45928</v>
      </c>
      <c r="D148" s="4" t="s">
        <v>646</v>
      </c>
      <c r="E148" s="4" t="s">
        <v>650</v>
      </c>
      <c r="F148" s="4" t="s">
        <v>664</v>
      </c>
      <c r="G148" s="4" t="s">
        <v>703</v>
      </c>
      <c r="H148" s="4" t="s">
        <v>710</v>
      </c>
      <c r="I148" s="4" t="s">
        <v>713</v>
      </c>
      <c r="J148" s="4" t="s">
        <v>731</v>
      </c>
      <c r="K148" s="4" t="s">
        <v>880</v>
      </c>
      <c r="L148">
        <v>891.46</v>
      </c>
      <c r="M148">
        <v>728.61</v>
      </c>
      <c r="N148">
        <v>0.185</v>
      </c>
      <c r="O148">
        <v>6</v>
      </c>
    </row>
    <row r="149" spans="1:15" x14ac:dyDescent="0.25">
      <c r="A149" t="s">
        <v>162</v>
      </c>
      <c r="B149" s="2">
        <v>45386</v>
      </c>
      <c r="C149" s="2">
        <v>45406</v>
      </c>
      <c r="D149" s="4" t="s">
        <v>649</v>
      </c>
      <c r="E149" s="4" t="s">
        <v>656</v>
      </c>
      <c r="F149" s="4" t="s">
        <v>698</v>
      </c>
      <c r="G149" s="4" t="s">
        <v>703</v>
      </c>
      <c r="H149" s="4" t="s">
        <v>711</v>
      </c>
      <c r="I149" s="4" t="s">
        <v>719</v>
      </c>
      <c r="J149" s="4" t="s">
        <v>733</v>
      </c>
      <c r="K149" s="4" t="s">
        <v>881</v>
      </c>
      <c r="L149">
        <v>683.42</v>
      </c>
      <c r="M149">
        <v>951.51</v>
      </c>
      <c r="N149">
        <v>0</v>
      </c>
      <c r="O149">
        <v>14</v>
      </c>
    </row>
    <row r="150" spans="1:15" x14ac:dyDescent="0.25">
      <c r="A150" t="s">
        <v>163</v>
      </c>
      <c r="B150" s="2">
        <v>45183</v>
      </c>
      <c r="C150" s="2">
        <v>45185</v>
      </c>
      <c r="D150" s="4" t="s">
        <v>649</v>
      </c>
      <c r="E150" s="4" t="s">
        <v>657</v>
      </c>
      <c r="F150" s="4" t="s">
        <v>679</v>
      </c>
      <c r="G150" s="4" t="s">
        <v>703</v>
      </c>
      <c r="H150" s="4" t="s">
        <v>711</v>
      </c>
      <c r="I150" s="4" t="s">
        <v>717</v>
      </c>
      <c r="J150" s="4" t="s">
        <v>728</v>
      </c>
      <c r="K150" s="4" t="s">
        <v>882</v>
      </c>
      <c r="L150">
        <v>376.83</v>
      </c>
      <c r="M150">
        <v>732.88</v>
      </c>
      <c r="N150">
        <v>0.188</v>
      </c>
      <c r="O150">
        <v>25</v>
      </c>
    </row>
    <row r="151" spans="1:15" x14ac:dyDescent="0.25">
      <c r="A151" t="s">
        <v>164</v>
      </c>
      <c r="B151" s="2">
        <v>45558</v>
      </c>
      <c r="C151" s="2">
        <v>45583</v>
      </c>
      <c r="D151" s="4" t="s">
        <v>648</v>
      </c>
      <c r="E151" s="4" t="s">
        <v>653</v>
      </c>
      <c r="F151" s="4" t="s">
        <v>688</v>
      </c>
      <c r="G151" s="4" t="s">
        <v>705</v>
      </c>
      <c r="H151" s="4" t="s">
        <v>708</v>
      </c>
      <c r="I151" s="4" t="s">
        <v>725</v>
      </c>
      <c r="J151" s="4" t="s">
        <v>730</v>
      </c>
      <c r="K151" s="4" t="s">
        <v>883</v>
      </c>
      <c r="L151">
        <v>1297</v>
      </c>
      <c r="M151">
        <v>2411.52</v>
      </c>
      <c r="N151">
        <v>2.1000000000000001E-2</v>
      </c>
      <c r="O151">
        <v>18</v>
      </c>
    </row>
    <row r="152" spans="1:15" x14ac:dyDescent="0.25">
      <c r="A152" t="s">
        <v>165</v>
      </c>
      <c r="B152" s="2">
        <v>45763</v>
      </c>
      <c r="C152" s="2">
        <v>45793</v>
      </c>
      <c r="D152" s="4" t="s">
        <v>648</v>
      </c>
      <c r="E152" s="4" t="s">
        <v>653</v>
      </c>
      <c r="F152" s="4" t="s">
        <v>681</v>
      </c>
      <c r="G152" s="4" t="s">
        <v>706</v>
      </c>
      <c r="H152" s="4" t="s">
        <v>710</v>
      </c>
      <c r="I152" s="4" t="s">
        <v>723</v>
      </c>
      <c r="J152" s="4" t="s">
        <v>728</v>
      </c>
      <c r="K152" s="4" t="s">
        <v>884</v>
      </c>
      <c r="L152">
        <v>763.32</v>
      </c>
      <c r="M152">
        <v>568.29</v>
      </c>
      <c r="N152">
        <v>0.13100000000000001</v>
      </c>
      <c r="O152">
        <v>16</v>
      </c>
    </row>
    <row r="153" spans="1:15" x14ac:dyDescent="0.25">
      <c r="A153" t="s">
        <v>166</v>
      </c>
      <c r="B153" s="2">
        <v>45110</v>
      </c>
      <c r="C153" s="2">
        <v>45130</v>
      </c>
      <c r="D153" s="4" t="s">
        <v>646</v>
      </c>
      <c r="E153" s="4" t="s">
        <v>661</v>
      </c>
      <c r="F153" s="4" t="s">
        <v>682</v>
      </c>
      <c r="G153" s="4" t="s">
        <v>705</v>
      </c>
      <c r="H153" s="4" t="s">
        <v>710</v>
      </c>
      <c r="I153" s="4" t="s">
        <v>721</v>
      </c>
      <c r="J153" s="4" t="s">
        <v>731</v>
      </c>
      <c r="K153" s="4" t="s">
        <v>885</v>
      </c>
      <c r="L153">
        <v>1001.96</v>
      </c>
      <c r="M153">
        <v>1254.95</v>
      </c>
      <c r="N153">
        <v>4.4999999999999998E-2</v>
      </c>
      <c r="O153">
        <v>18</v>
      </c>
    </row>
    <row r="154" spans="1:15" x14ac:dyDescent="0.25">
      <c r="A154" t="s">
        <v>167</v>
      </c>
      <c r="B154" s="2">
        <v>45267</v>
      </c>
      <c r="C154" s="2">
        <v>45265</v>
      </c>
      <c r="D154" s="4" t="s">
        <v>647</v>
      </c>
      <c r="E154" s="4" t="s">
        <v>652</v>
      </c>
      <c r="F154" s="4" t="s">
        <v>689</v>
      </c>
      <c r="G154" s="4" t="s">
        <v>703</v>
      </c>
      <c r="H154" s="4" t="s">
        <v>709</v>
      </c>
      <c r="I154" s="4" t="s">
        <v>722</v>
      </c>
      <c r="J154" s="4" t="s">
        <v>728</v>
      </c>
      <c r="K154" s="4" t="s">
        <v>886</v>
      </c>
      <c r="L154">
        <v>1097.5899999999999</v>
      </c>
      <c r="M154">
        <v>845.55</v>
      </c>
      <c r="N154">
        <v>0.184</v>
      </c>
      <c r="O154">
        <v>6</v>
      </c>
    </row>
    <row r="155" spans="1:15" x14ac:dyDescent="0.25">
      <c r="A155" t="s">
        <v>168</v>
      </c>
      <c r="B155" s="2">
        <v>45340</v>
      </c>
      <c r="C155" s="2">
        <v>45355</v>
      </c>
      <c r="D155" s="4" t="s">
        <v>646</v>
      </c>
      <c r="E155" s="4" t="s">
        <v>650</v>
      </c>
      <c r="F155" s="4" t="s">
        <v>662</v>
      </c>
      <c r="G155" s="4" t="s">
        <v>702</v>
      </c>
      <c r="H155" s="4" t="s">
        <v>711</v>
      </c>
      <c r="I155" s="4" t="s">
        <v>723</v>
      </c>
      <c r="J155" s="4" t="s">
        <v>728</v>
      </c>
      <c r="K155" s="4" t="s">
        <v>887</v>
      </c>
      <c r="L155">
        <v>928.68</v>
      </c>
      <c r="M155">
        <v>2145.17</v>
      </c>
      <c r="N155">
        <v>0.13600000000000001</v>
      </c>
      <c r="O155">
        <v>16</v>
      </c>
    </row>
    <row r="156" spans="1:15" x14ac:dyDescent="0.25">
      <c r="A156" t="s">
        <v>169</v>
      </c>
      <c r="B156" s="2">
        <v>45230</v>
      </c>
      <c r="C156" s="2">
        <v>45232</v>
      </c>
      <c r="D156" s="4" t="s">
        <v>646</v>
      </c>
      <c r="E156" s="4" t="s">
        <v>650</v>
      </c>
      <c r="F156" s="4" t="s">
        <v>662</v>
      </c>
      <c r="G156" s="4" t="s">
        <v>702</v>
      </c>
      <c r="H156" s="4" t="s">
        <v>707</v>
      </c>
      <c r="I156" s="4" t="s">
        <v>719</v>
      </c>
      <c r="J156" s="4" t="s">
        <v>733</v>
      </c>
      <c r="K156" s="4" t="s">
        <v>888</v>
      </c>
      <c r="L156">
        <v>867.89</v>
      </c>
      <c r="M156">
        <v>1349.94</v>
      </c>
      <c r="N156">
        <v>0.184</v>
      </c>
      <c r="O156">
        <v>10</v>
      </c>
    </row>
    <row r="157" spans="1:15" x14ac:dyDescent="0.25">
      <c r="A157" t="s">
        <v>170</v>
      </c>
      <c r="B157" s="2">
        <v>45511</v>
      </c>
      <c r="C157" s="2">
        <v>45521</v>
      </c>
      <c r="D157" s="4" t="s">
        <v>647</v>
      </c>
      <c r="E157" s="4" t="s">
        <v>652</v>
      </c>
      <c r="F157" s="4" t="s">
        <v>666</v>
      </c>
      <c r="G157" s="4" t="s">
        <v>704</v>
      </c>
      <c r="H157" s="4" t="s">
        <v>708</v>
      </c>
      <c r="I157" s="4" t="s">
        <v>723</v>
      </c>
      <c r="J157" s="4" t="s">
        <v>729</v>
      </c>
      <c r="K157" s="4" t="s">
        <v>889</v>
      </c>
      <c r="L157">
        <v>436.58</v>
      </c>
      <c r="M157">
        <v>527.48</v>
      </c>
      <c r="N157">
        <v>0.111</v>
      </c>
      <c r="O157">
        <v>19</v>
      </c>
    </row>
    <row r="158" spans="1:15" x14ac:dyDescent="0.25">
      <c r="A158" t="s">
        <v>171</v>
      </c>
      <c r="B158" s="2">
        <v>45323</v>
      </c>
      <c r="C158" s="2">
        <v>45343</v>
      </c>
      <c r="D158" s="4" t="s">
        <v>649</v>
      </c>
      <c r="E158" s="4" t="s">
        <v>657</v>
      </c>
      <c r="F158" s="4" t="s">
        <v>690</v>
      </c>
      <c r="G158" s="4" t="s">
        <v>705</v>
      </c>
      <c r="H158" s="4" t="s">
        <v>709</v>
      </c>
      <c r="I158" s="4" t="s">
        <v>720</v>
      </c>
      <c r="J158" s="4" t="s">
        <v>729</v>
      </c>
      <c r="K158" s="4" t="s">
        <v>890</v>
      </c>
      <c r="L158">
        <v>656.2</v>
      </c>
      <c r="M158">
        <v>1467.17</v>
      </c>
      <c r="N158">
        <v>1.7999999999999999E-2</v>
      </c>
      <c r="O158">
        <v>5</v>
      </c>
    </row>
    <row r="159" spans="1:15" x14ac:dyDescent="0.25">
      <c r="A159" t="s">
        <v>172</v>
      </c>
      <c r="B159" s="2">
        <v>45531</v>
      </c>
      <c r="C159" s="2">
        <v>45553</v>
      </c>
      <c r="D159" s="4" t="s">
        <v>647</v>
      </c>
      <c r="E159" s="4" t="s">
        <v>654</v>
      </c>
      <c r="F159" s="4" t="s">
        <v>680</v>
      </c>
      <c r="G159" s="4" t="s">
        <v>704</v>
      </c>
      <c r="H159" s="4" t="s">
        <v>711</v>
      </c>
      <c r="I159" s="4" t="s">
        <v>717</v>
      </c>
      <c r="J159" s="4" t="s">
        <v>727</v>
      </c>
      <c r="K159" s="4" t="s">
        <v>891</v>
      </c>
      <c r="L159">
        <v>896.75</v>
      </c>
      <c r="M159">
        <v>1651.14</v>
      </c>
      <c r="N159">
        <v>2.5000000000000001E-2</v>
      </c>
      <c r="O159">
        <v>15</v>
      </c>
    </row>
    <row r="160" spans="1:15" x14ac:dyDescent="0.25">
      <c r="A160" t="s">
        <v>173</v>
      </c>
      <c r="B160" s="2">
        <v>45703</v>
      </c>
      <c r="C160" s="2">
        <v>45703</v>
      </c>
      <c r="D160" s="4" t="s">
        <v>649</v>
      </c>
      <c r="E160" s="4" t="s">
        <v>656</v>
      </c>
      <c r="F160" s="4" t="s">
        <v>698</v>
      </c>
      <c r="G160" s="4" t="s">
        <v>705</v>
      </c>
      <c r="H160" s="4" t="s">
        <v>709</v>
      </c>
      <c r="I160" s="4" t="s">
        <v>716</v>
      </c>
      <c r="J160" s="4" t="s">
        <v>733</v>
      </c>
      <c r="K160" s="4" t="s">
        <v>892</v>
      </c>
      <c r="L160">
        <v>815.83</v>
      </c>
      <c r="M160">
        <v>1982.18</v>
      </c>
      <c r="N160">
        <v>0.127</v>
      </c>
      <c r="O160">
        <v>6</v>
      </c>
    </row>
    <row r="161" spans="1:15" x14ac:dyDescent="0.25">
      <c r="A161" t="s">
        <v>174</v>
      </c>
      <c r="B161" s="2">
        <v>45870</v>
      </c>
      <c r="C161" s="2">
        <v>45890</v>
      </c>
      <c r="D161" s="4" t="s">
        <v>647</v>
      </c>
      <c r="E161" s="4" t="s">
        <v>659</v>
      </c>
      <c r="F161" s="4" t="s">
        <v>685</v>
      </c>
      <c r="G161" s="4" t="s">
        <v>701</v>
      </c>
      <c r="H161" s="4" t="s">
        <v>711</v>
      </c>
      <c r="I161" s="4" t="s">
        <v>714</v>
      </c>
      <c r="J161" s="4" t="s">
        <v>730</v>
      </c>
      <c r="K161" s="4" t="s">
        <v>893</v>
      </c>
      <c r="L161">
        <v>1220.4100000000001</v>
      </c>
      <c r="M161">
        <v>2552.2199999999998</v>
      </c>
      <c r="N161">
        <v>0.18099999999999999</v>
      </c>
      <c r="O161">
        <v>14</v>
      </c>
    </row>
    <row r="162" spans="1:15" x14ac:dyDescent="0.25">
      <c r="A162" t="s">
        <v>175</v>
      </c>
      <c r="B162" s="2">
        <v>44977</v>
      </c>
      <c r="C162" s="2">
        <v>44989</v>
      </c>
      <c r="D162" s="4" t="s">
        <v>647</v>
      </c>
      <c r="E162" s="4" t="s">
        <v>654</v>
      </c>
      <c r="F162" s="4" t="s">
        <v>680</v>
      </c>
      <c r="G162" s="4" t="s">
        <v>704</v>
      </c>
      <c r="H162" s="4" t="s">
        <v>710</v>
      </c>
      <c r="I162" s="4" t="s">
        <v>724</v>
      </c>
      <c r="J162" s="4" t="s">
        <v>732</v>
      </c>
      <c r="K162" s="4" t="s">
        <v>894</v>
      </c>
      <c r="L162">
        <v>299.75</v>
      </c>
      <c r="M162">
        <v>523.01</v>
      </c>
      <c r="N162">
        <v>0.157</v>
      </c>
      <c r="O162">
        <v>50</v>
      </c>
    </row>
    <row r="163" spans="1:15" x14ac:dyDescent="0.25">
      <c r="A163" t="s">
        <v>176</v>
      </c>
      <c r="B163" s="2">
        <v>45595</v>
      </c>
      <c r="C163" s="2">
        <v>45620</v>
      </c>
      <c r="D163" s="4" t="s">
        <v>647</v>
      </c>
      <c r="E163" s="4" t="s">
        <v>659</v>
      </c>
      <c r="F163" s="4" t="s">
        <v>676</v>
      </c>
      <c r="G163" s="4" t="s">
        <v>705</v>
      </c>
      <c r="H163" s="4" t="s">
        <v>708</v>
      </c>
      <c r="I163" s="4" t="s">
        <v>718</v>
      </c>
      <c r="J163" s="4" t="s">
        <v>727</v>
      </c>
      <c r="K163" s="4" t="s">
        <v>895</v>
      </c>
      <c r="L163">
        <v>811.05</v>
      </c>
      <c r="M163">
        <v>1217.71</v>
      </c>
      <c r="N163">
        <v>7.1999999999999995E-2</v>
      </c>
      <c r="O163">
        <v>5</v>
      </c>
    </row>
    <row r="164" spans="1:15" x14ac:dyDescent="0.25">
      <c r="A164" t="s">
        <v>177</v>
      </c>
      <c r="B164" s="2">
        <v>45385</v>
      </c>
      <c r="C164" s="2">
        <v>45389</v>
      </c>
      <c r="D164" s="4" t="s">
        <v>648</v>
      </c>
      <c r="E164" s="4" t="s">
        <v>655</v>
      </c>
      <c r="F164" s="4" t="s">
        <v>672</v>
      </c>
      <c r="G164" s="4" t="s">
        <v>703</v>
      </c>
      <c r="H164" s="4" t="s">
        <v>711</v>
      </c>
      <c r="I164" s="4" t="s">
        <v>725</v>
      </c>
      <c r="J164" s="4" t="s">
        <v>730</v>
      </c>
      <c r="K164" s="4" t="s">
        <v>896</v>
      </c>
      <c r="L164">
        <v>1023.27</v>
      </c>
      <c r="M164">
        <v>1343.64</v>
      </c>
      <c r="N164">
        <v>0.13300000000000001</v>
      </c>
      <c r="O164">
        <v>7</v>
      </c>
    </row>
    <row r="165" spans="1:15" x14ac:dyDescent="0.25">
      <c r="A165" t="s">
        <v>178</v>
      </c>
      <c r="B165" s="2">
        <v>45010</v>
      </c>
      <c r="C165" s="2">
        <v>45011</v>
      </c>
      <c r="D165" s="4" t="s">
        <v>647</v>
      </c>
      <c r="E165" s="4" t="s">
        <v>652</v>
      </c>
      <c r="F165" s="4" t="s">
        <v>666</v>
      </c>
      <c r="G165" s="4" t="s">
        <v>705</v>
      </c>
      <c r="H165" s="4" t="s">
        <v>710</v>
      </c>
      <c r="I165" s="4" t="s">
        <v>714</v>
      </c>
      <c r="J165" s="4" t="s">
        <v>732</v>
      </c>
      <c r="K165" s="4" t="s">
        <v>897</v>
      </c>
      <c r="L165">
        <v>135.12</v>
      </c>
      <c r="M165">
        <v>301.7</v>
      </c>
      <c r="N165">
        <v>0.14000000000000001</v>
      </c>
      <c r="O165">
        <v>47</v>
      </c>
    </row>
    <row r="166" spans="1:15" x14ac:dyDescent="0.25">
      <c r="A166" t="s">
        <v>179</v>
      </c>
      <c r="B166" s="2">
        <v>45447</v>
      </c>
      <c r="C166" s="2">
        <v>45459</v>
      </c>
      <c r="D166" s="4" t="s">
        <v>647</v>
      </c>
      <c r="E166" s="4" t="s">
        <v>659</v>
      </c>
      <c r="F166" s="4" t="s">
        <v>685</v>
      </c>
      <c r="G166" s="4" t="s">
        <v>701</v>
      </c>
      <c r="H166" s="4" t="s">
        <v>707</v>
      </c>
      <c r="I166" s="4" t="s">
        <v>713</v>
      </c>
      <c r="J166" s="4" t="s">
        <v>728</v>
      </c>
      <c r="K166" s="4" t="s">
        <v>898</v>
      </c>
      <c r="L166">
        <v>918.42</v>
      </c>
      <c r="M166">
        <v>1511.71</v>
      </c>
      <c r="N166">
        <v>0.02</v>
      </c>
      <c r="O166">
        <v>8</v>
      </c>
    </row>
    <row r="167" spans="1:15" x14ac:dyDescent="0.25">
      <c r="A167" t="s">
        <v>180</v>
      </c>
      <c r="B167" s="2">
        <v>44976</v>
      </c>
      <c r="C167" s="2">
        <v>44997</v>
      </c>
      <c r="D167" s="4" t="s">
        <v>649</v>
      </c>
      <c r="E167" s="4" t="s">
        <v>656</v>
      </c>
      <c r="F167" s="4" t="s">
        <v>671</v>
      </c>
      <c r="G167" s="4" t="s">
        <v>705</v>
      </c>
      <c r="H167" s="4" t="s">
        <v>711</v>
      </c>
      <c r="I167" s="4" t="s">
        <v>716</v>
      </c>
      <c r="J167" s="4" t="s">
        <v>732</v>
      </c>
      <c r="K167" s="4" t="s">
        <v>899</v>
      </c>
      <c r="L167">
        <v>1234.81</v>
      </c>
      <c r="M167">
        <v>2055.2399999999998</v>
      </c>
      <c r="N167">
        <v>5.2999999999999999E-2</v>
      </c>
      <c r="O167">
        <v>44</v>
      </c>
    </row>
    <row r="168" spans="1:15" x14ac:dyDescent="0.25">
      <c r="A168" t="s">
        <v>181</v>
      </c>
      <c r="B168" s="2">
        <v>45034</v>
      </c>
      <c r="C168" s="2">
        <v>45064</v>
      </c>
      <c r="D168" s="4" t="s">
        <v>647</v>
      </c>
      <c r="E168" s="4" t="s">
        <v>659</v>
      </c>
      <c r="F168" s="4" t="s">
        <v>676</v>
      </c>
      <c r="G168" s="4" t="s">
        <v>703</v>
      </c>
      <c r="H168" s="4" t="s">
        <v>707</v>
      </c>
      <c r="I168" s="4" t="s">
        <v>722</v>
      </c>
      <c r="J168" s="4" t="s">
        <v>731</v>
      </c>
      <c r="K168" s="4" t="s">
        <v>900</v>
      </c>
      <c r="L168">
        <v>329.03</v>
      </c>
      <c r="M168">
        <v>391.15</v>
      </c>
      <c r="N168">
        <v>0.19700000000000001</v>
      </c>
      <c r="O168">
        <v>46</v>
      </c>
    </row>
    <row r="169" spans="1:15" x14ac:dyDescent="0.25">
      <c r="A169" t="s">
        <v>182</v>
      </c>
      <c r="B169" s="2">
        <v>45435</v>
      </c>
      <c r="C169" s="2">
        <v>45457</v>
      </c>
      <c r="D169" s="4" t="s">
        <v>649</v>
      </c>
      <c r="E169" s="4" t="s">
        <v>657</v>
      </c>
      <c r="F169" s="4" t="s">
        <v>673</v>
      </c>
      <c r="G169" s="4" t="s">
        <v>705</v>
      </c>
      <c r="H169" s="4" t="s">
        <v>708</v>
      </c>
      <c r="I169" s="4" t="s">
        <v>725</v>
      </c>
      <c r="J169" s="4" t="s">
        <v>732</v>
      </c>
      <c r="K169" s="4" t="s">
        <v>901</v>
      </c>
      <c r="L169">
        <v>1481.74</v>
      </c>
      <c r="M169">
        <v>1848.97</v>
      </c>
      <c r="N169">
        <v>0.254</v>
      </c>
      <c r="O169">
        <v>9</v>
      </c>
    </row>
    <row r="170" spans="1:15" x14ac:dyDescent="0.25">
      <c r="A170" t="s">
        <v>183</v>
      </c>
      <c r="B170" s="2">
        <v>45206</v>
      </c>
      <c r="C170" s="2">
        <v>45222</v>
      </c>
      <c r="D170" s="4" t="s">
        <v>647</v>
      </c>
      <c r="E170" s="4" t="s">
        <v>654</v>
      </c>
      <c r="F170" s="4" t="s">
        <v>696</v>
      </c>
      <c r="G170" s="4" t="s">
        <v>704</v>
      </c>
      <c r="H170" s="4" t="s">
        <v>707</v>
      </c>
      <c r="I170" s="4" t="s">
        <v>715</v>
      </c>
      <c r="J170" s="4" t="s">
        <v>732</v>
      </c>
      <c r="K170" s="4" t="s">
        <v>902</v>
      </c>
      <c r="L170">
        <v>906.81</v>
      </c>
      <c r="M170">
        <v>1395.56</v>
      </c>
      <c r="N170">
        <v>0.185</v>
      </c>
      <c r="O170">
        <v>6</v>
      </c>
    </row>
    <row r="171" spans="1:15" x14ac:dyDescent="0.25">
      <c r="A171" t="s">
        <v>184</v>
      </c>
      <c r="B171" s="2">
        <v>45574</v>
      </c>
      <c r="C171" s="2">
        <v>45604</v>
      </c>
      <c r="D171" s="4" t="s">
        <v>649</v>
      </c>
      <c r="E171" s="4" t="s">
        <v>658</v>
      </c>
      <c r="F171" s="4" t="s">
        <v>693</v>
      </c>
      <c r="G171" s="4" t="s">
        <v>705</v>
      </c>
      <c r="H171" s="4" t="s">
        <v>710</v>
      </c>
      <c r="I171" s="4" t="s">
        <v>713</v>
      </c>
      <c r="J171" s="4" t="s">
        <v>727</v>
      </c>
      <c r="K171" s="4" t="s">
        <v>903</v>
      </c>
      <c r="L171">
        <v>343.85</v>
      </c>
      <c r="M171">
        <v>538.04</v>
      </c>
      <c r="N171">
        <v>0.13900000000000001</v>
      </c>
      <c r="O171">
        <v>5</v>
      </c>
    </row>
    <row r="172" spans="1:15" x14ac:dyDescent="0.25">
      <c r="A172" t="s">
        <v>185</v>
      </c>
      <c r="B172" s="2">
        <v>45488</v>
      </c>
      <c r="C172" s="2">
        <v>45488</v>
      </c>
      <c r="D172" s="4" t="s">
        <v>647</v>
      </c>
      <c r="E172" s="4" t="s">
        <v>652</v>
      </c>
      <c r="F172" s="4" t="s">
        <v>689</v>
      </c>
      <c r="G172" s="4" t="s">
        <v>705</v>
      </c>
      <c r="H172" s="4" t="s">
        <v>709</v>
      </c>
      <c r="I172" s="4" t="s">
        <v>715</v>
      </c>
      <c r="J172" s="4" t="s">
        <v>733</v>
      </c>
      <c r="K172" s="4" t="s">
        <v>904</v>
      </c>
      <c r="L172">
        <v>801.77</v>
      </c>
      <c r="M172">
        <v>1218.92</v>
      </c>
      <c r="N172">
        <v>0.254</v>
      </c>
      <c r="O172">
        <v>16</v>
      </c>
    </row>
    <row r="173" spans="1:15" x14ac:dyDescent="0.25">
      <c r="A173" t="s">
        <v>186</v>
      </c>
      <c r="B173" s="2">
        <v>45190</v>
      </c>
      <c r="C173" s="2">
        <v>45209</v>
      </c>
      <c r="D173" s="4" t="s">
        <v>647</v>
      </c>
      <c r="E173" s="4" t="s">
        <v>652</v>
      </c>
      <c r="F173" s="4" t="s">
        <v>689</v>
      </c>
      <c r="G173" s="4" t="s">
        <v>702</v>
      </c>
      <c r="H173" s="4" t="s">
        <v>708</v>
      </c>
      <c r="I173" s="4" t="s">
        <v>726</v>
      </c>
      <c r="J173" s="4" t="s">
        <v>727</v>
      </c>
      <c r="K173" s="4" t="s">
        <v>905</v>
      </c>
      <c r="L173">
        <v>845.63</v>
      </c>
      <c r="M173">
        <v>2062.12</v>
      </c>
      <c r="N173">
        <v>0.13400000000000001</v>
      </c>
      <c r="O173">
        <v>5</v>
      </c>
    </row>
    <row r="174" spans="1:15" x14ac:dyDescent="0.25">
      <c r="A174" t="s">
        <v>187</v>
      </c>
      <c r="B174" s="2">
        <v>44981</v>
      </c>
      <c r="C174" s="2">
        <v>44994</v>
      </c>
      <c r="D174" s="4" t="s">
        <v>648</v>
      </c>
      <c r="E174" s="4" t="s">
        <v>660</v>
      </c>
      <c r="F174" s="4" t="s">
        <v>700</v>
      </c>
      <c r="G174" s="4" t="s">
        <v>706</v>
      </c>
      <c r="H174" s="4" t="s">
        <v>708</v>
      </c>
      <c r="I174" s="4" t="s">
        <v>724</v>
      </c>
      <c r="J174" s="4" t="s">
        <v>727</v>
      </c>
      <c r="K174" s="4" t="s">
        <v>906</v>
      </c>
      <c r="L174">
        <v>6.85</v>
      </c>
      <c r="M174">
        <v>10.18</v>
      </c>
      <c r="N174">
        <v>4.7E-2</v>
      </c>
      <c r="O174">
        <v>10</v>
      </c>
    </row>
    <row r="175" spans="1:15" x14ac:dyDescent="0.25">
      <c r="A175" t="s">
        <v>188</v>
      </c>
      <c r="B175" s="2">
        <v>45798</v>
      </c>
      <c r="C175" s="2">
        <v>45796</v>
      </c>
      <c r="D175" s="4" t="s">
        <v>646</v>
      </c>
      <c r="E175" s="4" t="s">
        <v>661</v>
      </c>
      <c r="F175" s="4" t="s">
        <v>682</v>
      </c>
      <c r="G175" s="4" t="s">
        <v>703</v>
      </c>
      <c r="H175" s="4" t="s">
        <v>710</v>
      </c>
      <c r="I175" s="4" t="s">
        <v>719</v>
      </c>
      <c r="J175" s="4" t="s">
        <v>731</v>
      </c>
      <c r="K175" s="4" t="s">
        <v>907</v>
      </c>
      <c r="L175">
        <v>1263.8399999999999</v>
      </c>
      <c r="M175">
        <v>2281.7199999999998</v>
      </c>
      <c r="N175">
        <v>7.8E-2</v>
      </c>
      <c r="O175">
        <v>15</v>
      </c>
    </row>
    <row r="176" spans="1:15" x14ac:dyDescent="0.25">
      <c r="A176" t="s">
        <v>189</v>
      </c>
      <c r="B176" s="2">
        <v>45435</v>
      </c>
      <c r="C176" s="2">
        <v>45446</v>
      </c>
      <c r="D176" s="4" t="s">
        <v>646</v>
      </c>
      <c r="E176" s="4" t="s">
        <v>661</v>
      </c>
      <c r="F176" s="4" t="s">
        <v>682</v>
      </c>
      <c r="G176" s="4" t="s">
        <v>705</v>
      </c>
      <c r="H176" s="4" t="s">
        <v>710</v>
      </c>
      <c r="I176" s="4" t="s">
        <v>721</v>
      </c>
      <c r="J176" s="4" t="s">
        <v>728</v>
      </c>
      <c r="K176" s="4" t="s">
        <v>908</v>
      </c>
      <c r="L176">
        <v>180.89</v>
      </c>
      <c r="M176">
        <v>249.57</v>
      </c>
      <c r="N176">
        <v>2.1999999999999999E-2</v>
      </c>
      <c r="O176">
        <v>8</v>
      </c>
    </row>
    <row r="177" spans="1:15" x14ac:dyDescent="0.25">
      <c r="A177" t="s">
        <v>190</v>
      </c>
      <c r="B177" s="2">
        <v>45761</v>
      </c>
      <c r="C177" s="2">
        <v>45781</v>
      </c>
      <c r="D177" s="4" t="s">
        <v>649</v>
      </c>
      <c r="E177" s="4" t="s">
        <v>658</v>
      </c>
      <c r="F177" s="4" t="s">
        <v>674</v>
      </c>
      <c r="G177" s="4" t="s">
        <v>706</v>
      </c>
      <c r="H177" s="4" t="s">
        <v>709</v>
      </c>
      <c r="I177" s="4" t="s">
        <v>723</v>
      </c>
      <c r="J177" s="4" t="s">
        <v>732</v>
      </c>
      <c r="K177" s="4" t="s">
        <v>909</v>
      </c>
      <c r="L177">
        <v>1413.87</v>
      </c>
      <c r="M177">
        <v>3275</v>
      </c>
      <c r="N177">
        <v>0.255</v>
      </c>
      <c r="O177">
        <v>38</v>
      </c>
    </row>
    <row r="178" spans="1:15" x14ac:dyDescent="0.25">
      <c r="A178" t="s">
        <v>191</v>
      </c>
      <c r="B178" s="2">
        <v>45165</v>
      </c>
      <c r="C178" s="2">
        <v>45180</v>
      </c>
      <c r="D178" s="4" t="s">
        <v>649</v>
      </c>
      <c r="E178" s="4" t="s">
        <v>658</v>
      </c>
      <c r="F178" s="4" t="s">
        <v>683</v>
      </c>
      <c r="G178" s="4" t="s">
        <v>704</v>
      </c>
      <c r="H178" s="4" t="s">
        <v>709</v>
      </c>
      <c r="I178" s="4" t="s">
        <v>725</v>
      </c>
      <c r="J178" s="4" t="s">
        <v>728</v>
      </c>
      <c r="K178" s="4" t="s">
        <v>910</v>
      </c>
      <c r="L178">
        <v>943.79</v>
      </c>
      <c r="M178">
        <v>1913.76</v>
      </c>
      <c r="N178">
        <v>9.0999999999999998E-2</v>
      </c>
      <c r="O178">
        <v>9</v>
      </c>
    </row>
    <row r="179" spans="1:15" x14ac:dyDescent="0.25">
      <c r="A179" t="s">
        <v>192</v>
      </c>
      <c r="B179" s="2">
        <v>45325</v>
      </c>
      <c r="C179" s="2">
        <v>45343</v>
      </c>
      <c r="D179" s="4" t="s">
        <v>649</v>
      </c>
      <c r="E179" s="4" t="s">
        <v>656</v>
      </c>
      <c r="F179" s="4" t="s">
        <v>698</v>
      </c>
      <c r="G179" s="4" t="s">
        <v>701</v>
      </c>
      <c r="H179" s="4" t="s">
        <v>707</v>
      </c>
      <c r="I179" s="4" t="s">
        <v>722</v>
      </c>
      <c r="J179" s="4" t="s">
        <v>727</v>
      </c>
      <c r="K179" s="4" t="s">
        <v>911</v>
      </c>
      <c r="L179">
        <v>39.229999999999997</v>
      </c>
      <c r="M179">
        <v>30.09</v>
      </c>
      <c r="N179">
        <v>0.17699999999999999</v>
      </c>
      <c r="O179">
        <v>13</v>
      </c>
    </row>
    <row r="180" spans="1:15" x14ac:dyDescent="0.25">
      <c r="A180" t="s">
        <v>193</v>
      </c>
      <c r="B180" s="2">
        <v>45021</v>
      </c>
      <c r="C180" s="2">
        <v>45032</v>
      </c>
      <c r="D180" s="4" t="s">
        <v>648</v>
      </c>
      <c r="E180" s="4" t="s">
        <v>653</v>
      </c>
      <c r="F180" s="4" t="s">
        <v>688</v>
      </c>
      <c r="G180" s="4" t="s">
        <v>703</v>
      </c>
      <c r="H180" s="4" t="s">
        <v>708</v>
      </c>
      <c r="I180" s="4" t="s">
        <v>719</v>
      </c>
      <c r="J180" s="4" t="s">
        <v>732</v>
      </c>
      <c r="K180" s="4" t="s">
        <v>912</v>
      </c>
      <c r="L180">
        <v>213.1</v>
      </c>
      <c r="M180">
        <v>501.31</v>
      </c>
      <c r="N180">
        <v>5.6000000000000001E-2</v>
      </c>
      <c r="O180">
        <v>15</v>
      </c>
    </row>
    <row r="181" spans="1:15" x14ac:dyDescent="0.25">
      <c r="A181" t="s">
        <v>194</v>
      </c>
      <c r="B181" s="2">
        <v>45890</v>
      </c>
      <c r="C181" s="2">
        <v>45912</v>
      </c>
      <c r="D181" s="4" t="s">
        <v>647</v>
      </c>
      <c r="E181" s="4" t="s">
        <v>659</v>
      </c>
      <c r="F181" s="4" t="s">
        <v>676</v>
      </c>
      <c r="G181" s="4" t="s">
        <v>702</v>
      </c>
      <c r="H181" s="4" t="s">
        <v>707</v>
      </c>
      <c r="I181" s="4" t="s">
        <v>717</v>
      </c>
      <c r="J181" s="4" t="s">
        <v>728</v>
      </c>
      <c r="K181" s="4" t="s">
        <v>913</v>
      </c>
      <c r="L181">
        <v>352.66</v>
      </c>
      <c r="M181">
        <v>411.18</v>
      </c>
      <c r="N181">
        <v>0.17299999999999999</v>
      </c>
      <c r="O181">
        <v>13</v>
      </c>
    </row>
    <row r="182" spans="1:15" x14ac:dyDescent="0.25">
      <c r="A182" t="s">
        <v>195</v>
      </c>
      <c r="B182" s="2">
        <v>45915</v>
      </c>
      <c r="C182" s="2">
        <v>45918</v>
      </c>
      <c r="D182" s="4" t="s">
        <v>648</v>
      </c>
      <c r="E182" s="4" t="s">
        <v>655</v>
      </c>
      <c r="F182" s="4" t="s">
        <v>692</v>
      </c>
      <c r="G182" s="4" t="s">
        <v>703</v>
      </c>
      <c r="H182" s="4" t="s">
        <v>711</v>
      </c>
      <c r="I182" s="4" t="s">
        <v>716</v>
      </c>
      <c r="J182" s="4" t="s">
        <v>733</v>
      </c>
      <c r="K182" s="4" t="s">
        <v>914</v>
      </c>
      <c r="L182">
        <v>5.5</v>
      </c>
      <c r="M182">
        <v>5.92</v>
      </c>
      <c r="N182">
        <v>0.21199999999999999</v>
      </c>
      <c r="O182">
        <v>4</v>
      </c>
    </row>
    <row r="183" spans="1:15" x14ac:dyDescent="0.25">
      <c r="A183" t="s">
        <v>196</v>
      </c>
      <c r="B183" s="2">
        <v>45568</v>
      </c>
      <c r="C183" s="2">
        <v>45576</v>
      </c>
      <c r="D183" s="4" t="s">
        <v>647</v>
      </c>
      <c r="E183" s="4" t="s">
        <v>659</v>
      </c>
      <c r="F183" s="4" t="s">
        <v>699</v>
      </c>
      <c r="G183" s="4" t="s">
        <v>706</v>
      </c>
      <c r="H183" s="4" t="s">
        <v>711</v>
      </c>
      <c r="I183" s="4" t="s">
        <v>717</v>
      </c>
      <c r="J183" s="4" t="s">
        <v>730</v>
      </c>
      <c r="K183" s="4" t="s">
        <v>915</v>
      </c>
      <c r="L183">
        <v>1132.6099999999999</v>
      </c>
      <c r="M183">
        <v>2206.63</v>
      </c>
      <c r="N183">
        <v>6.3E-2</v>
      </c>
      <c r="O183">
        <v>20</v>
      </c>
    </row>
    <row r="184" spans="1:15" x14ac:dyDescent="0.25">
      <c r="A184" t="s">
        <v>197</v>
      </c>
      <c r="B184" s="2">
        <v>45690</v>
      </c>
      <c r="C184" s="2">
        <v>45720</v>
      </c>
      <c r="D184" s="4" t="s">
        <v>647</v>
      </c>
      <c r="E184" s="4" t="s">
        <v>652</v>
      </c>
      <c r="F184" s="4" t="s">
        <v>666</v>
      </c>
      <c r="G184" s="4" t="s">
        <v>702</v>
      </c>
      <c r="H184" s="4" t="s">
        <v>710</v>
      </c>
      <c r="I184" s="4" t="s">
        <v>716</v>
      </c>
      <c r="J184" s="4" t="s">
        <v>733</v>
      </c>
      <c r="K184" s="4" t="s">
        <v>916</v>
      </c>
      <c r="L184">
        <v>766.59</v>
      </c>
      <c r="M184">
        <v>1912.8</v>
      </c>
      <c r="N184">
        <v>0.19600000000000001</v>
      </c>
      <c r="O184">
        <v>5</v>
      </c>
    </row>
    <row r="185" spans="1:15" x14ac:dyDescent="0.25">
      <c r="A185" t="s">
        <v>198</v>
      </c>
      <c r="B185" s="2">
        <v>45157</v>
      </c>
      <c r="C185" s="2">
        <v>45161</v>
      </c>
      <c r="D185" s="4" t="s">
        <v>646</v>
      </c>
      <c r="E185" s="4" t="s">
        <v>651</v>
      </c>
      <c r="F185" s="4" t="s">
        <v>669</v>
      </c>
      <c r="G185" s="4" t="s">
        <v>705</v>
      </c>
      <c r="H185" s="4" t="s">
        <v>708</v>
      </c>
      <c r="I185" s="4" t="s">
        <v>713</v>
      </c>
      <c r="J185" s="4" t="s">
        <v>732</v>
      </c>
      <c r="K185" s="4" t="s">
        <v>917</v>
      </c>
      <c r="L185">
        <v>790.63</v>
      </c>
      <c r="M185">
        <v>1382.31</v>
      </c>
      <c r="N185">
        <v>0.10100000000000001</v>
      </c>
      <c r="O185">
        <v>7</v>
      </c>
    </row>
    <row r="186" spans="1:15" x14ac:dyDescent="0.25">
      <c r="A186" t="s">
        <v>199</v>
      </c>
      <c r="B186" s="2">
        <v>45587</v>
      </c>
      <c r="C186" s="2">
        <v>45594</v>
      </c>
      <c r="D186" s="4" t="s">
        <v>646</v>
      </c>
      <c r="E186" s="4" t="s">
        <v>651</v>
      </c>
      <c r="F186" s="4" t="s">
        <v>663</v>
      </c>
      <c r="G186" s="4" t="s">
        <v>706</v>
      </c>
      <c r="H186" s="4" t="s">
        <v>710</v>
      </c>
      <c r="I186" s="4" t="s">
        <v>724</v>
      </c>
      <c r="J186" s="4" t="s">
        <v>732</v>
      </c>
      <c r="K186" s="4" t="s">
        <v>918</v>
      </c>
      <c r="L186">
        <v>1023.06</v>
      </c>
      <c r="M186">
        <v>1355.61</v>
      </c>
      <c r="N186">
        <v>0.153</v>
      </c>
      <c r="O186">
        <v>23</v>
      </c>
    </row>
    <row r="187" spans="1:15" x14ac:dyDescent="0.25">
      <c r="A187" t="s">
        <v>200</v>
      </c>
      <c r="B187" s="2">
        <v>45099</v>
      </c>
      <c r="C187" s="2">
        <v>45128</v>
      </c>
      <c r="D187" s="4" t="s">
        <v>649</v>
      </c>
      <c r="E187" s="4" t="s">
        <v>657</v>
      </c>
      <c r="F187" s="4" t="s">
        <v>679</v>
      </c>
      <c r="G187" s="4" t="s">
        <v>701</v>
      </c>
      <c r="H187" s="4" t="s">
        <v>707</v>
      </c>
      <c r="I187" s="4" t="s">
        <v>713</v>
      </c>
      <c r="J187" s="4" t="s">
        <v>733</v>
      </c>
      <c r="K187" s="4" t="s">
        <v>919</v>
      </c>
      <c r="L187">
        <v>734.34</v>
      </c>
      <c r="M187">
        <v>887.9</v>
      </c>
      <c r="N187">
        <v>2.5000000000000001E-2</v>
      </c>
      <c r="O187">
        <v>12</v>
      </c>
    </row>
    <row r="188" spans="1:15" x14ac:dyDescent="0.25">
      <c r="A188" t="s">
        <v>201</v>
      </c>
      <c r="B188" s="2">
        <v>45670</v>
      </c>
      <c r="C188" s="2">
        <v>45696</v>
      </c>
      <c r="D188" s="4" t="s">
        <v>649</v>
      </c>
      <c r="E188" s="4" t="s">
        <v>657</v>
      </c>
      <c r="F188" s="4" t="s">
        <v>690</v>
      </c>
      <c r="G188" s="4" t="s">
        <v>703</v>
      </c>
      <c r="I188" s="4" t="s">
        <v>718</v>
      </c>
      <c r="J188" s="4" t="s">
        <v>732</v>
      </c>
      <c r="K188" s="4" t="s">
        <v>920</v>
      </c>
      <c r="L188">
        <v>594.74</v>
      </c>
      <c r="M188">
        <v>1020.69</v>
      </c>
      <c r="N188">
        <v>0.21099999999999999</v>
      </c>
      <c r="O188">
        <v>6</v>
      </c>
    </row>
    <row r="189" spans="1:15" x14ac:dyDescent="0.25">
      <c r="A189" t="s">
        <v>144</v>
      </c>
      <c r="B189" s="2">
        <v>44955</v>
      </c>
      <c r="C189" s="2">
        <v>44985</v>
      </c>
      <c r="D189" s="4" t="s">
        <v>647</v>
      </c>
      <c r="E189" s="4" t="s">
        <v>654</v>
      </c>
      <c r="F189" s="4" t="s">
        <v>668</v>
      </c>
      <c r="G189" s="4" t="s">
        <v>703</v>
      </c>
      <c r="H189" s="4" t="s">
        <v>707</v>
      </c>
      <c r="I189" s="4" t="s">
        <v>717</v>
      </c>
      <c r="J189" s="4" t="s">
        <v>733</v>
      </c>
      <c r="K189" s="4" t="s">
        <v>921</v>
      </c>
      <c r="L189">
        <v>1262.0999999999999</v>
      </c>
      <c r="M189">
        <v>1395.53</v>
      </c>
      <c r="N189">
        <v>0.23300000000000001</v>
      </c>
      <c r="O189">
        <v>25</v>
      </c>
    </row>
    <row r="190" spans="1:15" x14ac:dyDescent="0.25">
      <c r="A190" t="s">
        <v>202</v>
      </c>
      <c r="B190" s="2">
        <v>45126</v>
      </c>
      <c r="C190" s="2">
        <v>45138</v>
      </c>
      <c r="D190" s="4" t="s">
        <v>648</v>
      </c>
      <c r="E190" s="4" t="s">
        <v>655</v>
      </c>
      <c r="F190" s="4" t="s">
        <v>692</v>
      </c>
      <c r="G190" s="4" t="s">
        <v>701</v>
      </c>
      <c r="H190" s="4" t="s">
        <v>707</v>
      </c>
      <c r="I190" s="4" t="s">
        <v>712</v>
      </c>
      <c r="J190" s="4" t="s">
        <v>732</v>
      </c>
      <c r="K190" s="4" t="s">
        <v>922</v>
      </c>
      <c r="L190">
        <v>1334.64</v>
      </c>
      <c r="M190">
        <v>2273.42</v>
      </c>
      <c r="N190">
        <v>0.11799999999999999</v>
      </c>
      <c r="O190">
        <v>14</v>
      </c>
    </row>
    <row r="191" spans="1:15" x14ac:dyDescent="0.25">
      <c r="A191" t="s">
        <v>203</v>
      </c>
      <c r="B191" s="2">
        <v>45431</v>
      </c>
      <c r="C191" s="2">
        <v>45451</v>
      </c>
      <c r="D191" s="4" t="s">
        <v>648</v>
      </c>
      <c r="E191" s="4" t="s">
        <v>655</v>
      </c>
      <c r="F191" s="4" t="s">
        <v>672</v>
      </c>
      <c r="G191" s="4" t="s">
        <v>705</v>
      </c>
      <c r="H191" s="4" t="s">
        <v>707</v>
      </c>
      <c r="I191" s="4" t="s">
        <v>718</v>
      </c>
      <c r="J191" s="4" t="s">
        <v>732</v>
      </c>
      <c r="K191" s="4" t="s">
        <v>923</v>
      </c>
      <c r="L191">
        <v>1075.9000000000001</v>
      </c>
      <c r="M191">
        <v>1242.1500000000001</v>
      </c>
      <c r="N191">
        <v>1.2E-2</v>
      </c>
      <c r="O191">
        <v>7</v>
      </c>
    </row>
    <row r="192" spans="1:15" x14ac:dyDescent="0.25">
      <c r="A192" t="s">
        <v>204</v>
      </c>
      <c r="B192" s="2">
        <v>45325</v>
      </c>
      <c r="C192" s="2">
        <v>45341</v>
      </c>
      <c r="D192" s="4" t="s">
        <v>647</v>
      </c>
      <c r="E192" s="4" t="s">
        <v>659</v>
      </c>
      <c r="F192" s="4" t="s">
        <v>676</v>
      </c>
      <c r="G192" s="4" t="s">
        <v>705</v>
      </c>
      <c r="H192" s="4" t="s">
        <v>708</v>
      </c>
      <c r="I192" s="4" t="s">
        <v>722</v>
      </c>
      <c r="J192" s="4" t="s">
        <v>731</v>
      </c>
      <c r="K192" s="4" t="s">
        <v>924</v>
      </c>
      <c r="L192">
        <v>993.75</v>
      </c>
      <c r="M192">
        <v>1310.29</v>
      </c>
      <c r="N192">
        <v>0.215</v>
      </c>
      <c r="O192">
        <v>19</v>
      </c>
    </row>
    <row r="193" spans="1:15" x14ac:dyDescent="0.25">
      <c r="A193" t="s">
        <v>205</v>
      </c>
      <c r="B193" s="2">
        <v>45146</v>
      </c>
      <c r="C193" s="2">
        <v>45160</v>
      </c>
      <c r="D193" s="4" t="s">
        <v>649</v>
      </c>
      <c r="E193" s="4" t="s">
        <v>658</v>
      </c>
      <c r="F193" s="4" t="s">
        <v>674</v>
      </c>
      <c r="G193" s="4" t="s">
        <v>703</v>
      </c>
      <c r="H193" s="4" t="s">
        <v>711</v>
      </c>
      <c r="I193" s="4" t="s">
        <v>725</v>
      </c>
      <c r="J193" s="4" t="s">
        <v>732</v>
      </c>
      <c r="K193" s="4" t="s">
        <v>925</v>
      </c>
      <c r="L193">
        <v>446.69</v>
      </c>
      <c r="M193">
        <v>967.25</v>
      </c>
      <c r="N193">
        <v>9.4E-2</v>
      </c>
      <c r="O193">
        <v>10</v>
      </c>
    </row>
    <row r="194" spans="1:15" x14ac:dyDescent="0.25">
      <c r="A194" t="s">
        <v>206</v>
      </c>
      <c r="B194" s="2">
        <v>45516</v>
      </c>
      <c r="C194" s="2">
        <v>45538</v>
      </c>
      <c r="D194" s="4" t="s">
        <v>648</v>
      </c>
      <c r="E194" s="4" t="s">
        <v>660</v>
      </c>
      <c r="F194" s="4" t="s">
        <v>697</v>
      </c>
      <c r="G194" s="4" t="s">
        <v>704</v>
      </c>
      <c r="H194" s="4" t="s">
        <v>710</v>
      </c>
      <c r="I194" s="4" t="s">
        <v>714</v>
      </c>
      <c r="J194" s="4" t="s">
        <v>731</v>
      </c>
      <c r="K194" s="4" t="s">
        <v>926</v>
      </c>
      <c r="L194">
        <v>797.8</v>
      </c>
      <c r="M194">
        <v>886.22</v>
      </c>
      <c r="N194">
        <v>0.23599999999999999</v>
      </c>
      <c r="O194">
        <v>36</v>
      </c>
    </row>
    <row r="195" spans="1:15" x14ac:dyDescent="0.25">
      <c r="A195" t="s">
        <v>207</v>
      </c>
      <c r="B195" s="2">
        <v>45214</v>
      </c>
      <c r="C195" s="2">
        <v>45243</v>
      </c>
      <c r="D195" s="4" t="s">
        <v>647</v>
      </c>
      <c r="E195" s="4" t="s">
        <v>659</v>
      </c>
      <c r="F195" s="4" t="s">
        <v>676</v>
      </c>
      <c r="G195" s="4" t="s">
        <v>703</v>
      </c>
      <c r="H195" s="4" t="s">
        <v>710</v>
      </c>
      <c r="I195" s="4" t="s">
        <v>713</v>
      </c>
      <c r="J195" s="4" t="s">
        <v>728</v>
      </c>
      <c r="K195" s="4" t="s">
        <v>927</v>
      </c>
      <c r="L195">
        <v>986.44</v>
      </c>
      <c r="M195">
        <v>790.61</v>
      </c>
      <c r="N195">
        <v>7.1999999999999995E-2</v>
      </c>
      <c r="O195">
        <v>6</v>
      </c>
    </row>
    <row r="196" spans="1:15" x14ac:dyDescent="0.25">
      <c r="A196" t="s">
        <v>208</v>
      </c>
      <c r="B196" s="2">
        <v>45050</v>
      </c>
      <c r="C196" s="2">
        <v>45072</v>
      </c>
      <c r="D196" s="4" t="s">
        <v>648</v>
      </c>
      <c r="E196" s="4" t="s">
        <v>660</v>
      </c>
      <c r="F196" s="4" t="s">
        <v>686</v>
      </c>
      <c r="G196" s="4" t="s">
        <v>706</v>
      </c>
      <c r="H196" s="4" t="s">
        <v>708</v>
      </c>
      <c r="I196" s="4" t="s">
        <v>713</v>
      </c>
      <c r="J196" s="4" t="s">
        <v>729</v>
      </c>
      <c r="K196" s="4" t="s">
        <v>928</v>
      </c>
      <c r="L196">
        <v>249.71</v>
      </c>
      <c r="M196">
        <v>361.33</v>
      </c>
      <c r="N196">
        <v>9.4E-2</v>
      </c>
      <c r="O196">
        <v>12</v>
      </c>
    </row>
    <row r="197" spans="1:15" x14ac:dyDescent="0.25">
      <c r="A197" t="s">
        <v>209</v>
      </c>
      <c r="B197" s="2">
        <v>45557</v>
      </c>
      <c r="C197" s="2">
        <v>45566</v>
      </c>
      <c r="D197" s="4" t="s">
        <v>648</v>
      </c>
      <c r="E197" s="4" t="s">
        <v>655</v>
      </c>
      <c r="F197" s="4" t="s">
        <v>670</v>
      </c>
      <c r="G197" s="4" t="s">
        <v>703</v>
      </c>
      <c r="H197" s="4" t="s">
        <v>708</v>
      </c>
      <c r="I197" s="4" t="s">
        <v>723</v>
      </c>
      <c r="J197" s="4" t="s">
        <v>732</v>
      </c>
      <c r="K197" s="4" t="s">
        <v>929</v>
      </c>
      <c r="L197">
        <v>1378.8</v>
      </c>
      <c r="M197">
        <v>1952.04</v>
      </c>
      <c r="N197">
        <v>0.159</v>
      </c>
      <c r="O197">
        <v>19</v>
      </c>
    </row>
    <row r="198" spans="1:15" x14ac:dyDescent="0.25">
      <c r="A198" t="s">
        <v>210</v>
      </c>
      <c r="B198" s="2">
        <v>45588</v>
      </c>
      <c r="C198" s="2">
        <v>45610</v>
      </c>
      <c r="D198" s="4" t="s">
        <v>647</v>
      </c>
      <c r="E198" s="4" t="s">
        <v>652</v>
      </c>
      <c r="F198" s="4" t="s">
        <v>666</v>
      </c>
      <c r="G198" s="4" t="s">
        <v>703</v>
      </c>
      <c r="H198" s="4" t="s">
        <v>711</v>
      </c>
      <c r="I198" s="4" t="s">
        <v>717</v>
      </c>
      <c r="J198" s="4" t="s">
        <v>730</v>
      </c>
      <c r="K198" s="4" t="s">
        <v>930</v>
      </c>
      <c r="L198">
        <v>1406.4</v>
      </c>
      <c r="M198">
        <v>1564.76</v>
      </c>
      <c r="N198">
        <v>0.185</v>
      </c>
      <c r="O198">
        <v>17</v>
      </c>
    </row>
    <row r="199" spans="1:15" x14ac:dyDescent="0.25">
      <c r="A199" t="s">
        <v>211</v>
      </c>
      <c r="B199" s="2">
        <v>45333</v>
      </c>
      <c r="C199" s="2">
        <v>45354</v>
      </c>
      <c r="D199" s="4" t="s">
        <v>646</v>
      </c>
      <c r="E199" s="4" t="s">
        <v>650</v>
      </c>
      <c r="F199" s="4" t="s">
        <v>662</v>
      </c>
      <c r="G199" s="4" t="s">
        <v>706</v>
      </c>
      <c r="H199" s="4" t="s">
        <v>708</v>
      </c>
      <c r="I199" s="4" t="s">
        <v>717</v>
      </c>
      <c r="J199" s="4" t="s">
        <v>730</v>
      </c>
      <c r="K199" s="4" t="s">
        <v>931</v>
      </c>
      <c r="L199">
        <v>516.86</v>
      </c>
      <c r="M199">
        <v>852.54</v>
      </c>
      <c r="N199">
        <v>5.0999999999999997E-2</v>
      </c>
      <c r="O199">
        <v>14</v>
      </c>
    </row>
    <row r="200" spans="1:15" x14ac:dyDescent="0.25">
      <c r="A200" t="s">
        <v>212</v>
      </c>
      <c r="B200" s="2">
        <v>44956</v>
      </c>
      <c r="C200" s="2">
        <v>44978</v>
      </c>
      <c r="D200" s="4" t="s">
        <v>649</v>
      </c>
      <c r="E200" s="4" t="s">
        <v>656</v>
      </c>
      <c r="F200" s="4" t="s">
        <v>684</v>
      </c>
      <c r="G200" s="4" t="s">
        <v>705</v>
      </c>
      <c r="H200" s="4" t="s">
        <v>709</v>
      </c>
      <c r="I200" s="4" t="s">
        <v>715</v>
      </c>
      <c r="J200" s="4" t="s">
        <v>729</v>
      </c>
      <c r="K200" s="4" t="s">
        <v>932</v>
      </c>
      <c r="L200">
        <v>1142.8800000000001</v>
      </c>
      <c r="M200">
        <v>1465.29</v>
      </c>
      <c r="N200">
        <v>0.186</v>
      </c>
      <c r="O200">
        <v>7</v>
      </c>
    </row>
    <row r="201" spans="1:15" x14ac:dyDescent="0.25">
      <c r="A201" t="s">
        <v>213</v>
      </c>
      <c r="B201" s="2">
        <v>45030</v>
      </c>
      <c r="C201" s="2">
        <v>45059</v>
      </c>
      <c r="D201" s="4" t="s">
        <v>649</v>
      </c>
      <c r="E201" s="4" t="s">
        <v>656</v>
      </c>
      <c r="F201" s="4" t="s">
        <v>698</v>
      </c>
      <c r="G201" s="4" t="s">
        <v>704</v>
      </c>
      <c r="H201" s="4" t="s">
        <v>711</v>
      </c>
      <c r="I201" s="4" t="s">
        <v>713</v>
      </c>
      <c r="J201" s="4" t="s">
        <v>728</v>
      </c>
      <c r="K201" s="4" t="s">
        <v>933</v>
      </c>
      <c r="L201">
        <v>1320.33</v>
      </c>
      <c r="M201">
        <v>2645.23</v>
      </c>
      <c r="N201">
        <v>0.155</v>
      </c>
      <c r="O201">
        <v>25</v>
      </c>
    </row>
    <row r="202" spans="1:15" x14ac:dyDescent="0.25">
      <c r="A202" t="s">
        <v>214</v>
      </c>
      <c r="B202" s="2">
        <v>44939</v>
      </c>
      <c r="C202" s="2">
        <v>44945</v>
      </c>
      <c r="D202" s="4" t="s">
        <v>648</v>
      </c>
      <c r="E202" s="4" t="s">
        <v>660</v>
      </c>
      <c r="F202" s="4" t="s">
        <v>677</v>
      </c>
      <c r="G202" s="4" t="s">
        <v>701</v>
      </c>
      <c r="H202" s="4" t="s">
        <v>711</v>
      </c>
      <c r="I202" s="4" t="s">
        <v>722</v>
      </c>
      <c r="J202" s="4" t="s">
        <v>730</v>
      </c>
      <c r="K202" s="4" t="s">
        <v>934</v>
      </c>
      <c r="L202">
        <v>833.57</v>
      </c>
      <c r="M202">
        <v>881.57</v>
      </c>
      <c r="N202">
        <v>5.7000000000000002E-2</v>
      </c>
      <c r="O202">
        <v>18</v>
      </c>
    </row>
    <row r="203" spans="1:15" x14ac:dyDescent="0.25">
      <c r="A203" t="s">
        <v>215</v>
      </c>
      <c r="B203" s="2">
        <v>45303</v>
      </c>
      <c r="C203" s="2">
        <v>45320</v>
      </c>
      <c r="D203" s="4" t="s">
        <v>648</v>
      </c>
      <c r="E203" s="4" t="s">
        <v>660</v>
      </c>
      <c r="F203" s="4" t="s">
        <v>677</v>
      </c>
      <c r="G203" s="4" t="s">
        <v>702</v>
      </c>
      <c r="H203" s="4" t="s">
        <v>710</v>
      </c>
      <c r="I203" s="4" t="s">
        <v>720</v>
      </c>
      <c r="J203" s="4" t="s">
        <v>728</v>
      </c>
      <c r="K203" s="4" t="s">
        <v>935</v>
      </c>
      <c r="L203">
        <v>493.76</v>
      </c>
      <c r="M203">
        <v>625.04</v>
      </c>
      <c r="N203">
        <v>0.25800000000000001</v>
      </c>
      <c r="O203">
        <v>10</v>
      </c>
    </row>
    <row r="204" spans="1:15" x14ac:dyDescent="0.25">
      <c r="A204" t="s">
        <v>216</v>
      </c>
      <c r="B204" s="2">
        <v>45153</v>
      </c>
      <c r="C204" s="2">
        <v>45176</v>
      </c>
      <c r="D204" s="4" t="s">
        <v>648</v>
      </c>
      <c r="E204" s="4" t="s">
        <v>660</v>
      </c>
      <c r="F204" s="4" t="s">
        <v>700</v>
      </c>
      <c r="G204" s="4" t="s">
        <v>706</v>
      </c>
      <c r="H204" s="4" t="s">
        <v>708</v>
      </c>
      <c r="I204" s="4" t="s">
        <v>723</v>
      </c>
      <c r="J204" s="4" t="s">
        <v>730</v>
      </c>
      <c r="K204" s="4" t="s">
        <v>936</v>
      </c>
      <c r="L204">
        <v>590.33000000000004</v>
      </c>
      <c r="M204">
        <v>973.04</v>
      </c>
      <c r="N204">
        <v>0</v>
      </c>
      <c r="O204">
        <v>26</v>
      </c>
    </row>
    <row r="205" spans="1:15" x14ac:dyDescent="0.25">
      <c r="A205" t="s">
        <v>217</v>
      </c>
      <c r="B205" s="2">
        <v>44946</v>
      </c>
      <c r="C205" s="2">
        <v>44960</v>
      </c>
      <c r="D205" s="4" t="s">
        <v>646</v>
      </c>
      <c r="E205" s="4" t="s">
        <v>650</v>
      </c>
      <c r="F205" s="4" t="s">
        <v>662</v>
      </c>
      <c r="G205" s="4" t="s">
        <v>701</v>
      </c>
      <c r="H205" s="4" t="s">
        <v>707</v>
      </c>
      <c r="I205" s="4" t="s">
        <v>724</v>
      </c>
      <c r="J205" s="4" t="s">
        <v>729</v>
      </c>
      <c r="K205" s="4" t="s">
        <v>937</v>
      </c>
      <c r="L205">
        <v>884.36</v>
      </c>
      <c r="M205">
        <v>1545.34</v>
      </c>
      <c r="N205">
        <v>0.24299999999999999</v>
      </c>
      <c r="O205">
        <v>41</v>
      </c>
    </row>
    <row r="206" spans="1:15" x14ac:dyDescent="0.25">
      <c r="A206" t="s">
        <v>218</v>
      </c>
      <c r="B206" s="2">
        <v>45692</v>
      </c>
      <c r="C206" s="2">
        <v>45713</v>
      </c>
      <c r="D206" s="4" t="s">
        <v>649</v>
      </c>
      <c r="E206" s="4" t="s">
        <v>658</v>
      </c>
      <c r="F206" s="4" t="s">
        <v>674</v>
      </c>
      <c r="G206" s="4" t="s">
        <v>701</v>
      </c>
      <c r="H206" s="4" t="s">
        <v>709</v>
      </c>
      <c r="I206" s="4" t="s">
        <v>726</v>
      </c>
      <c r="J206" s="4" t="s">
        <v>732</v>
      </c>
      <c r="K206" s="4" t="s">
        <v>938</v>
      </c>
      <c r="L206">
        <v>1016.32</v>
      </c>
      <c r="M206">
        <v>2253.42</v>
      </c>
      <c r="N206">
        <v>5.5E-2</v>
      </c>
      <c r="O206">
        <v>12</v>
      </c>
    </row>
    <row r="207" spans="1:15" x14ac:dyDescent="0.25">
      <c r="A207" t="s">
        <v>219</v>
      </c>
      <c r="B207" s="2">
        <v>45035</v>
      </c>
      <c r="C207" s="2">
        <v>45044</v>
      </c>
      <c r="D207" s="4" t="s">
        <v>649</v>
      </c>
      <c r="E207" s="4" t="s">
        <v>656</v>
      </c>
      <c r="F207" s="4" t="s">
        <v>671</v>
      </c>
      <c r="G207" s="4" t="s">
        <v>702</v>
      </c>
      <c r="H207" s="4" t="s">
        <v>708</v>
      </c>
      <c r="I207" s="4" t="s">
        <v>718</v>
      </c>
      <c r="J207" s="4" t="s">
        <v>732</v>
      </c>
      <c r="K207" s="4" t="s">
        <v>939</v>
      </c>
      <c r="L207">
        <v>1178.42</v>
      </c>
      <c r="M207">
        <v>2446.56</v>
      </c>
      <c r="N207">
        <v>2.9000000000000001E-2</v>
      </c>
      <c r="O207">
        <v>11</v>
      </c>
    </row>
    <row r="208" spans="1:15" x14ac:dyDescent="0.25">
      <c r="A208" t="s">
        <v>220</v>
      </c>
      <c r="B208" s="2">
        <v>45109</v>
      </c>
      <c r="C208" s="2">
        <v>45139</v>
      </c>
      <c r="D208" s="4" t="s">
        <v>649</v>
      </c>
      <c r="E208" s="4" t="s">
        <v>658</v>
      </c>
      <c r="F208" s="4" t="s">
        <v>674</v>
      </c>
      <c r="G208" s="4" t="s">
        <v>705</v>
      </c>
      <c r="H208" s="4" t="s">
        <v>707</v>
      </c>
      <c r="I208" s="4" t="s">
        <v>717</v>
      </c>
      <c r="J208" s="4" t="s">
        <v>727</v>
      </c>
      <c r="K208" s="4" t="s">
        <v>940</v>
      </c>
      <c r="L208">
        <v>137.46</v>
      </c>
      <c r="M208">
        <v>188.3</v>
      </c>
      <c r="N208">
        <v>3.7999999999999999E-2</v>
      </c>
      <c r="O208">
        <v>37</v>
      </c>
    </row>
    <row r="209" spans="1:15" x14ac:dyDescent="0.25">
      <c r="A209" t="s">
        <v>221</v>
      </c>
      <c r="B209" s="2">
        <v>45678</v>
      </c>
      <c r="C209" s="2">
        <v>45702</v>
      </c>
      <c r="D209" s="4" t="s">
        <v>646</v>
      </c>
      <c r="E209" s="4" t="s">
        <v>650</v>
      </c>
      <c r="F209" s="4" t="s">
        <v>664</v>
      </c>
      <c r="G209" s="4" t="s">
        <v>705</v>
      </c>
      <c r="H209" s="4" t="s">
        <v>707</v>
      </c>
      <c r="I209" s="4" t="s">
        <v>713</v>
      </c>
      <c r="J209" s="4" t="s">
        <v>733</v>
      </c>
      <c r="K209" s="4" t="s">
        <v>941</v>
      </c>
      <c r="L209">
        <v>1030.44</v>
      </c>
      <c r="M209">
        <v>2562.84</v>
      </c>
      <c r="N209">
        <v>0.14799999999999999</v>
      </c>
      <c r="O209">
        <v>13</v>
      </c>
    </row>
    <row r="210" spans="1:15" x14ac:dyDescent="0.25">
      <c r="A210" t="s">
        <v>222</v>
      </c>
      <c r="B210" s="2">
        <v>45545</v>
      </c>
      <c r="C210" s="2">
        <v>45572</v>
      </c>
      <c r="D210" s="4" t="s">
        <v>646</v>
      </c>
      <c r="E210" s="4" t="s">
        <v>650</v>
      </c>
      <c r="F210" s="4" t="s">
        <v>662</v>
      </c>
      <c r="G210" s="4" t="s">
        <v>704</v>
      </c>
      <c r="H210" s="4" t="s">
        <v>707</v>
      </c>
      <c r="I210" s="4" t="s">
        <v>716</v>
      </c>
      <c r="J210" s="4" t="s">
        <v>728</v>
      </c>
      <c r="K210" s="4" t="s">
        <v>942</v>
      </c>
      <c r="L210">
        <v>1248.3900000000001</v>
      </c>
      <c r="M210">
        <v>1805.11</v>
      </c>
      <c r="N210">
        <v>0.20300000000000001</v>
      </c>
      <c r="O210">
        <v>11</v>
      </c>
    </row>
    <row r="211" spans="1:15" x14ac:dyDescent="0.25">
      <c r="A211" t="s">
        <v>223</v>
      </c>
      <c r="B211" s="2">
        <v>45859</v>
      </c>
      <c r="C211" s="2">
        <v>45876</v>
      </c>
      <c r="D211" s="4" t="s">
        <v>646</v>
      </c>
      <c r="E211" s="4" t="s">
        <v>651</v>
      </c>
      <c r="F211" s="4" t="s">
        <v>665</v>
      </c>
      <c r="G211" s="4" t="s">
        <v>706</v>
      </c>
      <c r="H211" s="4" t="s">
        <v>711</v>
      </c>
      <c r="I211" s="4" t="s">
        <v>724</v>
      </c>
      <c r="J211" s="4" t="s">
        <v>733</v>
      </c>
      <c r="K211" s="4" t="s">
        <v>943</v>
      </c>
      <c r="L211">
        <v>1204.95</v>
      </c>
      <c r="M211">
        <v>2065.73</v>
      </c>
      <c r="N211">
        <v>0.13600000000000001</v>
      </c>
      <c r="O211">
        <v>10</v>
      </c>
    </row>
    <row r="212" spans="1:15" x14ac:dyDescent="0.25">
      <c r="A212" t="s">
        <v>224</v>
      </c>
      <c r="B212" s="2">
        <v>45567</v>
      </c>
      <c r="C212" s="2">
        <v>45588</v>
      </c>
      <c r="D212" s="4" t="s">
        <v>646</v>
      </c>
      <c r="E212" s="4" t="s">
        <v>661</v>
      </c>
      <c r="F212" s="4" t="s">
        <v>687</v>
      </c>
      <c r="G212" s="4" t="s">
        <v>701</v>
      </c>
      <c r="H212" s="4" t="s">
        <v>709</v>
      </c>
      <c r="I212" s="4" t="s">
        <v>720</v>
      </c>
      <c r="J212" s="4" t="s">
        <v>727</v>
      </c>
      <c r="K212" s="4" t="s">
        <v>944</v>
      </c>
      <c r="L212">
        <v>1095.6099999999999</v>
      </c>
      <c r="M212">
        <v>2366.5100000000002</v>
      </c>
      <c r="N212">
        <v>0.152</v>
      </c>
      <c r="O212">
        <v>9</v>
      </c>
    </row>
    <row r="213" spans="1:15" x14ac:dyDescent="0.25">
      <c r="A213" t="s">
        <v>225</v>
      </c>
      <c r="B213" s="2">
        <v>45852</v>
      </c>
      <c r="C213" s="2">
        <v>45873</v>
      </c>
      <c r="D213" s="4" t="s">
        <v>648</v>
      </c>
      <c r="E213" s="4" t="s">
        <v>653</v>
      </c>
      <c r="F213" s="4" t="s">
        <v>681</v>
      </c>
      <c r="G213" s="4" t="s">
        <v>704</v>
      </c>
      <c r="H213" s="4" t="s">
        <v>708</v>
      </c>
      <c r="I213" s="4" t="s">
        <v>722</v>
      </c>
      <c r="J213" s="4" t="s">
        <v>732</v>
      </c>
      <c r="K213" s="4" t="s">
        <v>945</v>
      </c>
      <c r="L213">
        <v>90.3</v>
      </c>
      <c r="M213">
        <v>131.76</v>
      </c>
      <c r="N213">
        <v>0.10199999999999999</v>
      </c>
      <c r="O213">
        <v>15</v>
      </c>
    </row>
    <row r="214" spans="1:15" x14ac:dyDescent="0.25">
      <c r="A214" t="s">
        <v>226</v>
      </c>
      <c r="B214" s="2">
        <v>45544</v>
      </c>
      <c r="C214" s="2">
        <v>45566</v>
      </c>
      <c r="D214" s="4" t="s">
        <v>647</v>
      </c>
      <c r="E214" s="4" t="s">
        <v>659</v>
      </c>
      <c r="F214" s="4" t="s">
        <v>676</v>
      </c>
      <c r="G214" s="4" t="s">
        <v>704</v>
      </c>
      <c r="H214" s="4" t="s">
        <v>711</v>
      </c>
      <c r="I214" s="4" t="s">
        <v>716</v>
      </c>
      <c r="J214" s="4" t="s">
        <v>728</v>
      </c>
      <c r="K214" s="4" t="s">
        <v>946</v>
      </c>
      <c r="L214">
        <v>1166.18</v>
      </c>
      <c r="M214">
        <v>1335.02</v>
      </c>
      <c r="N214">
        <v>0.128</v>
      </c>
      <c r="O214">
        <v>6</v>
      </c>
    </row>
    <row r="215" spans="1:15" x14ac:dyDescent="0.25">
      <c r="A215" t="s">
        <v>227</v>
      </c>
      <c r="B215" s="2">
        <v>45686</v>
      </c>
      <c r="C215" s="2">
        <v>45694</v>
      </c>
      <c r="D215" s="4" t="s">
        <v>646</v>
      </c>
      <c r="E215" s="4" t="s">
        <v>650</v>
      </c>
      <c r="F215" s="4" t="s">
        <v>662</v>
      </c>
      <c r="G215" s="4" t="s">
        <v>702</v>
      </c>
      <c r="H215" s="4" t="s">
        <v>707</v>
      </c>
      <c r="I215" s="4" t="s">
        <v>717</v>
      </c>
      <c r="J215" s="4" t="s">
        <v>730</v>
      </c>
      <c r="K215" s="4" t="s">
        <v>947</v>
      </c>
      <c r="L215">
        <v>1445.27</v>
      </c>
      <c r="M215">
        <v>2691.45</v>
      </c>
      <c r="N215">
        <v>0</v>
      </c>
      <c r="O215">
        <v>9</v>
      </c>
    </row>
    <row r="216" spans="1:15" x14ac:dyDescent="0.25">
      <c r="A216" t="s">
        <v>228</v>
      </c>
      <c r="B216" s="2">
        <v>45240</v>
      </c>
      <c r="C216" s="2">
        <v>45258</v>
      </c>
      <c r="D216" s="4" t="s">
        <v>648</v>
      </c>
      <c r="E216" s="4" t="s">
        <v>655</v>
      </c>
      <c r="F216" s="4" t="s">
        <v>672</v>
      </c>
      <c r="G216" s="4" t="s">
        <v>702</v>
      </c>
      <c r="H216" s="4" t="s">
        <v>709</v>
      </c>
      <c r="I216" s="4" t="s">
        <v>716</v>
      </c>
      <c r="J216" s="4" t="s">
        <v>733</v>
      </c>
      <c r="K216" s="4" t="s">
        <v>948</v>
      </c>
      <c r="L216">
        <v>388.51</v>
      </c>
      <c r="M216">
        <v>776.46</v>
      </c>
      <c r="N216">
        <v>0.157</v>
      </c>
      <c r="O216">
        <v>12</v>
      </c>
    </row>
    <row r="217" spans="1:15" x14ac:dyDescent="0.25">
      <c r="A217" t="s">
        <v>229</v>
      </c>
      <c r="B217" s="2">
        <v>45351</v>
      </c>
      <c r="C217" s="2">
        <v>45381</v>
      </c>
      <c r="D217" s="4" t="s">
        <v>647</v>
      </c>
      <c r="E217" s="4" t="s">
        <v>652</v>
      </c>
      <c r="F217" s="4" t="s">
        <v>694</v>
      </c>
      <c r="G217" s="4" t="s">
        <v>705</v>
      </c>
      <c r="H217" s="4" t="s">
        <v>711</v>
      </c>
      <c r="I217" s="4" t="s">
        <v>714</v>
      </c>
      <c r="J217" s="4" t="s">
        <v>729</v>
      </c>
      <c r="K217" s="4" t="s">
        <v>949</v>
      </c>
      <c r="L217">
        <v>231.11</v>
      </c>
      <c r="M217">
        <v>318.17</v>
      </c>
      <c r="N217">
        <v>0.20100000000000001</v>
      </c>
      <c r="O217">
        <v>60</v>
      </c>
    </row>
    <row r="218" spans="1:15" x14ac:dyDescent="0.25">
      <c r="A218" t="s">
        <v>230</v>
      </c>
      <c r="B218" s="2">
        <v>45280</v>
      </c>
      <c r="C218" s="2">
        <v>45305</v>
      </c>
      <c r="D218" s="4" t="s">
        <v>647</v>
      </c>
      <c r="E218" s="4" t="s">
        <v>654</v>
      </c>
      <c r="F218" s="4" t="s">
        <v>691</v>
      </c>
      <c r="G218" s="4" t="s">
        <v>703</v>
      </c>
      <c r="H218" s="4" t="s">
        <v>709</v>
      </c>
      <c r="I218" s="4" t="s">
        <v>716</v>
      </c>
      <c r="J218" s="4" t="s">
        <v>732</v>
      </c>
      <c r="K218" s="4" t="s">
        <v>950</v>
      </c>
      <c r="L218">
        <v>1085.6099999999999</v>
      </c>
      <c r="M218">
        <v>1246.4100000000001</v>
      </c>
      <c r="N218">
        <v>0.113</v>
      </c>
      <c r="O218">
        <v>7</v>
      </c>
    </row>
    <row r="219" spans="1:15" x14ac:dyDescent="0.25">
      <c r="A219" t="s">
        <v>231</v>
      </c>
      <c r="B219" s="2">
        <v>44948</v>
      </c>
      <c r="C219" s="2">
        <v>44947</v>
      </c>
      <c r="D219" s="4" t="s">
        <v>649</v>
      </c>
      <c r="E219" s="4" t="s">
        <v>656</v>
      </c>
      <c r="F219" s="4" t="s">
        <v>684</v>
      </c>
      <c r="G219" s="4" t="s">
        <v>701</v>
      </c>
      <c r="H219" s="4" t="s">
        <v>711</v>
      </c>
      <c r="I219" s="4" t="s">
        <v>721</v>
      </c>
      <c r="J219" s="4" t="s">
        <v>732</v>
      </c>
      <c r="K219" s="4" t="s">
        <v>951</v>
      </c>
      <c r="L219">
        <v>150.86000000000001</v>
      </c>
      <c r="M219">
        <v>346.96</v>
      </c>
      <c r="N219">
        <v>0.19600000000000001</v>
      </c>
      <c r="O219">
        <v>8</v>
      </c>
    </row>
    <row r="220" spans="1:15" x14ac:dyDescent="0.25">
      <c r="A220" t="s">
        <v>232</v>
      </c>
      <c r="B220" s="2">
        <v>45576</v>
      </c>
      <c r="C220" s="2">
        <v>45605</v>
      </c>
      <c r="D220" s="4" t="s">
        <v>647</v>
      </c>
      <c r="E220" s="4" t="s">
        <v>659</v>
      </c>
      <c r="F220" s="4" t="s">
        <v>685</v>
      </c>
      <c r="G220" s="4" t="s">
        <v>703</v>
      </c>
      <c r="H220" s="4" t="s">
        <v>708</v>
      </c>
      <c r="I220" s="4" t="s">
        <v>721</v>
      </c>
      <c r="J220" s="4" t="s">
        <v>728</v>
      </c>
      <c r="K220" s="4" t="s">
        <v>952</v>
      </c>
      <c r="L220">
        <v>391.64</v>
      </c>
      <c r="M220">
        <v>504.76</v>
      </c>
      <c r="N220">
        <v>4.0000000000000001E-3</v>
      </c>
      <c r="O220">
        <v>13</v>
      </c>
    </row>
    <row r="221" spans="1:15" x14ac:dyDescent="0.25">
      <c r="A221" t="s">
        <v>233</v>
      </c>
      <c r="B221" s="2">
        <v>45554</v>
      </c>
      <c r="C221" s="2">
        <v>45579</v>
      </c>
      <c r="D221" s="4" t="s">
        <v>648</v>
      </c>
      <c r="E221" s="4" t="s">
        <v>655</v>
      </c>
      <c r="F221" s="4" t="s">
        <v>692</v>
      </c>
      <c r="G221" s="4" t="s">
        <v>705</v>
      </c>
      <c r="H221" s="4" t="s">
        <v>707</v>
      </c>
      <c r="I221" s="4" t="s">
        <v>723</v>
      </c>
      <c r="J221" s="4" t="s">
        <v>728</v>
      </c>
      <c r="K221" s="4" t="s">
        <v>953</v>
      </c>
      <c r="L221">
        <v>386.96</v>
      </c>
      <c r="M221">
        <v>937.46</v>
      </c>
      <c r="N221">
        <v>0.26600000000000001</v>
      </c>
      <c r="O221">
        <v>41</v>
      </c>
    </row>
    <row r="222" spans="1:15" x14ac:dyDescent="0.25">
      <c r="A222" t="s">
        <v>234</v>
      </c>
      <c r="B222" s="2">
        <v>45894</v>
      </c>
      <c r="C222" s="2">
        <v>45924</v>
      </c>
      <c r="D222" s="4" t="s">
        <v>646</v>
      </c>
      <c r="E222" s="4" t="s">
        <v>650</v>
      </c>
      <c r="F222" s="4" t="s">
        <v>664</v>
      </c>
      <c r="G222" s="4" t="s">
        <v>704</v>
      </c>
      <c r="H222" s="4" t="s">
        <v>711</v>
      </c>
      <c r="I222" s="4" t="s">
        <v>717</v>
      </c>
      <c r="J222" s="4" t="s">
        <v>727</v>
      </c>
      <c r="K222" s="4" t="s">
        <v>954</v>
      </c>
      <c r="L222">
        <v>589.14</v>
      </c>
      <c r="M222">
        <v>1300.58</v>
      </c>
      <c r="N222">
        <v>5.5E-2</v>
      </c>
      <c r="O222">
        <v>11</v>
      </c>
    </row>
    <row r="223" spans="1:15" x14ac:dyDescent="0.25">
      <c r="A223" t="s">
        <v>235</v>
      </c>
      <c r="B223" s="2">
        <v>45194</v>
      </c>
      <c r="C223" s="2">
        <v>45201</v>
      </c>
      <c r="D223" s="4" t="s">
        <v>648</v>
      </c>
      <c r="E223" s="4" t="s">
        <v>660</v>
      </c>
      <c r="F223" s="4" t="s">
        <v>700</v>
      </c>
      <c r="G223" s="4" t="s">
        <v>702</v>
      </c>
      <c r="H223" s="4" t="s">
        <v>709</v>
      </c>
      <c r="I223" s="4" t="s">
        <v>714</v>
      </c>
      <c r="J223" s="4" t="s">
        <v>733</v>
      </c>
      <c r="K223" s="4" t="s">
        <v>955</v>
      </c>
      <c r="L223">
        <v>145.58000000000001</v>
      </c>
      <c r="M223">
        <v>228.15</v>
      </c>
      <c r="N223">
        <v>0.20399999999999999</v>
      </c>
      <c r="O223">
        <v>5</v>
      </c>
    </row>
    <row r="224" spans="1:15" x14ac:dyDescent="0.25">
      <c r="A224" t="s">
        <v>236</v>
      </c>
      <c r="B224" s="2">
        <v>45164</v>
      </c>
      <c r="C224" s="2">
        <v>45179</v>
      </c>
      <c r="D224" s="4" t="s">
        <v>646</v>
      </c>
      <c r="E224" s="4" t="s">
        <v>661</v>
      </c>
      <c r="F224" s="4" t="s">
        <v>695</v>
      </c>
      <c r="G224" s="4" t="s">
        <v>703</v>
      </c>
      <c r="H224" s="4" t="s">
        <v>711</v>
      </c>
      <c r="I224" s="4" t="s">
        <v>725</v>
      </c>
      <c r="J224" s="4" t="s">
        <v>727</v>
      </c>
      <c r="K224" s="4" t="s">
        <v>956</v>
      </c>
      <c r="L224">
        <v>241.14</v>
      </c>
      <c r="M224">
        <v>496.52</v>
      </c>
      <c r="N224">
        <v>9.2999999999999999E-2</v>
      </c>
      <c r="O224">
        <v>10</v>
      </c>
    </row>
    <row r="225" spans="1:15" x14ac:dyDescent="0.25">
      <c r="A225" t="s">
        <v>237</v>
      </c>
      <c r="B225" s="2">
        <v>45854</v>
      </c>
      <c r="C225" s="2">
        <v>45855</v>
      </c>
      <c r="D225" s="4" t="s">
        <v>646</v>
      </c>
      <c r="E225" s="4" t="s">
        <v>661</v>
      </c>
      <c r="F225" s="4" t="s">
        <v>687</v>
      </c>
      <c r="G225" s="4" t="s">
        <v>705</v>
      </c>
      <c r="H225" s="4" t="s">
        <v>710</v>
      </c>
      <c r="I225" s="4" t="s">
        <v>717</v>
      </c>
      <c r="J225" s="4" t="s">
        <v>729</v>
      </c>
      <c r="K225" s="4" t="s">
        <v>957</v>
      </c>
      <c r="L225">
        <v>1198.9000000000001</v>
      </c>
      <c r="M225">
        <v>2941.2</v>
      </c>
      <c r="N225">
        <v>5.0999999999999997E-2</v>
      </c>
      <c r="O225">
        <v>24</v>
      </c>
    </row>
    <row r="226" spans="1:15" x14ac:dyDescent="0.25">
      <c r="A226" t="s">
        <v>238</v>
      </c>
      <c r="B226" s="2">
        <v>45035</v>
      </c>
      <c r="C226" s="2">
        <v>45053</v>
      </c>
      <c r="D226" s="4" t="s">
        <v>649</v>
      </c>
      <c r="E226" s="4" t="s">
        <v>658</v>
      </c>
      <c r="F226" s="4" t="s">
        <v>674</v>
      </c>
      <c r="G226" s="4" t="s">
        <v>706</v>
      </c>
      <c r="H226" s="4" t="s">
        <v>707</v>
      </c>
      <c r="I226" s="4" t="s">
        <v>725</v>
      </c>
      <c r="J226" s="4" t="s">
        <v>731</v>
      </c>
      <c r="K226" s="4" t="s">
        <v>958</v>
      </c>
      <c r="L226">
        <v>1089.1500000000001</v>
      </c>
      <c r="M226">
        <v>1088.2</v>
      </c>
      <c r="N226">
        <v>5.0999999999999997E-2</v>
      </c>
      <c r="O226">
        <v>15</v>
      </c>
    </row>
    <row r="227" spans="1:15" x14ac:dyDescent="0.25">
      <c r="A227" t="s">
        <v>239</v>
      </c>
      <c r="B227" s="2">
        <v>45279</v>
      </c>
      <c r="C227" s="2">
        <v>45280</v>
      </c>
      <c r="D227" s="4" t="s">
        <v>648</v>
      </c>
      <c r="E227" s="4" t="s">
        <v>655</v>
      </c>
      <c r="F227" s="4" t="s">
        <v>692</v>
      </c>
      <c r="G227" s="4" t="s">
        <v>704</v>
      </c>
      <c r="H227" s="4" t="s">
        <v>710</v>
      </c>
      <c r="I227" s="4" t="s">
        <v>713</v>
      </c>
      <c r="J227" s="4" t="s">
        <v>730</v>
      </c>
      <c r="K227" s="4" t="s">
        <v>959</v>
      </c>
      <c r="L227">
        <v>1080.43</v>
      </c>
      <c r="M227">
        <v>2529.15</v>
      </c>
      <c r="N227">
        <v>0.14699999999999999</v>
      </c>
      <c r="O227">
        <v>10</v>
      </c>
    </row>
    <row r="228" spans="1:15" x14ac:dyDescent="0.25">
      <c r="A228" t="s">
        <v>240</v>
      </c>
      <c r="B228" s="2">
        <v>45137</v>
      </c>
      <c r="C228" s="2">
        <v>45145</v>
      </c>
      <c r="D228" s="4" t="s">
        <v>647</v>
      </c>
      <c r="E228" s="4" t="s">
        <v>652</v>
      </c>
      <c r="F228" s="4" t="s">
        <v>694</v>
      </c>
      <c r="G228" s="4" t="s">
        <v>702</v>
      </c>
      <c r="H228" s="4" t="s">
        <v>709</v>
      </c>
      <c r="I228" s="4" t="s">
        <v>720</v>
      </c>
      <c r="J228" s="4" t="s">
        <v>729</v>
      </c>
      <c r="K228" s="4" t="s">
        <v>960</v>
      </c>
      <c r="L228">
        <v>1352.44</v>
      </c>
      <c r="M228">
        <v>2698.01</v>
      </c>
      <c r="N228">
        <v>0.13100000000000001</v>
      </c>
      <c r="O228">
        <v>13</v>
      </c>
    </row>
    <row r="229" spans="1:15" x14ac:dyDescent="0.25">
      <c r="A229" t="s">
        <v>241</v>
      </c>
      <c r="B229" s="2">
        <v>45203</v>
      </c>
      <c r="C229" s="2">
        <v>45228</v>
      </c>
      <c r="D229" s="4" t="s">
        <v>648</v>
      </c>
      <c r="E229" s="4" t="s">
        <v>660</v>
      </c>
      <c r="F229" s="4" t="s">
        <v>686</v>
      </c>
      <c r="G229" s="4" t="s">
        <v>705</v>
      </c>
      <c r="H229" s="4" t="s">
        <v>710</v>
      </c>
      <c r="I229" s="4" t="s">
        <v>719</v>
      </c>
      <c r="J229" s="4" t="s">
        <v>733</v>
      </c>
      <c r="K229" s="4" t="s">
        <v>961</v>
      </c>
      <c r="L229">
        <v>1239.8399999999999</v>
      </c>
      <c r="M229">
        <v>1482.75</v>
      </c>
      <c r="N229">
        <v>6.7000000000000004E-2</v>
      </c>
      <c r="O229">
        <v>4</v>
      </c>
    </row>
    <row r="230" spans="1:15" x14ac:dyDescent="0.25">
      <c r="A230" t="s">
        <v>242</v>
      </c>
      <c r="B230" s="2">
        <v>45879</v>
      </c>
      <c r="C230" s="2">
        <v>45899</v>
      </c>
      <c r="D230" s="4" t="s">
        <v>648</v>
      </c>
      <c r="E230" s="4" t="s">
        <v>660</v>
      </c>
      <c r="F230" s="4" t="s">
        <v>686</v>
      </c>
      <c r="G230" s="4" t="s">
        <v>701</v>
      </c>
      <c r="H230" s="4" t="s">
        <v>709</v>
      </c>
      <c r="I230" s="4" t="s">
        <v>723</v>
      </c>
      <c r="J230" s="4" t="s">
        <v>728</v>
      </c>
      <c r="K230" s="4" t="s">
        <v>962</v>
      </c>
      <c r="L230">
        <v>933.29</v>
      </c>
      <c r="M230">
        <v>1456.81</v>
      </c>
      <c r="N230">
        <v>0.123</v>
      </c>
      <c r="O230">
        <v>13</v>
      </c>
    </row>
    <row r="231" spans="1:15" x14ac:dyDescent="0.25">
      <c r="A231" t="s">
        <v>243</v>
      </c>
      <c r="B231" s="2">
        <v>44992</v>
      </c>
      <c r="C231" s="2">
        <v>45017</v>
      </c>
      <c r="D231" s="4" t="s">
        <v>646</v>
      </c>
      <c r="E231" s="4" t="s">
        <v>650</v>
      </c>
      <c r="F231" s="4" t="s">
        <v>664</v>
      </c>
      <c r="G231" s="4" t="s">
        <v>704</v>
      </c>
      <c r="H231" s="4" t="s">
        <v>709</v>
      </c>
      <c r="I231" s="4" t="s">
        <v>726</v>
      </c>
      <c r="J231" s="4" t="s">
        <v>728</v>
      </c>
      <c r="K231" s="4" t="s">
        <v>963</v>
      </c>
      <c r="L231">
        <v>1024.0999999999999</v>
      </c>
      <c r="M231">
        <v>918.19</v>
      </c>
      <c r="N231">
        <v>0.189</v>
      </c>
      <c r="O231">
        <v>10</v>
      </c>
    </row>
    <row r="232" spans="1:15" x14ac:dyDescent="0.25">
      <c r="A232" t="s">
        <v>244</v>
      </c>
      <c r="B232" s="2">
        <v>45069</v>
      </c>
      <c r="C232" s="2">
        <v>45087</v>
      </c>
      <c r="D232" s="4" t="s">
        <v>647</v>
      </c>
      <c r="E232" s="4" t="s">
        <v>659</v>
      </c>
      <c r="F232" s="4" t="s">
        <v>685</v>
      </c>
      <c r="G232" s="4" t="s">
        <v>701</v>
      </c>
      <c r="H232" s="4" t="s">
        <v>710</v>
      </c>
      <c r="I232" s="4" t="s">
        <v>718</v>
      </c>
      <c r="J232" s="4" t="s">
        <v>727</v>
      </c>
      <c r="K232" s="4" t="s">
        <v>964</v>
      </c>
      <c r="L232">
        <v>54.62</v>
      </c>
      <c r="M232">
        <v>48.94</v>
      </c>
      <c r="N232">
        <v>0.14799999999999999</v>
      </c>
      <c r="O232">
        <v>16</v>
      </c>
    </row>
    <row r="233" spans="1:15" x14ac:dyDescent="0.25">
      <c r="A233" t="s">
        <v>245</v>
      </c>
      <c r="B233" s="2">
        <v>45771</v>
      </c>
      <c r="C233" s="2">
        <v>45783</v>
      </c>
      <c r="D233" s="4" t="s">
        <v>648</v>
      </c>
      <c r="E233" s="4" t="s">
        <v>655</v>
      </c>
      <c r="F233" s="4" t="s">
        <v>672</v>
      </c>
      <c r="G233" s="4" t="s">
        <v>704</v>
      </c>
      <c r="H233" s="4" t="s">
        <v>708</v>
      </c>
      <c r="I233" s="4" t="s">
        <v>712</v>
      </c>
      <c r="J233" s="4" t="s">
        <v>730</v>
      </c>
      <c r="K233" s="4" t="s">
        <v>965</v>
      </c>
      <c r="L233">
        <v>394.13</v>
      </c>
      <c r="M233">
        <v>932.29</v>
      </c>
      <c r="N233">
        <v>0.109</v>
      </c>
      <c r="O233">
        <v>7</v>
      </c>
    </row>
    <row r="234" spans="1:15" x14ac:dyDescent="0.25">
      <c r="A234" t="s">
        <v>246</v>
      </c>
      <c r="B234" s="2">
        <v>45538</v>
      </c>
      <c r="C234" s="2">
        <v>45543</v>
      </c>
      <c r="D234" s="4" t="s">
        <v>646</v>
      </c>
      <c r="E234" s="4" t="s">
        <v>651</v>
      </c>
      <c r="F234" s="4" t="s">
        <v>665</v>
      </c>
      <c r="G234" s="4" t="s">
        <v>705</v>
      </c>
      <c r="H234" s="4" t="s">
        <v>711</v>
      </c>
      <c r="I234" s="4" t="s">
        <v>723</v>
      </c>
      <c r="J234" s="4" t="s">
        <v>728</v>
      </c>
      <c r="K234" s="4" t="s">
        <v>966</v>
      </c>
      <c r="L234">
        <v>197.63</v>
      </c>
      <c r="M234">
        <v>325.79000000000002</v>
      </c>
      <c r="N234">
        <v>0.11600000000000001</v>
      </c>
      <c r="O234">
        <v>10</v>
      </c>
    </row>
    <row r="235" spans="1:15" x14ac:dyDescent="0.25">
      <c r="A235" t="s">
        <v>247</v>
      </c>
      <c r="B235" s="2">
        <v>45540</v>
      </c>
      <c r="C235" s="2">
        <v>45560</v>
      </c>
      <c r="D235" s="4" t="s">
        <v>647</v>
      </c>
      <c r="E235" s="4" t="s">
        <v>652</v>
      </c>
      <c r="F235" s="4" t="s">
        <v>666</v>
      </c>
      <c r="G235" s="4" t="s">
        <v>706</v>
      </c>
      <c r="H235" s="4" t="s">
        <v>710</v>
      </c>
      <c r="I235" s="4" t="s">
        <v>726</v>
      </c>
      <c r="J235" s="4" t="s">
        <v>732</v>
      </c>
      <c r="K235" s="4" t="s">
        <v>967</v>
      </c>
      <c r="L235">
        <v>195.54</v>
      </c>
      <c r="M235">
        <v>405.97</v>
      </c>
      <c r="N235">
        <v>0.187</v>
      </c>
      <c r="O235">
        <v>16</v>
      </c>
    </row>
    <row r="236" spans="1:15" x14ac:dyDescent="0.25">
      <c r="A236" t="s">
        <v>248</v>
      </c>
      <c r="B236" s="2">
        <v>44999</v>
      </c>
      <c r="C236" s="2">
        <v>45015</v>
      </c>
      <c r="D236" s="4" t="s">
        <v>646</v>
      </c>
      <c r="E236" s="4" t="s">
        <v>661</v>
      </c>
      <c r="F236" s="4" t="s">
        <v>695</v>
      </c>
      <c r="G236" s="4" t="s">
        <v>704</v>
      </c>
      <c r="H236" s="4" t="s">
        <v>710</v>
      </c>
      <c r="I236" s="4" t="s">
        <v>723</v>
      </c>
      <c r="J236" s="4" t="s">
        <v>727</v>
      </c>
      <c r="K236" s="4" t="s">
        <v>968</v>
      </c>
      <c r="L236">
        <v>1309.77</v>
      </c>
      <c r="M236">
        <v>1589.07</v>
      </c>
      <c r="N236">
        <v>0.10199999999999999</v>
      </c>
      <c r="O236">
        <v>10</v>
      </c>
    </row>
    <row r="237" spans="1:15" x14ac:dyDescent="0.25">
      <c r="A237" t="s">
        <v>249</v>
      </c>
      <c r="B237" s="2">
        <v>45302</v>
      </c>
      <c r="C237" s="2">
        <v>45324</v>
      </c>
      <c r="D237" s="4" t="s">
        <v>647</v>
      </c>
      <c r="E237" s="4" t="s">
        <v>652</v>
      </c>
      <c r="F237" s="4" t="s">
        <v>694</v>
      </c>
      <c r="G237" s="4" t="s">
        <v>705</v>
      </c>
      <c r="H237" s="4" t="s">
        <v>708</v>
      </c>
      <c r="J237" s="4" t="s">
        <v>728</v>
      </c>
      <c r="K237" s="4" t="s">
        <v>969</v>
      </c>
      <c r="L237">
        <v>1237.68</v>
      </c>
      <c r="M237">
        <v>1432.8</v>
      </c>
      <c r="N237">
        <v>6.8000000000000005E-2</v>
      </c>
      <c r="O237">
        <v>13</v>
      </c>
    </row>
    <row r="238" spans="1:15" x14ac:dyDescent="0.25">
      <c r="A238" t="s">
        <v>250</v>
      </c>
      <c r="B238" s="2">
        <v>45548</v>
      </c>
      <c r="C238" s="2">
        <v>45567</v>
      </c>
      <c r="D238" s="4" t="s">
        <v>646</v>
      </c>
      <c r="E238" s="4" t="s">
        <v>650</v>
      </c>
      <c r="F238" s="4" t="s">
        <v>675</v>
      </c>
      <c r="G238" s="4" t="s">
        <v>705</v>
      </c>
      <c r="H238" s="4" t="s">
        <v>707</v>
      </c>
      <c r="I238" s="4" t="s">
        <v>724</v>
      </c>
      <c r="J238" s="4" t="s">
        <v>730</v>
      </c>
      <c r="K238" s="4" t="s">
        <v>970</v>
      </c>
      <c r="L238">
        <v>1338.99</v>
      </c>
      <c r="M238">
        <v>1765.76</v>
      </c>
      <c r="N238">
        <v>0.126</v>
      </c>
      <c r="O238">
        <v>24</v>
      </c>
    </row>
    <row r="239" spans="1:15" x14ac:dyDescent="0.25">
      <c r="A239" t="s">
        <v>251</v>
      </c>
      <c r="B239" s="2">
        <v>45855</v>
      </c>
      <c r="C239" s="2">
        <v>45861</v>
      </c>
      <c r="D239" s="4" t="s">
        <v>648</v>
      </c>
      <c r="E239" s="4" t="s">
        <v>653</v>
      </c>
      <c r="F239" s="4" t="s">
        <v>688</v>
      </c>
      <c r="G239" s="4" t="s">
        <v>704</v>
      </c>
      <c r="H239" s="4" t="s">
        <v>708</v>
      </c>
      <c r="I239" s="4" t="s">
        <v>722</v>
      </c>
      <c r="J239" s="4" t="s">
        <v>727</v>
      </c>
      <c r="K239" s="4" t="s">
        <v>971</v>
      </c>
      <c r="L239">
        <v>1364.89</v>
      </c>
      <c r="M239">
        <v>2757.54</v>
      </c>
      <c r="N239">
        <v>0.17199999999999999</v>
      </c>
      <c r="O239">
        <v>61</v>
      </c>
    </row>
    <row r="240" spans="1:15" x14ac:dyDescent="0.25">
      <c r="A240" t="s">
        <v>252</v>
      </c>
      <c r="B240" s="2">
        <v>45258</v>
      </c>
      <c r="C240" s="2">
        <v>45267</v>
      </c>
      <c r="D240" s="4" t="s">
        <v>647</v>
      </c>
      <c r="E240" s="4" t="s">
        <v>654</v>
      </c>
      <c r="F240" s="4" t="s">
        <v>680</v>
      </c>
      <c r="G240" s="4" t="s">
        <v>706</v>
      </c>
      <c r="H240" s="4" t="s">
        <v>709</v>
      </c>
      <c r="I240" s="4" t="s">
        <v>716</v>
      </c>
      <c r="J240" s="4" t="s">
        <v>730</v>
      </c>
      <c r="K240" s="4" t="s">
        <v>972</v>
      </c>
      <c r="L240">
        <v>699.33</v>
      </c>
      <c r="M240">
        <v>873.75</v>
      </c>
      <c r="N240">
        <v>0.23499999999999999</v>
      </c>
      <c r="O240">
        <v>10</v>
      </c>
    </row>
    <row r="241" spans="1:15" x14ac:dyDescent="0.25">
      <c r="A241" t="s">
        <v>253</v>
      </c>
      <c r="B241" s="2">
        <v>45381</v>
      </c>
      <c r="C241" s="2">
        <v>45406</v>
      </c>
      <c r="D241" s="4" t="s">
        <v>648</v>
      </c>
      <c r="E241" s="4" t="s">
        <v>660</v>
      </c>
      <c r="F241" s="4" t="s">
        <v>697</v>
      </c>
      <c r="G241" s="4" t="s">
        <v>703</v>
      </c>
      <c r="H241" s="4" t="s">
        <v>708</v>
      </c>
      <c r="I241" s="4" t="s">
        <v>715</v>
      </c>
      <c r="J241" s="4" t="s">
        <v>731</v>
      </c>
      <c r="K241" s="4" t="s">
        <v>973</v>
      </c>
      <c r="L241">
        <v>160.82</v>
      </c>
      <c r="M241">
        <v>258.52</v>
      </c>
      <c r="N241">
        <v>0.13</v>
      </c>
      <c r="O241">
        <v>17</v>
      </c>
    </row>
    <row r="242" spans="1:15" x14ac:dyDescent="0.25">
      <c r="A242" t="s">
        <v>254</v>
      </c>
      <c r="B242" s="2">
        <v>45188</v>
      </c>
      <c r="C242" s="2">
        <v>45207</v>
      </c>
      <c r="D242" s="4" t="s">
        <v>647</v>
      </c>
      <c r="E242" s="4" t="s">
        <v>654</v>
      </c>
      <c r="F242" s="4" t="s">
        <v>668</v>
      </c>
      <c r="G242" s="4" t="s">
        <v>702</v>
      </c>
      <c r="H242" s="4" t="s">
        <v>711</v>
      </c>
      <c r="I242" s="4" t="s">
        <v>713</v>
      </c>
      <c r="J242" s="4" t="s">
        <v>728</v>
      </c>
      <c r="K242" s="4" t="s">
        <v>974</v>
      </c>
      <c r="L242">
        <v>385.32</v>
      </c>
      <c r="M242">
        <v>606.76</v>
      </c>
      <c r="N242">
        <v>8.5999999999999993E-2</v>
      </c>
      <c r="O242">
        <v>8</v>
      </c>
    </row>
    <row r="243" spans="1:15" x14ac:dyDescent="0.25">
      <c r="A243" t="s">
        <v>255</v>
      </c>
      <c r="B243" s="2">
        <v>45793</v>
      </c>
      <c r="C243" s="2">
        <v>45804</v>
      </c>
      <c r="D243" s="4" t="s">
        <v>647</v>
      </c>
      <c r="E243" s="4" t="s">
        <v>659</v>
      </c>
      <c r="F243" s="4" t="s">
        <v>699</v>
      </c>
      <c r="G243" s="4" t="s">
        <v>706</v>
      </c>
      <c r="H243" s="4" t="s">
        <v>708</v>
      </c>
      <c r="I243" s="4" t="s">
        <v>721</v>
      </c>
      <c r="J243" s="4" t="s">
        <v>730</v>
      </c>
      <c r="K243" s="4" t="s">
        <v>975</v>
      </c>
      <c r="L243">
        <v>918.12</v>
      </c>
      <c r="M243">
        <v>1337.69</v>
      </c>
      <c r="N243">
        <v>9.5000000000000001E-2</v>
      </c>
      <c r="O243">
        <v>8</v>
      </c>
    </row>
    <row r="244" spans="1:15" x14ac:dyDescent="0.25">
      <c r="A244" t="s">
        <v>256</v>
      </c>
      <c r="B244" s="2">
        <v>45871</v>
      </c>
      <c r="C244" s="2">
        <v>45877</v>
      </c>
      <c r="D244" s="4" t="s">
        <v>647</v>
      </c>
      <c r="E244" s="4" t="s">
        <v>652</v>
      </c>
      <c r="F244" s="4" t="s">
        <v>666</v>
      </c>
      <c r="G244" s="4" t="s">
        <v>704</v>
      </c>
      <c r="H244" s="4" t="s">
        <v>711</v>
      </c>
      <c r="I244" s="4" t="s">
        <v>725</v>
      </c>
      <c r="J244" s="4" t="s">
        <v>731</v>
      </c>
      <c r="K244" s="4" t="s">
        <v>976</v>
      </c>
      <c r="L244">
        <v>1225.94</v>
      </c>
      <c r="M244">
        <v>1793.08</v>
      </c>
      <c r="N244">
        <v>0.13600000000000001</v>
      </c>
      <c r="O244">
        <v>22</v>
      </c>
    </row>
    <row r="245" spans="1:15" x14ac:dyDescent="0.25">
      <c r="A245" t="s">
        <v>257</v>
      </c>
      <c r="B245" s="2">
        <v>45630</v>
      </c>
      <c r="C245" s="2">
        <v>45638</v>
      </c>
      <c r="D245" s="4" t="s">
        <v>649</v>
      </c>
      <c r="E245" s="4" t="s">
        <v>656</v>
      </c>
      <c r="F245" s="4" t="s">
        <v>698</v>
      </c>
      <c r="G245" s="4" t="s">
        <v>706</v>
      </c>
      <c r="H245" s="4" t="s">
        <v>709</v>
      </c>
      <c r="I245" s="4" t="s">
        <v>717</v>
      </c>
      <c r="J245" s="4" t="s">
        <v>728</v>
      </c>
      <c r="K245" s="4" t="s">
        <v>977</v>
      </c>
      <c r="L245">
        <v>72.06</v>
      </c>
      <c r="M245">
        <v>122.74</v>
      </c>
      <c r="N245">
        <v>0.23799999999999999</v>
      </c>
      <c r="O245">
        <v>8</v>
      </c>
    </row>
    <row r="246" spans="1:15" x14ac:dyDescent="0.25">
      <c r="A246" t="s">
        <v>258</v>
      </c>
      <c r="B246" s="2">
        <v>45035</v>
      </c>
      <c r="C246" s="2">
        <v>45044</v>
      </c>
      <c r="D246" s="4" t="s">
        <v>648</v>
      </c>
      <c r="E246" s="4" t="s">
        <v>655</v>
      </c>
      <c r="F246" s="4" t="s">
        <v>692</v>
      </c>
      <c r="G246" s="4" t="s">
        <v>701</v>
      </c>
      <c r="H246" s="4" t="s">
        <v>710</v>
      </c>
      <c r="I246" s="4" t="s">
        <v>724</v>
      </c>
      <c r="J246" s="4" t="s">
        <v>730</v>
      </c>
      <c r="K246" s="4" t="s">
        <v>978</v>
      </c>
      <c r="L246">
        <v>1013.54</v>
      </c>
      <c r="M246">
        <v>927.93</v>
      </c>
      <c r="N246">
        <v>0.17499999999999999</v>
      </c>
      <c r="O246">
        <v>16</v>
      </c>
    </row>
    <row r="247" spans="1:15" x14ac:dyDescent="0.25">
      <c r="A247" t="s">
        <v>259</v>
      </c>
      <c r="B247" s="2">
        <v>45357</v>
      </c>
      <c r="C247" s="2">
        <v>45377</v>
      </c>
      <c r="D247" s="4" t="s">
        <v>646</v>
      </c>
      <c r="E247" s="4" t="s">
        <v>651</v>
      </c>
      <c r="F247" s="4" t="s">
        <v>663</v>
      </c>
      <c r="G247" s="4" t="s">
        <v>704</v>
      </c>
      <c r="H247" s="4" t="s">
        <v>709</v>
      </c>
      <c r="I247" s="4" t="s">
        <v>714</v>
      </c>
      <c r="J247" s="4" t="s">
        <v>730</v>
      </c>
      <c r="K247" s="4" t="s">
        <v>979</v>
      </c>
      <c r="L247">
        <v>65.64</v>
      </c>
      <c r="M247">
        <v>151.88</v>
      </c>
      <c r="N247">
        <v>0.16700000000000001</v>
      </c>
      <c r="O247">
        <v>23</v>
      </c>
    </row>
    <row r="248" spans="1:15" x14ac:dyDescent="0.25">
      <c r="A248" t="s">
        <v>260</v>
      </c>
      <c r="B248" s="2">
        <v>45338</v>
      </c>
      <c r="C248" s="2">
        <v>45355</v>
      </c>
      <c r="D248" s="4" t="s">
        <v>648</v>
      </c>
      <c r="E248" s="4" t="s">
        <v>653</v>
      </c>
      <c r="F248" s="4" t="s">
        <v>681</v>
      </c>
      <c r="G248" s="4" t="s">
        <v>703</v>
      </c>
      <c r="H248" s="4" t="s">
        <v>707</v>
      </c>
      <c r="I248" s="4" t="s">
        <v>726</v>
      </c>
      <c r="J248" s="4" t="s">
        <v>731</v>
      </c>
      <c r="K248" s="4" t="s">
        <v>980</v>
      </c>
      <c r="L248">
        <v>1350.98</v>
      </c>
      <c r="M248">
        <v>2210.4</v>
      </c>
      <c r="N248">
        <v>0.26300000000000001</v>
      </c>
      <c r="O248">
        <v>6</v>
      </c>
    </row>
    <row r="249" spans="1:15" x14ac:dyDescent="0.25">
      <c r="A249" t="s">
        <v>261</v>
      </c>
      <c r="B249" s="2">
        <v>45769</v>
      </c>
      <c r="C249" s="2">
        <v>45779</v>
      </c>
      <c r="D249" s="4" t="s">
        <v>649</v>
      </c>
      <c r="E249" s="4" t="s">
        <v>656</v>
      </c>
      <c r="F249" s="4" t="s">
        <v>671</v>
      </c>
      <c r="G249" s="4" t="s">
        <v>701</v>
      </c>
      <c r="H249" s="4" t="s">
        <v>709</v>
      </c>
      <c r="I249" s="4" t="s">
        <v>712</v>
      </c>
      <c r="J249" s="4" t="s">
        <v>732</v>
      </c>
      <c r="K249" s="4" t="s">
        <v>981</v>
      </c>
      <c r="L249">
        <v>20.149999999999999</v>
      </c>
      <c r="M249">
        <v>39.74</v>
      </c>
      <c r="N249">
        <v>0.151</v>
      </c>
      <c r="O249">
        <v>18</v>
      </c>
    </row>
    <row r="250" spans="1:15" x14ac:dyDescent="0.25">
      <c r="A250" t="s">
        <v>262</v>
      </c>
      <c r="B250" s="2">
        <v>45604</v>
      </c>
      <c r="C250" s="2">
        <v>45604</v>
      </c>
      <c r="D250" s="4" t="s">
        <v>646</v>
      </c>
      <c r="E250" s="4" t="s">
        <v>650</v>
      </c>
      <c r="F250" s="4" t="s">
        <v>678</v>
      </c>
      <c r="G250" s="4" t="s">
        <v>706</v>
      </c>
      <c r="H250" s="4" t="s">
        <v>709</v>
      </c>
      <c r="I250" s="4" t="s">
        <v>724</v>
      </c>
      <c r="J250" s="4" t="s">
        <v>729</v>
      </c>
      <c r="K250" s="4" t="s">
        <v>982</v>
      </c>
      <c r="L250">
        <v>803.28</v>
      </c>
      <c r="M250">
        <v>1009</v>
      </c>
      <c r="N250">
        <v>0.11</v>
      </c>
      <c r="O250">
        <v>4</v>
      </c>
    </row>
    <row r="251" spans="1:15" x14ac:dyDescent="0.25">
      <c r="A251" t="s">
        <v>263</v>
      </c>
      <c r="B251" s="2">
        <v>45912</v>
      </c>
      <c r="C251" s="2">
        <v>45930</v>
      </c>
      <c r="D251" s="4" t="s">
        <v>647</v>
      </c>
      <c r="E251" s="4" t="s">
        <v>652</v>
      </c>
      <c r="F251" s="4" t="s">
        <v>694</v>
      </c>
      <c r="G251" s="4" t="s">
        <v>703</v>
      </c>
      <c r="H251" s="4" t="s">
        <v>709</v>
      </c>
      <c r="I251" s="4" t="s">
        <v>721</v>
      </c>
      <c r="J251" s="4" t="s">
        <v>732</v>
      </c>
      <c r="K251" s="4" t="s">
        <v>983</v>
      </c>
      <c r="L251">
        <v>1212.99</v>
      </c>
      <c r="M251">
        <v>1653.64</v>
      </c>
      <c r="N251">
        <v>0.107</v>
      </c>
      <c r="O251">
        <v>8</v>
      </c>
    </row>
    <row r="252" spans="1:15" x14ac:dyDescent="0.25">
      <c r="A252" t="s">
        <v>264</v>
      </c>
      <c r="B252" s="2">
        <v>45537</v>
      </c>
      <c r="C252" s="2">
        <v>45543</v>
      </c>
      <c r="D252" s="4" t="s">
        <v>648</v>
      </c>
      <c r="E252" s="4" t="s">
        <v>660</v>
      </c>
      <c r="F252" s="4" t="s">
        <v>697</v>
      </c>
      <c r="G252" s="4" t="s">
        <v>704</v>
      </c>
      <c r="H252" s="4" t="s">
        <v>711</v>
      </c>
      <c r="I252" s="4" t="s">
        <v>722</v>
      </c>
      <c r="J252" s="4" t="s">
        <v>727</v>
      </c>
      <c r="K252" s="4" t="s">
        <v>984</v>
      </c>
      <c r="L252">
        <v>462.94</v>
      </c>
      <c r="M252">
        <v>1015.7</v>
      </c>
      <c r="N252">
        <v>0.14299999999999999</v>
      </c>
      <c r="O252">
        <v>14</v>
      </c>
    </row>
    <row r="253" spans="1:15" x14ac:dyDescent="0.25">
      <c r="A253" t="s">
        <v>265</v>
      </c>
      <c r="B253" s="2">
        <v>44989</v>
      </c>
      <c r="C253" s="2">
        <v>45009</v>
      </c>
      <c r="D253" s="4" t="s">
        <v>648</v>
      </c>
      <c r="E253" s="4" t="s">
        <v>653</v>
      </c>
      <c r="F253" s="4" t="s">
        <v>681</v>
      </c>
      <c r="G253" s="4" t="s">
        <v>704</v>
      </c>
      <c r="H253" s="4" t="s">
        <v>710</v>
      </c>
      <c r="I253" s="4" t="s">
        <v>714</v>
      </c>
      <c r="J253" s="4" t="s">
        <v>731</v>
      </c>
      <c r="K253" s="4" t="s">
        <v>985</v>
      </c>
      <c r="L253">
        <v>481.71</v>
      </c>
      <c r="M253">
        <v>912.45</v>
      </c>
      <c r="N253">
        <v>0.20300000000000001</v>
      </c>
      <c r="O253">
        <v>24</v>
      </c>
    </row>
    <row r="254" spans="1:15" x14ac:dyDescent="0.25">
      <c r="A254" t="s">
        <v>266</v>
      </c>
      <c r="B254" s="2">
        <v>45366</v>
      </c>
      <c r="C254" s="2">
        <v>45391</v>
      </c>
      <c r="D254" s="4" t="s">
        <v>648</v>
      </c>
      <c r="E254" s="4" t="s">
        <v>653</v>
      </c>
      <c r="F254" s="4" t="s">
        <v>688</v>
      </c>
      <c r="G254" s="4" t="s">
        <v>704</v>
      </c>
      <c r="H254" s="4" t="s">
        <v>708</v>
      </c>
      <c r="I254" s="4" t="s">
        <v>721</v>
      </c>
      <c r="J254" s="4" t="s">
        <v>732</v>
      </c>
      <c r="K254" s="4" t="s">
        <v>986</v>
      </c>
      <c r="L254">
        <v>648.64</v>
      </c>
      <c r="M254">
        <v>815.19</v>
      </c>
      <c r="N254">
        <v>0.22500000000000001</v>
      </c>
      <c r="O254">
        <v>28</v>
      </c>
    </row>
    <row r="255" spans="1:15" x14ac:dyDescent="0.25">
      <c r="A255" t="s">
        <v>267</v>
      </c>
      <c r="B255" s="2">
        <v>45502</v>
      </c>
      <c r="C255" s="2">
        <v>45504</v>
      </c>
      <c r="D255" s="4" t="s">
        <v>648</v>
      </c>
      <c r="E255" s="4" t="s">
        <v>660</v>
      </c>
      <c r="F255" s="4" t="s">
        <v>700</v>
      </c>
      <c r="G255" s="4" t="s">
        <v>702</v>
      </c>
      <c r="H255" s="4" t="s">
        <v>709</v>
      </c>
      <c r="I255" s="4" t="s">
        <v>714</v>
      </c>
      <c r="J255" s="4" t="s">
        <v>728</v>
      </c>
      <c r="K255" s="4" t="s">
        <v>987</v>
      </c>
      <c r="L255">
        <v>798.97</v>
      </c>
      <c r="M255">
        <v>1814.06</v>
      </c>
      <c r="N255">
        <v>0.122</v>
      </c>
      <c r="O255">
        <v>16</v>
      </c>
    </row>
    <row r="256" spans="1:15" x14ac:dyDescent="0.25">
      <c r="A256" t="s">
        <v>268</v>
      </c>
      <c r="B256" s="2">
        <v>45592</v>
      </c>
      <c r="C256" s="2">
        <v>45616</v>
      </c>
      <c r="D256" s="4" t="s">
        <v>647</v>
      </c>
      <c r="E256" s="4" t="s">
        <v>652</v>
      </c>
      <c r="F256" s="4" t="s">
        <v>694</v>
      </c>
      <c r="G256" s="4" t="s">
        <v>703</v>
      </c>
      <c r="H256" s="4" t="s">
        <v>708</v>
      </c>
      <c r="I256" s="4" t="s">
        <v>722</v>
      </c>
      <c r="J256" s="4" t="s">
        <v>732</v>
      </c>
      <c r="K256" s="4" t="s">
        <v>988</v>
      </c>
      <c r="L256">
        <v>317.25</v>
      </c>
      <c r="M256">
        <v>758.92</v>
      </c>
      <c r="N256">
        <v>5.2999999999999999E-2</v>
      </c>
      <c r="O256">
        <v>9</v>
      </c>
    </row>
    <row r="257" spans="1:15" x14ac:dyDescent="0.25">
      <c r="A257" t="s">
        <v>269</v>
      </c>
      <c r="B257" s="2">
        <v>45411</v>
      </c>
      <c r="C257" s="2">
        <v>45431</v>
      </c>
      <c r="D257" s="4" t="s">
        <v>649</v>
      </c>
      <c r="E257" s="4" t="s">
        <v>656</v>
      </c>
      <c r="F257" s="4" t="s">
        <v>698</v>
      </c>
      <c r="G257" s="4" t="s">
        <v>706</v>
      </c>
      <c r="H257" s="4" t="s">
        <v>709</v>
      </c>
      <c r="I257" s="4" t="s">
        <v>712</v>
      </c>
      <c r="J257" s="4" t="s">
        <v>731</v>
      </c>
      <c r="K257" s="4" t="s">
        <v>989</v>
      </c>
      <c r="L257">
        <v>668.97</v>
      </c>
      <c r="M257">
        <v>1667.44</v>
      </c>
      <c r="N257">
        <v>3.4000000000000002E-2</v>
      </c>
      <c r="O257">
        <v>15</v>
      </c>
    </row>
    <row r="258" spans="1:15" x14ac:dyDescent="0.25">
      <c r="A258" t="s">
        <v>270</v>
      </c>
      <c r="B258" s="2">
        <v>45204</v>
      </c>
      <c r="C258" s="2">
        <v>45205</v>
      </c>
      <c r="D258" s="4" t="s">
        <v>647</v>
      </c>
      <c r="E258" s="4" t="s">
        <v>654</v>
      </c>
      <c r="F258" s="4" t="s">
        <v>668</v>
      </c>
      <c r="G258" s="4" t="s">
        <v>703</v>
      </c>
      <c r="H258" s="4" t="s">
        <v>708</v>
      </c>
      <c r="I258" s="4" t="s">
        <v>714</v>
      </c>
      <c r="J258" s="4" t="s">
        <v>727</v>
      </c>
      <c r="K258" s="4" t="s">
        <v>990</v>
      </c>
      <c r="L258">
        <v>1470.26</v>
      </c>
      <c r="M258">
        <v>2562.5500000000002</v>
      </c>
      <c r="N258">
        <v>0.17299999999999999</v>
      </c>
      <c r="O258">
        <v>9</v>
      </c>
    </row>
    <row r="259" spans="1:15" x14ac:dyDescent="0.25">
      <c r="A259" t="s">
        <v>271</v>
      </c>
      <c r="B259" s="2">
        <v>45035</v>
      </c>
      <c r="C259" s="2">
        <v>45053</v>
      </c>
      <c r="D259" s="4" t="s">
        <v>649</v>
      </c>
      <c r="E259" s="4" t="s">
        <v>658</v>
      </c>
      <c r="F259" s="4" t="s">
        <v>683</v>
      </c>
      <c r="G259" s="4" t="s">
        <v>703</v>
      </c>
      <c r="H259" s="4" t="s">
        <v>711</v>
      </c>
      <c r="I259" s="4" t="s">
        <v>722</v>
      </c>
      <c r="J259" s="4" t="s">
        <v>729</v>
      </c>
      <c r="K259" s="4" t="s">
        <v>991</v>
      </c>
      <c r="L259">
        <v>516.96</v>
      </c>
      <c r="M259">
        <v>745.38</v>
      </c>
      <c r="N259">
        <v>0.19700000000000001</v>
      </c>
      <c r="O259">
        <v>4</v>
      </c>
    </row>
    <row r="260" spans="1:15" x14ac:dyDescent="0.25">
      <c r="A260" t="s">
        <v>272</v>
      </c>
      <c r="B260" s="2">
        <v>45835</v>
      </c>
      <c r="C260" s="2">
        <v>45843</v>
      </c>
      <c r="D260" s="4" t="s">
        <v>649</v>
      </c>
      <c r="E260" s="4" t="s">
        <v>656</v>
      </c>
      <c r="F260" s="4" t="s">
        <v>684</v>
      </c>
      <c r="G260" s="4" t="s">
        <v>705</v>
      </c>
      <c r="H260" s="4" t="s">
        <v>711</v>
      </c>
      <c r="I260" s="4" t="s">
        <v>715</v>
      </c>
      <c r="J260" s="4" t="s">
        <v>732</v>
      </c>
      <c r="K260" s="4" t="s">
        <v>992</v>
      </c>
      <c r="L260">
        <v>314.93</v>
      </c>
      <c r="M260">
        <v>687.95</v>
      </c>
      <c r="N260">
        <v>0.20499999999999999</v>
      </c>
      <c r="O260">
        <v>8</v>
      </c>
    </row>
    <row r="261" spans="1:15" x14ac:dyDescent="0.25">
      <c r="A261" t="s">
        <v>273</v>
      </c>
      <c r="B261" s="2">
        <v>45210</v>
      </c>
      <c r="C261" s="2">
        <v>45212</v>
      </c>
      <c r="D261" s="4" t="s">
        <v>648</v>
      </c>
      <c r="E261" s="4" t="s">
        <v>655</v>
      </c>
      <c r="F261" s="4" t="s">
        <v>672</v>
      </c>
      <c r="G261" s="4" t="s">
        <v>704</v>
      </c>
      <c r="H261" s="4" t="s">
        <v>710</v>
      </c>
      <c r="J261" s="4" t="s">
        <v>733</v>
      </c>
      <c r="K261" s="4" t="s">
        <v>993</v>
      </c>
      <c r="L261">
        <v>715.94</v>
      </c>
      <c r="M261">
        <v>550.07000000000005</v>
      </c>
      <c r="N261">
        <v>0.14000000000000001</v>
      </c>
      <c r="O261">
        <v>16</v>
      </c>
    </row>
    <row r="262" spans="1:15" x14ac:dyDescent="0.25">
      <c r="A262" t="s">
        <v>274</v>
      </c>
      <c r="B262" s="2">
        <v>45066</v>
      </c>
      <c r="C262" s="2">
        <v>45084</v>
      </c>
      <c r="D262" s="4" t="s">
        <v>646</v>
      </c>
      <c r="E262" s="4" t="s">
        <v>651</v>
      </c>
      <c r="F262" s="4" t="s">
        <v>663</v>
      </c>
      <c r="G262" s="4" t="s">
        <v>706</v>
      </c>
      <c r="H262" s="4" t="s">
        <v>710</v>
      </c>
      <c r="I262" s="4" t="s">
        <v>718</v>
      </c>
      <c r="J262" s="4" t="s">
        <v>727</v>
      </c>
      <c r="K262" s="4" t="s">
        <v>994</v>
      </c>
      <c r="L262">
        <v>1120.06</v>
      </c>
      <c r="M262">
        <v>2068.21</v>
      </c>
      <c r="N262">
        <v>7.8E-2</v>
      </c>
      <c r="O262">
        <v>12</v>
      </c>
    </row>
    <row r="263" spans="1:15" x14ac:dyDescent="0.25">
      <c r="A263" t="s">
        <v>275</v>
      </c>
      <c r="B263" s="2">
        <v>45073</v>
      </c>
      <c r="C263" s="2">
        <v>45096</v>
      </c>
      <c r="D263" s="4" t="s">
        <v>649</v>
      </c>
      <c r="E263" s="4" t="s">
        <v>656</v>
      </c>
      <c r="F263" s="4" t="s">
        <v>671</v>
      </c>
      <c r="G263" s="4" t="s">
        <v>702</v>
      </c>
      <c r="H263" s="4" t="s">
        <v>707</v>
      </c>
      <c r="I263" s="4" t="s">
        <v>719</v>
      </c>
      <c r="J263" s="4" t="s">
        <v>733</v>
      </c>
      <c r="K263" s="4" t="s">
        <v>995</v>
      </c>
      <c r="L263">
        <v>1471.58</v>
      </c>
      <c r="M263">
        <v>2576.65</v>
      </c>
      <c r="N263">
        <v>4.0000000000000001E-3</v>
      </c>
      <c r="O263">
        <v>7</v>
      </c>
    </row>
    <row r="264" spans="1:15" x14ac:dyDescent="0.25">
      <c r="A264" t="s">
        <v>276</v>
      </c>
      <c r="B264" s="2">
        <v>45142</v>
      </c>
      <c r="C264" s="2">
        <v>45162</v>
      </c>
      <c r="D264" s="4" t="s">
        <v>648</v>
      </c>
      <c r="E264" s="4" t="s">
        <v>655</v>
      </c>
      <c r="F264" s="4" t="s">
        <v>672</v>
      </c>
      <c r="G264" s="4" t="s">
        <v>703</v>
      </c>
      <c r="H264" s="4" t="s">
        <v>711</v>
      </c>
      <c r="J264" s="4" t="s">
        <v>729</v>
      </c>
      <c r="K264" s="4" t="s">
        <v>996</v>
      </c>
      <c r="L264">
        <v>582.88</v>
      </c>
      <c r="M264">
        <v>1044.1400000000001</v>
      </c>
      <c r="N264">
        <v>0.216</v>
      </c>
      <c r="O264">
        <v>10</v>
      </c>
    </row>
    <row r="265" spans="1:15" x14ac:dyDescent="0.25">
      <c r="A265" t="s">
        <v>277</v>
      </c>
      <c r="B265" s="2">
        <v>45829</v>
      </c>
      <c r="C265" s="2">
        <v>45835</v>
      </c>
      <c r="D265" s="4" t="s">
        <v>646</v>
      </c>
      <c r="E265" s="4" t="s">
        <v>661</v>
      </c>
      <c r="F265" s="4" t="s">
        <v>687</v>
      </c>
      <c r="G265" s="4" t="s">
        <v>706</v>
      </c>
      <c r="H265" s="4" t="s">
        <v>710</v>
      </c>
      <c r="I265" s="4" t="s">
        <v>725</v>
      </c>
      <c r="J265" s="4" t="s">
        <v>730</v>
      </c>
      <c r="K265" s="4" t="s">
        <v>997</v>
      </c>
      <c r="L265">
        <v>93.91</v>
      </c>
      <c r="M265">
        <v>99.04</v>
      </c>
      <c r="N265">
        <v>5.7000000000000002E-2</v>
      </c>
      <c r="O265">
        <v>6</v>
      </c>
    </row>
    <row r="266" spans="1:15" x14ac:dyDescent="0.25">
      <c r="A266" t="s">
        <v>278</v>
      </c>
      <c r="B266" s="2">
        <v>45763</v>
      </c>
      <c r="C266" s="2">
        <v>45773</v>
      </c>
      <c r="D266" s="4" t="s">
        <v>646</v>
      </c>
      <c r="E266" s="4" t="s">
        <v>651</v>
      </c>
      <c r="F266" s="4" t="s">
        <v>663</v>
      </c>
      <c r="G266" s="4" t="s">
        <v>706</v>
      </c>
      <c r="H266" s="4" t="s">
        <v>709</v>
      </c>
      <c r="I266" s="4" t="s">
        <v>721</v>
      </c>
      <c r="J266" s="4" t="s">
        <v>731</v>
      </c>
      <c r="K266" s="4" t="s">
        <v>998</v>
      </c>
      <c r="L266">
        <v>1457.44</v>
      </c>
      <c r="M266">
        <v>1996.81</v>
      </c>
      <c r="N266">
        <v>0.126</v>
      </c>
      <c r="O266">
        <v>23</v>
      </c>
    </row>
    <row r="267" spans="1:15" x14ac:dyDescent="0.25">
      <c r="A267" t="s">
        <v>279</v>
      </c>
      <c r="B267" s="2">
        <v>45902</v>
      </c>
      <c r="C267" s="2">
        <v>45911</v>
      </c>
      <c r="D267" s="4" t="s">
        <v>648</v>
      </c>
      <c r="E267" s="4" t="s">
        <v>653</v>
      </c>
      <c r="F267" s="4" t="s">
        <v>667</v>
      </c>
      <c r="G267" s="4" t="s">
        <v>701</v>
      </c>
      <c r="H267" s="4" t="s">
        <v>710</v>
      </c>
      <c r="I267" s="4" t="s">
        <v>724</v>
      </c>
      <c r="J267" s="4" t="s">
        <v>728</v>
      </c>
      <c r="K267" s="4" t="s">
        <v>999</v>
      </c>
      <c r="L267">
        <v>1207.6300000000001</v>
      </c>
      <c r="M267">
        <v>921.68</v>
      </c>
      <c r="N267">
        <v>0.19600000000000001</v>
      </c>
      <c r="O267">
        <v>17</v>
      </c>
    </row>
    <row r="268" spans="1:15" x14ac:dyDescent="0.25">
      <c r="A268" t="s">
        <v>280</v>
      </c>
      <c r="B268" s="2">
        <v>45573</v>
      </c>
      <c r="C268" s="2">
        <v>45573</v>
      </c>
      <c r="D268" s="4" t="s">
        <v>649</v>
      </c>
      <c r="E268" s="4" t="s">
        <v>658</v>
      </c>
      <c r="F268" s="4" t="s">
        <v>683</v>
      </c>
      <c r="G268" s="4" t="s">
        <v>701</v>
      </c>
      <c r="H268" s="4" t="s">
        <v>708</v>
      </c>
      <c r="I268" s="4" t="s">
        <v>718</v>
      </c>
      <c r="J268" s="4" t="s">
        <v>732</v>
      </c>
      <c r="K268" s="4" t="s">
        <v>1000</v>
      </c>
      <c r="L268">
        <v>1108.1099999999999</v>
      </c>
      <c r="M268">
        <v>2503.79</v>
      </c>
      <c r="N268">
        <v>0.184</v>
      </c>
      <c r="O268">
        <v>19</v>
      </c>
    </row>
    <row r="269" spans="1:15" x14ac:dyDescent="0.25">
      <c r="A269" t="s">
        <v>281</v>
      </c>
      <c r="B269" s="2">
        <v>45053</v>
      </c>
      <c r="C269" s="2">
        <v>45051</v>
      </c>
      <c r="D269" s="4" t="s">
        <v>646</v>
      </c>
      <c r="E269" s="4" t="s">
        <v>651</v>
      </c>
      <c r="F269" s="4" t="s">
        <v>663</v>
      </c>
      <c r="G269" s="4" t="s">
        <v>703</v>
      </c>
      <c r="H269" s="4" t="s">
        <v>709</v>
      </c>
      <c r="I269" s="4" t="s">
        <v>720</v>
      </c>
      <c r="J269" s="4" t="s">
        <v>727</v>
      </c>
      <c r="K269" s="4" t="s">
        <v>1001</v>
      </c>
      <c r="L269">
        <v>1269.6500000000001</v>
      </c>
      <c r="M269">
        <v>2462.77</v>
      </c>
      <c r="N269">
        <v>0.107</v>
      </c>
      <c r="O269">
        <v>8</v>
      </c>
    </row>
    <row r="270" spans="1:15" x14ac:dyDescent="0.25">
      <c r="A270" t="s">
        <v>282</v>
      </c>
      <c r="B270" s="2">
        <v>45284</v>
      </c>
      <c r="C270" s="2">
        <v>45292</v>
      </c>
      <c r="D270" s="4" t="s">
        <v>648</v>
      </c>
      <c r="E270" s="4" t="s">
        <v>655</v>
      </c>
      <c r="F270" s="4" t="s">
        <v>670</v>
      </c>
      <c r="G270" s="4" t="s">
        <v>702</v>
      </c>
      <c r="H270" s="4" t="s">
        <v>711</v>
      </c>
      <c r="I270" s="4" t="s">
        <v>712</v>
      </c>
      <c r="J270" s="4" t="s">
        <v>730</v>
      </c>
      <c r="K270" s="4" t="s">
        <v>1002</v>
      </c>
      <c r="L270">
        <v>526.49</v>
      </c>
      <c r="M270">
        <v>496.2</v>
      </c>
      <c r="N270">
        <v>0</v>
      </c>
      <c r="O270">
        <v>14</v>
      </c>
    </row>
    <row r="271" spans="1:15" x14ac:dyDescent="0.25">
      <c r="A271" t="s">
        <v>283</v>
      </c>
      <c r="B271" s="2">
        <v>45301</v>
      </c>
      <c r="C271" s="2">
        <v>45314</v>
      </c>
      <c r="D271" s="4" t="s">
        <v>649</v>
      </c>
      <c r="E271" s="4" t="s">
        <v>657</v>
      </c>
      <c r="F271" s="4" t="s">
        <v>673</v>
      </c>
      <c r="G271" s="4" t="s">
        <v>701</v>
      </c>
      <c r="H271" s="4" t="s">
        <v>711</v>
      </c>
      <c r="I271" s="4" t="s">
        <v>720</v>
      </c>
      <c r="J271" s="4" t="s">
        <v>728</v>
      </c>
      <c r="K271" s="4" t="s">
        <v>1003</v>
      </c>
      <c r="L271">
        <v>720</v>
      </c>
      <c r="M271">
        <v>907.59</v>
      </c>
      <c r="N271">
        <v>0.154</v>
      </c>
      <c r="O271">
        <v>10</v>
      </c>
    </row>
    <row r="272" spans="1:15" x14ac:dyDescent="0.25">
      <c r="A272" t="s">
        <v>284</v>
      </c>
      <c r="B272" s="2">
        <v>45141</v>
      </c>
      <c r="C272" s="2">
        <v>45152</v>
      </c>
      <c r="D272" s="4" t="s">
        <v>648</v>
      </c>
      <c r="E272" s="4" t="s">
        <v>655</v>
      </c>
      <c r="F272" s="4" t="s">
        <v>672</v>
      </c>
      <c r="G272" s="4" t="s">
        <v>701</v>
      </c>
      <c r="H272" s="4" t="s">
        <v>711</v>
      </c>
      <c r="I272" s="4" t="s">
        <v>713</v>
      </c>
      <c r="J272" s="4" t="s">
        <v>733</v>
      </c>
      <c r="K272" s="4" t="s">
        <v>1004</v>
      </c>
      <c r="L272">
        <v>232.73</v>
      </c>
      <c r="M272">
        <v>334.19</v>
      </c>
      <c r="N272">
        <v>0.13400000000000001</v>
      </c>
      <c r="O272">
        <v>25</v>
      </c>
    </row>
    <row r="273" spans="1:15" x14ac:dyDescent="0.25">
      <c r="A273" t="s">
        <v>285</v>
      </c>
      <c r="B273" s="2">
        <v>45707</v>
      </c>
      <c r="C273" s="2">
        <v>45725</v>
      </c>
      <c r="D273" s="4" t="s">
        <v>647</v>
      </c>
      <c r="E273" s="4" t="s">
        <v>654</v>
      </c>
      <c r="F273" s="4" t="s">
        <v>680</v>
      </c>
      <c r="G273" s="4" t="s">
        <v>705</v>
      </c>
      <c r="H273" s="4" t="s">
        <v>711</v>
      </c>
      <c r="I273" s="4" t="s">
        <v>719</v>
      </c>
      <c r="J273" s="4" t="s">
        <v>732</v>
      </c>
      <c r="K273" s="4" t="s">
        <v>1005</v>
      </c>
      <c r="L273">
        <v>325.87</v>
      </c>
      <c r="M273">
        <v>538.79</v>
      </c>
      <c r="N273">
        <v>0.17399999999999999</v>
      </c>
      <c r="O273">
        <v>16</v>
      </c>
    </row>
    <row r="274" spans="1:15" x14ac:dyDescent="0.25">
      <c r="A274" t="s">
        <v>286</v>
      </c>
      <c r="B274" s="2">
        <v>45382</v>
      </c>
      <c r="C274" s="2">
        <v>45399</v>
      </c>
      <c r="D274" s="4" t="s">
        <v>649</v>
      </c>
      <c r="E274" s="4" t="s">
        <v>656</v>
      </c>
      <c r="F274" s="4" t="s">
        <v>698</v>
      </c>
      <c r="G274" s="4" t="s">
        <v>702</v>
      </c>
      <c r="H274" s="4" t="s">
        <v>711</v>
      </c>
      <c r="I274" s="4" t="s">
        <v>722</v>
      </c>
      <c r="J274" s="4" t="s">
        <v>732</v>
      </c>
      <c r="K274" s="4" t="s">
        <v>1006</v>
      </c>
      <c r="L274">
        <v>1025.51</v>
      </c>
      <c r="M274">
        <v>1436.54</v>
      </c>
      <c r="N274">
        <v>0.13900000000000001</v>
      </c>
      <c r="O274">
        <v>28</v>
      </c>
    </row>
    <row r="275" spans="1:15" x14ac:dyDescent="0.25">
      <c r="A275" t="s">
        <v>287</v>
      </c>
      <c r="B275" s="2">
        <v>45131</v>
      </c>
      <c r="C275" s="2">
        <v>45151</v>
      </c>
      <c r="D275" s="4" t="s">
        <v>648</v>
      </c>
      <c r="E275" s="4" t="s">
        <v>653</v>
      </c>
      <c r="F275" s="4" t="s">
        <v>681</v>
      </c>
      <c r="G275" s="4" t="s">
        <v>702</v>
      </c>
      <c r="H275" s="4" t="s">
        <v>711</v>
      </c>
      <c r="I275" s="4" t="s">
        <v>712</v>
      </c>
      <c r="J275" s="4" t="s">
        <v>732</v>
      </c>
      <c r="K275" s="4" t="s">
        <v>1007</v>
      </c>
      <c r="L275">
        <v>1082.3800000000001</v>
      </c>
      <c r="M275">
        <v>1766.55</v>
      </c>
      <c r="N275">
        <v>0.16400000000000001</v>
      </c>
      <c r="O275">
        <v>20</v>
      </c>
    </row>
    <row r="276" spans="1:15" x14ac:dyDescent="0.25">
      <c r="A276" t="s">
        <v>288</v>
      </c>
      <c r="B276" s="2">
        <v>45367</v>
      </c>
      <c r="C276" s="2">
        <v>45395</v>
      </c>
      <c r="D276" s="4" t="s">
        <v>649</v>
      </c>
      <c r="E276" s="4" t="s">
        <v>657</v>
      </c>
      <c r="F276" s="4" t="s">
        <v>690</v>
      </c>
      <c r="G276" s="4" t="s">
        <v>705</v>
      </c>
      <c r="H276" s="4" t="s">
        <v>708</v>
      </c>
      <c r="I276" s="4" t="s">
        <v>723</v>
      </c>
      <c r="J276" s="4" t="s">
        <v>728</v>
      </c>
      <c r="K276" s="4" t="s">
        <v>1008</v>
      </c>
      <c r="L276">
        <v>287.61</v>
      </c>
      <c r="M276">
        <v>628.54</v>
      </c>
      <c r="N276">
        <v>0.13500000000000001</v>
      </c>
      <c r="O276">
        <v>21</v>
      </c>
    </row>
    <row r="277" spans="1:15" x14ac:dyDescent="0.25">
      <c r="A277" t="s">
        <v>289</v>
      </c>
      <c r="B277" s="2">
        <v>45316</v>
      </c>
      <c r="C277" s="2">
        <v>45318</v>
      </c>
      <c r="D277" s="4" t="s">
        <v>648</v>
      </c>
      <c r="E277" s="4" t="s">
        <v>655</v>
      </c>
      <c r="F277" s="4" t="s">
        <v>670</v>
      </c>
      <c r="G277" s="4" t="s">
        <v>703</v>
      </c>
      <c r="H277" s="4" t="s">
        <v>709</v>
      </c>
      <c r="I277" s="4" t="s">
        <v>725</v>
      </c>
      <c r="J277" s="4" t="s">
        <v>731</v>
      </c>
      <c r="K277" s="4" t="s">
        <v>1009</v>
      </c>
      <c r="L277">
        <v>1410.97</v>
      </c>
      <c r="M277">
        <v>1650.75</v>
      </c>
      <c r="N277">
        <v>0.13500000000000001</v>
      </c>
      <c r="O277">
        <v>6</v>
      </c>
    </row>
    <row r="278" spans="1:15" x14ac:dyDescent="0.25">
      <c r="A278" t="s">
        <v>290</v>
      </c>
      <c r="B278" s="2">
        <v>45378</v>
      </c>
      <c r="C278" s="2">
        <v>45393</v>
      </c>
      <c r="D278" s="4" t="s">
        <v>648</v>
      </c>
      <c r="E278" s="4" t="s">
        <v>660</v>
      </c>
      <c r="F278" s="4" t="s">
        <v>686</v>
      </c>
      <c r="G278" s="4" t="s">
        <v>705</v>
      </c>
      <c r="H278" s="4" t="s">
        <v>711</v>
      </c>
      <c r="I278" s="4" t="s">
        <v>719</v>
      </c>
      <c r="J278" s="4" t="s">
        <v>729</v>
      </c>
      <c r="K278" s="4" t="s">
        <v>1010</v>
      </c>
      <c r="L278">
        <v>1338.35</v>
      </c>
      <c r="M278">
        <v>2247.14</v>
      </c>
      <c r="N278">
        <v>0.115</v>
      </c>
      <c r="O278">
        <v>40</v>
      </c>
    </row>
    <row r="279" spans="1:15" x14ac:dyDescent="0.25">
      <c r="A279" t="s">
        <v>291</v>
      </c>
      <c r="B279" s="2">
        <v>45832</v>
      </c>
      <c r="C279" s="2">
        <v>45852</v>
      </c>
      <c r="D279" s="4" t="s">
        <v>649</v>
      </c>
      <c r="E279" s="4" t="s">
        <v>656</v>
      </c>
      <c r="F279" s="4" t="s">
        <v>671</v>
      </c>
      <c r="G279" s="4" t="s">
        <v>701</v>
      </c>
      <c r="H279" s="4" t="s">
        <v>711</v>
      </c>
      <c r="I279" s="4" t="s">
        <v>719</v>
      </c>
      <c r="J279" s="4" t="s">
        <v>733</v>
      </c>
      <c r="K279" s="4" t="s">
        <v>1011</v>
      </c>
      <c r="L279">
        <v>385.08</v>
      </c>
      <c r="M279">
        <v>893.19</v>
      </c>
      <c r="N279">
        <v>0.151</v>
      </c>
      <c r="O279">
        <v>8</v>
      </c>
    </row>
    <row r="280" spans="1:15" x14ac:dyDescent="0.25">
      <c r="A280" t="s">
        <v>292</v>
      </c>
      <c r="B280" s="2">
        <v>45459</v>
      </c>
      <c r="C280" s="2">
        <v>45476</v>
      </c>
      <c r="D280" s="4" t="s">
        <v>646</v>
      </c>
      <c r="E280" s="4" t="s">
        <v>661</v>
      </c>
      <c r="F280" s="4" t="s">
        <v>682</v>
      </c>
      <c r="G280" s="4" t="s">
        <v>706</v>
      </c>
      <c r="H280" s="4" t="s">
        <v>709</v>
      </c>
      <c r="I280" s="4" t="s">
        <v>721</v>
      </c>
      <c r="J280" s="4" t="s">
        <v>730</v>
      </c>
      <c r="K280" s="4" t="s">
        <v>1012</v>
      </c>
      <c r="L280">
        <v>1173.83</v>
      </c>
      <c r="M280">
        <v>2328.9</v>
      </c>
      <c r="N280">
        <v>0.12</v>
      </c>
      <c r="O280">
        <v>17</v>
      </c>
    </row>
    <row r="281" spans="1:15" x14ac:dyDescent="0.25">
      <c r="A281" t="s">
        <v>293</v>
      </c>
      <c r="B281" s="2">
        <v>45229</v>
      </c>
      <c r="C281" s="2">
        <v>45244</v>
      </c>
      <c r="D281" s="4" t="s">
        <v>647</v>
      </c>
      <c r="E281" s="4" t="s">
        <v>654</v>
      </c>
      <c r="F281" s="4" t="s">
        <v>668</v>
      </c>
      <c r="G281" s="4" t="s">
        <v>701</v>
      </c>
      <c r="H281" s="4" t="s">
        <v>708</v>
      </c>
      <c r="I281" s="4" t="s">
        <v>721</v>
      </c>
      <c r="J281" s="4" t="s">
        <v>731</v>
      </c>
      <c r="K281" s="4" t="s">
        <v>1013</v>
      </c>
      <c r="L281">
        <v>953.46</v>
      </c>
      <c r="M281">
        <v>2066.75</v>
      </c>
      <c r="N281">
        <v>0.13800000000000001</v>
      </c>
      <c r="O281">
        <v>5</v>
      </c>
    </row>
    <row r="282" spans="1:15" x14ac:dyDescent="0.25">
      <c r="A282" t="s">
        <v>294</v>
      </c>
      <c r="B282" s="2">
        <v>45092</v>
      </c>
      <c r="C282" s="2">
        <v>45100</v>
      </c>
      <c r="D282" s="4" t="s">
        <v>648</v>
      </c>
      <c r="E282" s="4" t="s">
        <v>660</v>
      </c>
      <c r="F282" s="4" t="s">
        <v>686</v>
      </c>
      <c r="G282" s="4" t="s">
        <v>704</v>
      </c>
      <c r="H282" s="4" t="s">
        <v>710</v>
      </c>
      <c r="I282" s="4" t="s">
        <v>719</v>
      </c>
      <c r="J282" s="4" t="s">
        <v>732</v>
      </c>
      <c r="K282" s="4" t="s">
        <v>1014</v>
      </c>
      <c r="L282">
        <v>1097.0899999999999</v>
      </c>
      <c r="M282">
        <v>2182.31</v>
      </c>
      <c r="N282">
        <v>0.112</v>
      </c>
      <c r="O282">
        <v>9</v>
      </c>
    </row>
    <row r="283" spans="1:15" x14ac:dyDescent="0.25">
      <c r="A283" t="s">
        <v>295</v>
      </c>
      <c r="B283" s="2">
        <v>45730</v>
      </c>
      <c r="C283" s="2">
        <v>45745</v>
      </c>
      <c r="D283" s="4" t="s">
        <v>647</v>
      </c>
      <c r="E283" s="4" t="s">
        <v>652</v>
      </c>
      <c r="F283" s="4" t="s">
        <v>689</v>
      </c>
      <c r="G283" s="4" t="s">
        <v>703</v>
      </c>
      <c r="H283" s="4" t="s">
        <v>711</v>
      </c>
      <c r="I283" s="4" t="s">
        <v>722</v>
      </c>
      <c r="J283" s="4" t="s">
        <v>729</v>
      </c>
      <c r="K283" s="4" t="s">
        <v>1015</v>
      </c>
      <c r="L283">
        <v>1106.96</v>
      </c>
      <c r="M283">
        <v>2726.62</v>
      </c>
      <c r="N283">
        <v>0.317</v>
      </c>
      <c r="O283">
        <v>7</v>
      </c>
    </row>
    <row r="284" spans="1:15" x14ac:dyDescent="0.25">
      <c r="A284" t="s">
        <v>296</v>
      </c>
      <c r="B284" s="2">
        <v>45153</v>
      </c>
      <c r="C284" s="2">
        <v>45163</v>
      </c>
      <c r="D284" s="4" t="s">
        <v>646</v>
      </c>
      <c r="E284" s="4" t="s">
        <v>650</v>
      </c>
      <c r="F284" s="4" t="s">
        <v>664</v>
      </c>
      <c r="G284" s="4" t="s">
        <v>705</v>
      </c>
      <c r="H284" s="4" t="s">
        <v>707</v>
      </c>
      <c r="I284" s="4" t="s">
        <v>725</v>
      </c>
      <c r="J284" s="4" t="s">
        <v>730</v>
      </c>
      <c r="K284" s="4" t="s">
        <v>1016</v>
      </c>
      <c r="L284">
        <v>91.85</v>
      </c>
      <c r="M284">
        <v>111.29</v>
      </c>
      <c r="N284">
        <v>0</v>
      </c>
      <c r="O284">
        <v>6</v>
      </c>
    </row>
    <row r="285" spans="1:15" x14ac:dyDescent="0.25">
      <c r="A285" t="s">
        <v>297</v>
      </c>
      <c r="B285" s="2">
        <v>45794</v>
      </c>
      <c r="C285" s="2">
        <v>45805</v>
      </c>
      <c r="D285" s="4" t="s">
        <v>647</v>
      </c>
      <c r="E285" s="4" t="s">
        <v>654</v>
      </c>
      <c r="F285" s="4" t="s">
        <v>668</v>
      </c>
      <c r="G285" s="4" t="s">
        <v>701</v>
      </c>
      <c r="H285" s="4" t="s">
        <v>710</v>
      </c>
      <c r="I285" s="4" t="s">
        <v>717</v>
      </c>
      <c r="J285" s="4" t="s">
        <v>731</v>
      </c>
      <c r="K285" s="4" t="s">
        <v>1017</v>
      </c>
      <c r="L285">
        <v>623.4</v>
      </c>
      <c r="M285">
        <v>1100.0899999999999</v>
      </c>
      <c r="N285">
        <v>0.114</v>
      </c>
      <c r="O285">
        <v>12</v>
      </c>
    </row>
    <row r="286" spans="1:15" x14ac:dyDescent="0.25">
      <c r="A286" t="s">
        <v>298</v>
      </c>
      <c r="B286" s="2">
        <v>45304</v>
      </c>
      <c r="C286" s="2">
        <v>45327</v>
      </c>
      <c r="D286" s="4" t="s">
        <v>649</v>
      </c>
      <c r="E286" s="4" t="s">
        <v>656</v>
      </c>
      <c r="F286" s="4" t="s">
        <v>698</v>
      </c>
      <c r="G286" s="4" t="s">
        <v>702</v>
      </c>
      <c r="H286" s="4" t="s">
        <v>711</v>
      </c>
      <c r="I286" s="4" t="s">
        <v>717</v>
      </c>
      <c r="J286" s="4" t="s">
        <v>731</v>
      </c>
      <c r="K286" s="4" t="s">
        <v>1018</v>
      </c>
      <c r="L286">
        <v>1017.93</v>
      </c>
      <c r="M286">
        <v>1529.14</v>
      </c>
      <c r="N286">
        <v>0.155</v>
      </c>
      <c r="O286">
        <v>12</v>
      </c>
    </row>
    <row r="287" spans="1:15" x14ac:dyDescent="0.25">
      <c r="A287" t="s">
        <v>299</v>
      </c>
      <c r="B287" s="2">
        <v>45101</v>
      </c>
      <c r="C287" s="2">
        <v>45128</v>
      </c>
      <c r="D287" s="4" t="s">
        <v>647</v>
      </c>
      <c r="E287" s="4" t="s">
        <v>652</v>
      </c>
      <c r="F287" s="4" t="s">
        <v>694</v>
      </c>
      <c r="G287" s="4" t="s">
        <v>704</v>
      </c>
      <c r="H287" s="4" t="s">
        <v>709</v>
      </c>
      <c r="I287" s="4" t="s">
        <v>713</v>
      </c>
      <c r="J287" s="4" t="s">
        <v>730</v>
      </c>
      <c r="K287" s="4" t="s">
        <v>1019</v>
      </c>
      <c r="L287">
        <v>554.76</v>
      </c>
      <c r="M287">
        <v>728.69</v>
      </c>
      <c r="N287">
        <v>0.22</v>
      </c>
      <c r="O287">
        <v>7</v>
      </c>
    </row>
    <row r="288" spans="1:15" x14ac:dyDescent="0.25">
      <c r="A288" t="s">
        <v>300</v>
      </c>
      <c r="B288" s="2">
        <v>45751</v>
      </c>
      <c r="C288" s="2">
        <v>45760</v>
      </c>
      <c r="D288" s="4" t="s">
        <v>649</v>
      </c>
      <c r="E288" s="4" t="s">
        <v>656</v>
      </c>
      <c r="F288" s="4" t="s">
        <v>684</v>
      </c>
      <c r="G288" s="4" t="s">
        <v>704</v>
      </c>
      <c r="H288" s="4" t="s">
        <v>709</v>
      </c>
      <c r="I288" s="4" t="s">
        <v>721</v>
      </c>
      <c r="J288" s="4" t="s">
        <v>730</v>
      </c>
      <c r="K288" s="4" t="s">
        <v>1020</v>
      </c>
      <c r="L288">
        <v>7.02</v>
      </c>
      <c r="M288">
        <v>6.28</v>
      </c>
      <c r="N288">
        <v>0.13400000000000001</v>
      </c>
      <c r="O288">
        <v>14</v>
      </c>
    </row>
    <row r="289" spans="1:15" x14ac:dyDescent="0.25">
      <c r="A289" t="s">
        <v>301</v>
      </c>
      <c r="B289" s="2">
        <v>45542</v>
      </c>
      <c r="C289" s="2">
        <v>45542</v>
      </c>
      <c r="D289" s="4" t="s">
        <v>647</v>
      </c>
      <c r="E289" s="4" t="s">
        <v>654</v>
      </c>
      <c r="F289" s="4" t="s">
        <v>691</v>
      </c>
      <c r="G289" s="4" t="s">
        <v>702</v>
      </c>
      <c r="H289" s="4" t="s">
        <v>710</v>
      </c>
      <c r="I289" s="4" t="s">
        <v>717</v>
      </c>
      <c r="J289" s="4" t="s">
        <v>729</v>
      </c>
      <c r="K289" s="4" t="s">
        <v>1021</v>
      </c>
      <c r="L289">
        <v>1066.6500000000001</v>
      </c>
      <c r="M289">
        <v>2569.77</v>
      </c>
      <c r="N289">
        <v>0.13400000000000001</v>
      </c>
      <c r="O289">
        <v>9</v>
      </c>
    </row>
    <row r="290" spans="1:15" x14ac:dyDescent="0.25">
      <c r="A290" t="s">
        <v>302</v>
      </c>
      <c r="B290" s="2">
        <v>45319</v>
      </c>
      <c r="C290" s="2">
        <v>45321</v>
      </c>
      <c r="D290" s="4" t="s">
        <v>646</v>
      </c>
      <c r="E290" s="4" t="s">
        <v>661</v>
      </c>
      <c r="F290" s="4" t="s">
        <v>695</v>
      </c>
      <c r="G290" s="4" t="s">
        <v>704</v>
      </c>
      <c r="H290" s="4" t="s">
        <v>711</v>
      </c>
      <c r="I290" s="4" t="s">
        <v>721</v>
      </c>
      <c r="J290" s="4" t="s">
        <v>733</v>
      </c>
      <c r="K290" s="4" t="s">
        <v>1022</v>
      </c>
      <c r="L290">
        <v>798.45</v>
      </c>
      <c r="M290">
        <v>1592.02</v>
      </c>
      <c r="N290">
        <v>6.6000000000000003E-2</v>
      </c>
      <c r="O290">
        <v>18</v>
      </c>
    </row>
    <row r="291" spans="1:15" x14ac:dyDescent="0.25">
      <c r="A291" t="s">
        <v>303</v>
      </c>
      <c r="B291" s="2">
        <v>45125</v>
      </c>
      <c r="C291" s="2">
        <v>45148</v>
      </c>
      <c r="D291" s="4" t="s">
        <v>646</v>
      </c>
      <c r="E291" s="4" t="s">
        <v>661</v>
      </c>
      <c r="F291" s="4" t="s">
        <v>682</v>
      </c>
      <c r="G291" s="4" t="s">
        <v>705</v>
      </c>
      <c r="H291" s="4" t="s">
        <v>707</v>
      </c>
      <c r="I291" s="4" t="s">
        <v>716</v>
      </c>
      <c r="J291" s="4" t="s">
        <v>727</v>
      </c>
      <c r="K291" s="4" t="s">
        <v>1023</v>
      </c>
      <c r="L291">
        <v>1271.56</v>
      </c>
      <c r="M291">
        <v>995.47</v>
      </c>
      <c r="N291">
        <v>0.192</v>
      </c>
      <c r="O291">
        <v>13</v>
      </c>
    </row>
    <row r="292" spans="1:15" x14ac:dyDescent="0.25">
      <c r="A292" t="s">
        <v>304</v>
      </c>
      <c r="B292" s="2">
        <v>45897</v>
      </c>
      <c r="C292" s="2">
        <v>45895</v>
      </c>
      <c r="D292" s="4" t="s">
        <v>646</v>
      </c>
      <c r="E292" s="4" t="s">
        <v>651</v>
      </c>
      <c r="F292" s="4" t="s">
        <v>663</v>
      </c>
      <c r="G292" s="4" t="s">
        <v>705</v>
      </c>
      <c r="H292" s="4" t="s">
        <v>707</v>
      </c>
      <c r="I292" s="4" t="s">
        <v>720</v>
      </c>
      <c r="J292" s="4" t="s">
        <v>733</v>
      </c>
      <c r="K292" s="4" t="s">
        <v>1024</v>
      </c>
      <c r="L292">
        <v>521.05999999999995</v>
      </c>
      <c r="M292">
        <v>1240.31</v>
      </c>
      <c r="N292">
        <v>0.14599999999999999</v>
      </c>
      <c r="O292">
        <v>18</v>
      </c>
    </row>
    <row r="293" spans="1:15" x14ac:dyDescent="0.25">
      <c r="A293" t="s">
        <v>305</v>
      </c>
      <c r="B293" s="2">
        <v>45746</v>
      </c>
      <c r="C293" s="2">
        <v>45754</v>
      </c>
      <c r="D293" s="4" t="s">
        <v>648</v>
      </c>
      <c r="E293" s="4" t="s">
        <v>655</v>
      </c>
      <c r="F293" s="4" t="s">
        <v>670</v>
      </c>
      <c r="G293" s="4" t="s">
        <v>703</v>
      </c>
      <c r="H293" s="4" t="s">
        <v>711</v>
      </c>
      <c r="I293" s="4" t="s">
        <v>716</v>
      </c>
      <c r="J293" s="4" t="s">
        <v>728</v>
      </c>
      <c r="K293" s="4" t="s">
        <v>1025</v>
      </c>
      <c r="L293">
        <v>71.62</v>
      </c>
      <c r="M293">
        <v>118.37</v>
      </c>
      <c r="N293">
        <v>0.156</v>
      </c>
      <c r="O293">
        <v>11</v>
      </c>
    </row>
    <row r="294" spans="1:15" x14ac:dyDescent="0.25">
      <c r="A294" t="s">
        <v>306</v>
      </c>
      <c r="B294" s="2">
        <v>45220</v>
      </c>
      <c r="C294" s="2">
        <v>45239</v>
      </c>
      <c r="D294" s="4" t="s">
        <v>649</v>
      </c>
      <c r="E294" s="4" t="s">
        <v>658</v>
      </c>
      <c r="F294" s="4" t="s">
        <v>683</v>
      </c>
      <c r="G294" s="4" t="s">
        <v>703</v>
      </c>
      <c r="H294" s="4" t="s">
        <v>711</v>
      </c>
      <c r="I294" s="4" t="s">
        <v>720</v>
      </c>
      <c r="J294" s="4" t="s">
        <v>733</v>
      </c>
      <c r="K294" s="4" t="s">
        <v>1026</v>
      </c>
      <c r="L294">
        <v>1142.48</v>
      </c>
      <c r="M294">
        <v>2105.5300000000002</v>
      </c>
      <c r="N294">
        <v>0.20699999999999999</v>
      </c>
      <c r="O294">
        <v>14</v>
      </c>
    </row>
    <row r="295" spans="1:15" x14ac:dyDescent="0.25">
      <c r="A295" t="s">
        <v>307</v>
      </c>
      <c r="B295" s="2">
        <v>45161</v>
      </c>
      <c r="C295" s="2">
        <v>45191</v>
      </c>
      <c r="D295" s="4" t="s">
        <v>649</v>
      </c>
      <c r="E295" s="4" t="s">
        <v>658</v>
      </c>
      <c r="F295" s="4" t="s">
        <v>683</v>
      </c>
      <c r="G295" s="4" t="s">
        <v>704</v>
      </c>
      <c r="H295" s="4" t="s">
        <v>710</v>
      </c>
      <c r="I295" s="4" t="s">
        <v>719</v>
      </c>
      <c r="J295" s="4" t="s">
        <v>733</v>
      </c>
      <c r="K295" s="4" t="s">
        <v>1027</v>
      </c>
      <c r="L295">
        <v>209.81</v>
      </c>
      <c r="M295">
        <v>523</v>
      </c>
      <c r="N295">
        <v>5.8999999999999997E-2</v>
      </c>
      <c r="O295">
        <v>15</v>
      </c>
    </row>
    <row r="296" spans="1:15" x14ac:dyDescent="0.25">
      <c r="A296" t="s">
        <v>308</v>
      </c>
      <c r="B296" s="2">
        <v>45758</v>
      </c>
      <c r="C296" s="2">
        <v>45781</v>
      </c>
      <c r="D296" s="4" t="s">
        <v>647</v>
      </c>
      <c r="E296" s="4" t="s">
        <v>652</v>
      </c>
      <c r="F296" s="4" t="s">
        <v>666</v>
      </c>
      <c r="G296" s="4" t="s">
        <v>705</v>
      </c>
      <c r="H296" s="4" t="s">
        <v>708</v>
      </c>
      <c r="I296" s="4" t="s">
        <v>724</v>
      </c>
      <c r="J296" s="4" t="s">
        <v>727</v>
      </c>
      <c r="K296" s="4" t="s">
        <v>1028</v>
      </c>
      <c r="L296">
        <v>786.2</v>
      </c>
      <c r="M296">
        <v>1075.3</v>
      </c>
      <c r="N296">
        <v>0.08</v>
      </c>
      <c r="O296">
        <v>9</v>
      </c>
    </row>
    <row r="297" spans="1:15" x14ac:dyDescent="0.25">
      <c r="A297" t="s">
        <v>309</v>
      </c>
      <c r="B297" s="2">
        <v>45809</v>
      </c>
      <c r="C297" s="2">
        <v>45835</v>
      </c>
      <c r="D297" s="4" t="s">
        <v>649</v>
      </c>
      <c r="E297" s="4" t="s">
        <v>656</v>
      </c>
      <c r="F297" s="4" t="s">
        <v>684</v>
      </c>
      <c r="G297" s="4" t="s">
        <v>704</v>
      </c>
      <c r="H297" s="4" t="s">
        <v>710</v>
      </c>
      <c r="I297" s="4" t="s">
        <v>718</v>
      </c>
      <c r="J297" s="4" t="s">
        <v>731</v>
      </c>
      <c r="K297" s="4" t="s">
        <v>1029</v>
      </c>
      <c r="L297">
        <v>1362.31</v>
      </c>
      <c r="M297">
        <v>3294.57</v>
      </c>
      <c r="N297">
        <v>0.113</v>
      </c>
      <c r="O297">
        <v>7</v>
      </c>
    </row>
    <row r="298" spans="1:15" x14ac:dyDescent="0.25">
      <c r="A298" t="s">
        <v>310</v>
      </c>
      <c r="B298" s="2">
        <v>45353</v>
      </c>
      <c r="C298" s="2">
        <v>45367</v>
      </c>
      <c r="D298" s="4" t="s">
        <v>648</v>
      </c>
      <c r="E298" s="4" t="s">
        <v>653</v>
      </c>
      <c r="F298" s="4" t="s">
        <v>688</v>
      </c>
      <c r="G298" s="4" t="s">
        <v>703</v>
      </c>
      <c r="H298" s="4" t="s">
        <v>711</v>
      </c>
      <c r="I298" s="4" t="s">
        <v>719</v>
      </c>
      <c r="J298" s="4" t="s">
        <v>728</v>
      </c>
      <c r="K298" s="4" t="s">
        <v>1030</v>
      </c>
      <c r="L298">
        <v>248.24</v>
      </c>
      <c r="M298">
        <v>464.05</v>
      </c>
      <c r="N298">
        <v>0.16900000000000001</v>
      </c>
      <c r="O298">
        <v>11</v>
      </c>
    </row>
    <row r="299" spans="1:15" x14ac:dyDescent="0.25">
      <c r="A299" t="s">
        <v>311</v>
      </c>
      <c r="B299" s="2">
        <v>45097</v>
      </c>
      <c r="C299" s="2">
        <v>45115</v>
      </c>
      <c r="D299" s="4" t="s">
        <v>648</v>
      </c>
      <c r="E299" s="4" t="s">
        <v>660</v>
      </c>
      <c r="F299" s="4" t="s">
        <v>697</v>
      </c>
      <c r="G299" s="4" t="s">
        <v>703</v>
      </c>
      <c r="H299" s="4" t="s">
        <v>711</v>
      </c>
      <c r="I299" s="4" t="s">
        <v>721</v>
      </c>
      <c r="J299" s="4" t="s">
        <v>732</v>
      </c>
      <c r="K299" s="4" t="s">
        <v>1031</v>
      </c>
      <c r="L299">
        <v>337</v>
      </c>
      <c r="M299">
        <v>511.03</v>
      </c>
      <c r="N299">
        <v>0.108</v>
      </c>
      <c r="O299">
        <v>7</v>
      </c>
    </row>
    <row r="300" spans="1:15" x14ac:dyDescent="0.25">
      <c r="A300" t="s">
        <v>312</v>
      </c>
      <c r="B300" s="2">
        <v>45377</v>
      </c>
      <c r="C300" s="2">
        <v>45387</v>
      </c>
      <c r="D300" s="4" t="s">
        <v>648</v>
      </c>
      <c r="E300" s="4" t="s">
        <v>660</v>
      </c>
      <c r="F300" s="4" t="s">
        <v>697</v>
      </c>
      <c r="G300" s="4" t="s">
        <v>704</v>
      </c>
      <c r="H300" s="4" t="s">
        <v>711</v>
      </c>
      <c r="I300" s="4" t="s">
        <v>713</v>
      </c>
      <c r="J300" s="4" t="s">
        <v>732</v>
      </c>
      <c r="K300" s="4" t="s">
        <v>1032</v>
      </c>
      <c r="L300">
        <v>5.66</v>
      </c>
      <c r="M300">
        <v>4.22</v>
      </c>
      <c r="N300">
        <v>0.11899999999999999</v>
      </c>
      <c r="O300">
        <v>18</v>
      </c>
    </row>
    <row r="301" spans="1:15" x14ac:dyDescent="0.25">
      <c r="A301" t="s">
        <v>313</v>
      </c>
      <c r="B301" s="2">
        <v>45679</v>
      </c>
      <c r="C301" s="2">
        <v>45679</v>
      </c>
      <c r="D301" s="4" t="s">
        <v>649</v>
      </c>
      <c r="E301" s="4" t="s">
        <v>657</v>
      </c>
      <c r="F301" s="4" t="s">
        <v>679</v>
      </c>
      <c r="G301" s="4" t="s">
        <v>705</v>
      </c>
      <c r="H301" s="4" t="s">
        <v>708</v>
      </c>
      <c r="I301" s="4" t="s">
        <v>717</v>
      </c>
      <c r="J301" s="4" t="s">
        <v>733</v>
      </c>
      <c r="K301" s="4" t="s">
        <v>1033</v>
      </c>
      <c r="L301">
        <v>591.72</v>
      </c>
      <c r="M301">
        <v>577.24</v>
      </c>
      <c r="N301">
        <v>0</v>
      </c>
      <c r="O301">
        <v>22</v>
      </c>
    </row>
    <row r="302" spans="1:15" x14ac:dyDescent="0.25">
      <c r="A302" t="s">
        <v>314</v>
      </c>
      <c r="B302" s="2">
        <v>45787</v>
      </c>
      <c r="C302" s="2">
        <v>45804</v>
      </c>
      <c r="D302" s="4" t="s">
        <v>648</v>
      </c>
      <c r="E302" s="4" t="s">
        <v>653</v>
      </c>
      <c r="F302" s="4" t="s">
        <v>688</v>
      </c>
      <c r="G302" s="4" t="s">
        <v>702</v>
      </c>
      <c r="H302" s="4" t="s">
        <v>711</v>
      </c>
      <c r="I302" s="4" t="s">
        <v>712</v>
      </c>
      <c r="J302" s="4" t="s">
        <v>727</v>
      </c>
      <c r="K302" s="4" t="s">
        <v>1034</v>
      </c>
      <c r="L302">
        <v>862.89</v>
      </c>
      <c r="M302">
        <v>1426.03</v>
      </c>
      <c r="N302">
        <v>5.6000000000000001E-2</v>
      </c>
      <c r="O302">
        <v>19</v>
      </c>
    </row>
    <row r="303" spans="1:15" x14ac:dyDescent="0.25">
      <c r="A303" t="s">
        <v>315</v>
      </c>
      <c r="B303" s="2">
        <v>45204</v>
      </c>
      <c r="C303" s="2">
        <v>45230</v>
      </c>
      <c r="D303" s="4" t="s">
        <v>647</v>
      </c>
      <c r="E303" s="4" t="s">
        <v>659</v>
      </c>
      <c r="F303" s="4" t="s">
        <v>685</v>
      </c>
      <c r="G303" s="4" t="s">
        <v>704</v>
      </c>
      <c r="I303" s="4" t="s">
        <v>713</v>
      </c>
      <c r="J303" s="4" t="s">
        <v>728</v>
      </c>
      <c r="K303" s="4" t="s">
        <v>1035</v>
      </c>
      <c r="L303">
        <v>649.91</v>
      </c>
      <c r="M303">
        <v>1360.12</v>
      </c>
      <c r="N303">
        <v>0.19400000000000001</v>
      </c>
      <c r="O303">
        <v>9</v>
      </c>
    </row>
    <row r="304" spans="1:15" x14ac:dyDescent="0.25">
      <c r="A304" t="s">
        <v>316</v>
      </c>
      <c r="B304" s="2">
        <v>45125</v>
      </c>
      <c r="C304" s="2">
        <v>45129</v>
      </c>
      <c r="D304" s="4" t="s">
        <v>648</v>
      </c>
      <c r="E304" s="4" t="s">
        <v>655</v>
      </c>
      <c r="F304" s="4" t="s">
        <v>670</v>
      </c>
      <c r="G304" s="4" t="s">
        <v>704</v>
      </c>
      <c r="H304" s="4" t="s">
        <v>711</v>
      </c>
      <c r="I304" s="4" t="s">
        <v>721</v>
      </c>
      <c r="J304" s="4" t="s">
        <v>729</v>
      </c>
      <c r="K304" s="4" t="s">
        <v>1036</v>
      </c>
      <c r="L304">
        <v>1269.55</v>
      </c>
      <c r="M304">
        <v>2071.1</v>
      </c>
      <c r="N304">
        <v>0.129</v>
      </c>
      <c r="O304">
        <v>22</v>
      </c>
    </row>
    <row r="305" spans="1:15" x14ac:dyDescent="0.25">
      <c r="A305" t="s">
        <v>317</v>
      </c>
      <c r="B305" s="2">
        <v>45830</v>
      </c>
      <c r="C305" s="2">
        <v>45846</v>
      </c>
      <c r="D305" s="4" t="s">
        <v>649</v>
      </c>
      <c r="E305" s="4" t="s">
        <v>658</v>
      </c>
      <c r="F305" s="4" t="s">
        <v>683</v>
      </c>
      <c r="G305" s="4" t="s">
        <v>702</v>
      </c>
      <c r="H305" s="4" t="s">
        <v>711</v>
      </c>
      <c r="I305" s="4" t="s">
        <v>720</v>
      </c>
      <c r="J305" s="4" t="s">
        <v>730</v>
      </c>
      <c r="K305" s="4" t="s">
        <v>1037</v>
      </c>
      <c r="L305">
        <v>892.73</v>
      </c>
      <c r="M305">
        <v>979.84</v>
      </c>
      <c r="N305">
        <v>0.17399999999999999</v>
      </c>
      <c r="O305">
        <v>10</v>
      </c>
    </row>
    <row r="306" spans="1:15" x14ac:dyDescent="0.25">
      <c r="A306" t="s">
        <v>318</v>
      </c>
      <c r="B306" s="2">
        <v>45462</v>
      </c>
      <c r="C306" s="2">
        <v>45463</v>
      </c>
      <c r="D306" s="4" t="s">
        <v>646</v>
      </c>
      <c r="E306" s="4" t="s">
        <v>650</v>
      </c>
      <c r="F306" s="4" t="s">
        <v>662</v>
      </c>
      <c r="G306" s="4" t="s">
        <v>705</v>
      </c>
      <c r="H306" s="4" t="s">
        <v>711</v>
      </c>
      <c r="I306" s="4" t="s">
        <v>713</v>
      </c>
      <c r="J306" s="4" t="s">
        <v>731</v>
      </c>
      <c r="K306" s="4" t="s">
        <v>1038</v>
      </c>
      <c r="L306">
        <v>231.63</v>
      </c>
      <c r="M306">
        <v>537.39</v>
      </c>
      <c r="N306">
        <v>0.08</v>
      </c>
      <c r="O306">
        <v>12</v>
      </c>
    </row>
    <row r="307" spans="1:15" x14ac:dyDescent="0.25">
      <c r="A307" t="s">
        <v>319</v>
      </c>
      <c r="B307" s="2">
        <v>45756</v>
      </c>
      <c r="C307" s="2">
        <v>45759</v>
      </c>
      <c r="D307" s="4" t="s">
        <v>649</v>
      </c>
      <c r="E307" s="4" t="s">
        <v>657</v>
      </c>
      <c r="F307" s="4" t="s">
        <v>679</v>
      </c>
      <c r="G307" s="4" t="s">
        <v>705</v>
      </c>
      <c r="H307" s="4" t="s">
        <v>710</v>
      </c>
      <c r="I307" s="4" t="s">
        <v>722</v>
      </c>
      <c r="J307" s="4" t="s">
        <v>732</v>
      </c>
      <c r="K307" s="4" t="s">
        <v>1039</v>
      </c>
      <c r="L307">
        <v>86.68</v>
      </c>
      <c r="M307">
        <v>213.32</v>
      </c>
      <c r="N307">
        <v>3.7999999999999999E-2</v>
      </c>
      <c r="O307">
        <v>8</v>
      </c>
    </row>
    <row r="308" spans="1:15" x14ac:dyDescent="0.25">
      <c r="A308" t="s">
        <v>320</v>
      </c>
      <c r="B308" s="2">
        <v>45741</v>
      </c>
      <c r="C308" s="2">
        <v>45742</v>
      </c>
      <c r="D308" s="4" t="s">
        <v>646</v>
      </c>
      <c r="E308" s="4" t="s">
        <v>651</v>
      </c>
      <c r="F308" s="4" t="s">
        <v>665</v>
      </c>
      <c r="G308" s="4" t="s">
        <v>702</v>
      </c>
      <c r="H308" s="4" t="s">
        <v>710</v>
      </c>
      <c r="I308" s="4" t="s">
        <v>715</v>
      </c>
      <c r="J308" s="4" t="s">
        <v>733</v>
      </c>
      <c r="K308" s="4" t="s">
        <v>1040</v>
      </c>
      <c r="L308">
        <v>1450.43</v>
      </c>
      <c r="M308">
        <v>1994.67</v>
      </c>
      <c r="N308">
        <v>0.1</v>
      </c>
      <c r="O308">
        <v>24</v>
      </c>
    </row>
    <row r="309" spans="1:15" x14ac:dyDescent="0.25">
      <c r="A309" t="s">
        <v>321</v>
      </c>
      <c r="B309" s="2">
        <v>45795</v>
      </c>
      <c r="C309" s="2">
        <v>45817</v>
      </c>
      <c r="D309" s="4" t="s">
        <v>648</v>
      </c>
      <c r="E309" s="4" t="s">
        <v>660</v>
      </c>
      <c r="F309" s="4" t="s">
        <v>700</v>
      </c>
      <c r="G309" s="4" t="s">
        <v>704</v>
      </c>
      <c r="H309" s="4" t="s">
        <v>707</v>
      </c>
      <c r="I309" s="4" t="s">
        <v>722</v>
      </c>
      <c r="J309" s="4" t="s">
        <v>729</v>
      </c>
      <c r="K309" s="4" t="s">
        <v>1041</v>
      </c>
      <c r="L309">
        <v>382.96</v>
      </c>
      <c r="M309">
        <v>552.84</v>
      </c>
      <c r="N309">
        <v>0.17599999999999999</v>
      </c>
      <c r="O309">
        <v>8</v>
      </c>
    </row>
    <row r="310" spans="1:15" x14ac:dyDescent="0.25">
      <c r="A310" t="s">
        <v>322</v>
      </c>
      <c r="B310" s="2">
        <v>45679</v>
      </c>
      <c r="C310" s="2">
        <v>45692</v>
      </c>
      <c r="D310" s="4" t="s">
        <v>647</v>
      </c>
      <c r="E310" s="4" t="s">
        <v>652</v>
      </c>
      <c r="F310" s="4" t="s">
        <v>689</v>
      </c>
      <c r="G310" s="4" t="s">
        <v>705</v>
      </c>
      <c r="H310" s="4" t="s">
        <v>710</v>
      </c>
      <c r="I310" s="4" t="s">
        <v>716</v>
      </c>
      <c r="J310" s="4" t="s">
        <v>728</v>
      </c>
      <c r="K310" s="4" t="s">
        <v>1042</v>
      </c>
      <c r="L310">
        <v>122.29</v>
      </c>
      <c r="M310">
        <v>224.95</v>
      </c>
      <c r="N310">
        <v>0.153</v>
      </c>
      <c r="O310">
        <v>28</v>
      </c>
    </row>
    <row r="311" spans="1:15" x14ac:dyDescent="0.25">
      <c r="A311" t="s">
        <v>323</v>
      </c>
      <c r="B311" s="2">
        <v>44936</v>
      </c>
      <c r="C311" s="2">
        <v>44955</v>
      </c>
      <c r="D311" s="4" t="s">
        <v>649</v>
      </c>
      <c r="E311" s="4" t="s">
        <v>657</v>
      </c>
      <c r="F311" s="4" t="s">
        <v>679</v>
      </c>
      <c r="G311" s="4" t="s">
        <v>703</v>
      </c>
      <c r="H311" s="4" t="s">
        <v>711</v>
      </c>
      <c r="I311" s="4" t="s">
        <v>726</v>
      </c>
      <c r="J311" s="4" t="s">
        <v>731</v>
      </c>
      <c r="K311" s="4" t="s">
        <v>1043</v>
      </c>
      <c r="L311">
        <v>401.66</v>
      </c>
      <c r="M311">
        <v>772.09</v>
      </c>
      <c r="N311">
        <v>8.8999999999999996E-2</v>
      </c>
      <c r="O311">
        <v>14</v>
      </c>
    </row>
    <row r="312" spans="1:15" x14ac:dyDescent="0.25">
      <c r="A312" t="s">
        <v>324</v>
      </c>
      <c r="B312" s="2">
        <v>45655</v>
      </c>
      <c r="C312" s="2">
        <v>45669</v>
      </c>
      <c r="D312" s="4" t="s">
        <v>649</v>
      </c>
      <c r="E312" s="4" t="s">
        <v>658</v>
      </c>
      <c r="F312" s="4" t="s">
        <v>693</v>
      </c>
      <c r="G312" s="4" t="s">
        <v>701</v>
      </c>
      <c r="H312" s="4" t="s">
        <v>711</v>
      </c>
      <c r="I312" s="4" t="s">
        <v>717</v>
      </c>
      <c r="J312" s="4" t="s">
        <v>732</v>
      </c>
      <c r="K312" s="4" t="s">
        <v>1044</v>
      </c>
      <c r="L312">
        <v>1399.72</v>
      </c>
      <c r="M312">
        <v>3149.21</v>
      </c>
      <c r="N312">
        <v>0.185</v>
      </c>
      <c r="O312">
        <v>12</v>
      </c>
    </row>
    <row r="313" spans="1:15" x14ac:dyDescent="0.25">
      <c r="A313" t="s">
        <v>325</v>
      </c>
      <c r="B313" s="2">
        <v>45435</v>
      </c>
      <c r="C313" s="2">
        <v>45449</v>
      </c>
      <c r="D313" s="4" t="s">
        <v>648</v>
      </c>
      <c r="E313" s="4" t="s">
        <v>655</v>
      </c>
      <c r="F313" s="4" t="s">
        <v>692</v>
      </c>
      <c r="G313" s="4" t="s">
        <v>703</v>
      </c>
      <c r="H313" s="4" t="s">
        <v>708</v>
      </c>
      <c r="I313" s="4" t="s">
        <v>714</v>
      </c>
      <c r="J313" s="4" t="s">
        <v>729</v>
      </c>
      <c r="K313" s="4" t="s">
        <v>1045</v>
      </c>
      <c r="L313">
        <v>51.13</v>
      </c>
      <c r="M313">
        <v>57.53</v>
      </c>
      <c r="N313">
        <v>4.4999999999999998E-2</v>
      </c>
      <c r="O313">
        <v>16</v>
      </c>
    </row>
    <row r="314" spans="1:15" x14ac:dyDescent="0.25">
      <c r="A314" t="s">
        <v>326</v>
      </c>
      <c r="B314" s="2">
        <v>45101</v>
      </c>
      <c r="C314" s="2">
        <v>45099</v>
      </c>
      <c r="D314" s="4" t="s">
        <v>648</v>
      </c>
      <c r="E314" s="4" t="s">
        <v>653</v>
      </c>
      <c r="F314" s="4" t="s">
        <v>667</v>
      </c>
      <c r="G314" s="4" t="s">
        <v>703</v>
      </c>
      <c r="H314" s="4" t="s">
        <v>707</v>
      </c>
      <c r="I314" s="4" t="s">
        <v>724</v>
      </c>
      <c r="J314" s="4" t="s">
        <v>733</v>
      </c>
      <c r="K314" s="4" t="s">
        <v>1046</v>
      </c>
      <c r="L314">
        <v>471.42</v>
      </c>
      <c r="M314">
        <v>824.81</v>
      </c>
      <c r="N314">
        <v>8.7999999999999995E-2</v>
      </c>
      <c r="O314">
        <v>15</v>
      </c>
    </row>
    <row r="315" spans="1:15" x14ac:dyDescent="0.25">
      <c r="A315" t="s">
        <v>327</v>
      </c>
      <c r="B315" s="2">
        <v>45600</v>
      </c>
      <c r="C315" s="2">
        <v>45601</v>
      </c>
      <c r="D315" s="4" t="s">
        <v>649</v>
      </c>
      <c r="E315" s="4" t="s">
        <v>658</v>
      </c>
      <c r="F315" s="4" t="s">
        <v>683</v>
      </c>
      <c r="G315" s="4" t="s">
        <v>701</v>
      </c>
      <c r="H315" s="4" t="s">
        <v>707</v>
      </c>
      <c r="I315" s="4" t="s">
        <v>724</v>
      </c>
      <c r="J315" s="4" t="s">
        <v>728</v>
      </c>
      <c r="K315" s="4" t="s">
        <v>1047</v>
      </c>
      <c r="L315">
        <v>840.68</v>
      </c>
      <c r="M315">
        <v>1493.53</v>
      </c>
      <c r="N315">
        <v>0</v>
      </c>
      <c r="O315">
        <v>27</v>
      </c>
    </row>
    <row r="316" spans="1:15" x14ac:dyDescent="0.25">
      <c r="A316" t="s">
        <v>328</v>
      </c>
      <c r="B316" s="2">
        <v>45451</v>
      </c>
      <c r="C316" s="2">
        <v>45467</v>
      </c>
      <c r="D316" s="4" t="s">
        <v>646</v>
      </c>
      <c r="E316" s="4" t="s">
        <v>661</v>
      </c>
      <c r="F316" s="4" t="s">
        <v>687</v>
      </c>
      <c r="G316" s="4" t="s">
        <v>702</v>
      </c>
      <c r="H316" s="4" t="s">
        <v>710</v>
      </c>
      <c r="I316" s="4" t="s">
        <v>722</v>
      </c>
      <c r="J316" s="4" t="s">
        <v>732</v>
      </c>
      <c r="K316" s="4" t="s">
        <v>1048</v>
      </c>
      <c r="L316">
        <v>597.85</v>
      </c>
      <c r="M316">
        <v>741.92</v>
      </c>
      <c r="N316">
        <v>3.1E-2</v>
      </c>
      <c r="O316">
        <v>7</v>
      </c>
    </row>
    <row r="317" spans="1:15" x14ac:dyDescent="0.25">
      <c r="A317" t="s">
        <v>329</v>
      </c>
      <c r="B317" s="2">
        <v>45809</v>
      </c>
      <c r="C317" s="2">
        <v>45814</v>
      </c>
      <c r="D317" s="4" t="s">
        <v>649</v>
      </c>
      <c r="E317" s="4" t="s">
        <v>657</v>
      </c>
      <c r="F317" s="4" t="s">
        <v>690</v>
      </c>
      <c r="G317" s="4" t="s">
        <v>704</v>
      </c>
      <c r="H317" s="4" t="s">
        <v>710</v>
      </c>
      <c r="I317" s="4" t="s">
        <v>715</v>
      </c>
      <c r="J317" s="4" t="s">
        <v>727</v>
      </c>
      <c r="K317" s="4" t="s">
        <v>1049</v>
      </c>
      <c r="L317">
        <v>379.45</v>
      </c>
      <c r="M317">
        <v>742.23</v>
      </c>
      <c r="N317">
        <v>0.09</v>
      </c>
      <c r="O317">
        <v>13</v>
      </c>
    </row>
    <row r="318" spans="1:15" x14ac:dyDescent="0.25">
      <c r="A318" t="s">
        <v>330</v>
      </c>
      <c r="B318" s="2">
        <v>45052</v>
      </c>
      <c r="C318" s="2">
        <v>45060</v>
      </c>
      <c r="D318" s="4" t="s">
        <v>647</v>
      </c>
      <c r="E318" s="4" t="s">
        <v>652</v>
      </c>
      <c r="F318" s="4" t="s">
        <v>666</v>
      </c>
      <c r="G318" s="4" t="s">
        <v>706</v>
      </c>
      <c r="H318" s="4" t="s">
        <v>709</v>
      </c>
      <c r="I318" s="4" t="s">
        <v>717</v>
      </c>
      <c r="J318" s="4" t="s">
        <v>730</v>
      </c>
      <c r="K318" s="4" t="s">
        <v>1050</v>
      </c>
      <c r="L318">
        <v>291.18</v>
      </c>
      <c r="M318">
        <v>479.54</v>
      </c>
      <c r="N318">
        <v>0.14099999999999999</v>
      </c>
      <c r="O318">
        <v>22</v>
      </c>
    </row>
    <row r="319" spans="1:15" x14ac:dyDescent="0.25">
      <c r="A319" t="s">
        <v>331</v>
      </c>
      <c r="B319" s="2">
        <v>45244</v>
      </c>
      <c r="C319" s="2">
        <v>45260</v>
      </c>
      <c r="D319" s="4" t="s">
        <v>648</v>
      </c>
      <c r="E319" s="4" t="s">
        <v>655</v>
      </c>
      <c r="F319" s="4" t="s">
        <v>670</v>
      </c>
      <c r="G319" s="4" t="s">
        <v>706</v>
      </c>
      <c r="H319" s="4" t="s">
        <v>711</v>
      </c>
      <c r="I319" s="4" t="s">
        <v>723</v>
      </c>
      <c r="J319" s="4" t="s">
        <v>729</v>
      </c>
      <c r="K319" s="4" t="s">
        <v>1051</v>
      </c>
      <c r="L319">
        <v>1017.92</v>
      </c>
      <c r="M319">
        <v>1175.25</v>
      </c>
      <c r="N319">
        <v>7.4999999999999997E-2</v>
      </c>
      <c r="O319">
        <v>15</v>
      </c>
    </row>
    <row r="320" spans="1:15" x14ac:dyDescent="0.25">
      <c r="A320" t="s">
        <v>332</v>
      </c>
      <c r="B320" s="2">
        <v>45748</v>
      </c>
      <c r="C320" s="2">
        <v>45774</v>
      </c>
      <c r="D320" s="4" t="s">
        <v>648</v>
      </c>
      <c r="E320" s="4" t="s">
        <v>660</v>
      </c>
      <c r="F320" s="4" t="s">
        <v>686</v>
      </c>
      <c r="G320" s="4" t="s">
        <v>701</v>
      </c>
      <c r="H320" s="4" t="s">
        <v>711</v>
      </c>
      <c r="I320" s="4" t="s">
        <v>714</v>
      </c>
      <c r="J320" s="4" t="s">
        <v>732</v>
      </c>
      <c r="K320" s="4" t="s">
        <v>1052</v>
      </c>
      <c r="L320">
        <v>156.55000000000001</v>
      </c>
      <c r="M320">
        <v>227.45</v>
      </c>
      <c r="N320">
        <v>1.4E-2</v>
      </c>
      <c r="O320">
        <v>13</v>
      </c>
    </row>
    <row r="321" spans="1:15" x14ac:dyDescent="0.25">
      <c r="A321" t="s">
        <v>333</v>
      </c>
      <c r="B321" s="2">
        <v>45008</v>
      </c>
      <c r="C321" s="2">
        <v>45031</v>
      </c>
      <c r="D321" s="4" t="s">
        <v>646</v>
      </c>
      <c r="E321" s="4" t="s">
        <v>650</v>
      </c>
      <c r="F321" s="4" t="s">
        <v>675</v>
      </c>
      <c r="G321" s="4" t="s">
        <v>705</v>
      </c>
      <c r="H321" s="4" t="s">
        <v>707</v>
      </c>
      <c r="I321" s="4" t="s">
        <v>712</v>
      </c>
      <c r="J321" s="4" t="s">
        <v>733</v>
      </c>
      <c r="K321" s="4" t="s">
        <v>1053</v>
      </c>
      <c r="L321">
        <v>875.36</v>
      </c>
      <c r="M321">
        <v>1178.6199999999999</v>
      </c>
      <c r="N321">
        <v>0.151</v>
      </c>
      <c r="O321">
        <v>53</v>
      </c>
    </row>
    <row r="322" spans="1:15" x14ac:dyDescent="0.25">
      <c r="A322" t="s">
        <v>334</v>
      </c>
      <c r="B322" s="2">
        <v>45440</v>
      </c>
      <c r="C322" s="2">
        <v>45461</v>
      </c>
      <c r="D322" s="4" t="s">
        <v>649</v>
      </c>
      <c r="E322" s="4" t="s">
        <v>656</v>
      </c>
      <c r="F322" s="4" t="s">
        <v>698</v>
      </c>
      <c r="G322" s="4" t="s">
        <v>705</v>
      </c>
      <c r="H322" s="4" t="s">
        <v>708</v>
      </c>
      <c r="I322" s="4" t="s">
        <v>718</v>
      </c>
      <c r="J322" s="4" t="s">
        <v>730</v>
      </c>
      <c r="K322" s="4" t="s">
        <v>1054</v>
      </c>
      <c r="L322">
        <v>986.85</v>
      </c>
      <c r="M322">
        <v>2422.1</v>
      </c>
      <c r="N322">
        <v>7.5999999999999998E-2</v>
      </c>
      <c r="O322">
        <v>10</v>
      </c>
    </row>
    <row r="323" spans="1:15" x14ac:dyDescent="0.25">
      <c r="A323" t="s">
        <v>335</v>
      </c>
      <c r="B323" s="2">
        <v>45293</v>
      </c>
      <c r="C323" s="2">
        <v>45292</v>
      </c>
      <c r="D323" s="4" t="s">
        <v>648</v>
      </c>
      <c r="E323" s="4" t="s">
        <v>660</v>
      </c>
      <c r="F323" s="4" t="s">
        <v>677</v>
      </c>
      <c r="G323" s="4" t="s">
        <v>702</v>
      </c>
      <c r="H323" s="4" t="s">
        <v>709</v>
      </c>
      <c r="I323" s="4" t="s">
        <v>717</v>
      </c>
      <c r="J323" s="4" t="s">
        <v>729</v>
      </c>
      <c r="K323" s="4" t="s">
        <v>1055</v>
      </c>
      <c r="L323">
        <v>404.77</v>
      </c>
      <c r="M323">
        <v>433.88</v>
      </c>
      <c r="N323">
        <v>0.215</v>
      </c>
      <c r="O323">
        <v>22</v>
      </c>
    </row>
    <row r="324" spans="1:15" x14ac:dyDescent="0.25">
      <c r="A324" t="s">
        <v>336</v>
      </c>
      <c r="B324" s="2">
        <v>44985</v>
      </c>
      <c r="C324" s="2">
        <v>44984</v>
      </c>
      <c r="D324" s="4" t="s">
        <v>649</v>
      </c>
      <c r="E324" s="4" t="s">
        <v>657</v>
      </c>
      <c r="F324" s="4" t="s">
        <v>673</v>
      </c>
      <c r="G324" s="4" t="s">
        <v>701</v>
      </c>
      <c r="H324" s="4" t="s">
        <v>707</v>
      </c>
      <c r="I324" s="4" t="s">
        <v>723</v>
      </c>
      <c r="J324" s="4" t="s">
        <v>729</v>
      </c>
      <c r="K324" s="4" t="s">
        <v>1056</v>
      </c>
      <c r="L324">
        <v>1299.81</v>
      </c>
      <c r="M324">
        <v>3149.13</v>
      </c>
      <c r="N324">
        <v>0.10299999999999999</v>
      </c>
      <c r="O324">
        <v>14</v>
      </c>
    </row>
    <row r="325" spans="1:15" x14ac:dyDescent="0.25">
      <c r="A325" t="s">
        <v>337</v>
      </c>
      <c r="B325" s="2">
        <v>45340</v>
      </c>
      <c r="C325" s="2">
        <v>45362</v>
      </c>
      <c r="D325" s="4" t="s">
        <v>648</v>
      </c>
      <c r="E325" s="4" t="s">
        <v>655</v>
      </c>
      <c r="F325" s="4" t="s">
        <v>670</v>
      </c>
      <c r="G325" s="4" t="s">
        <v>704</v>
      </c>
      <c r="H325" s="4" t="s">
        <v>708</v>
      </c>
      <c r="I325" s="4" t="s">
        <v>720</v>
      </c>
      <c r="J325" s="4" t="s">
        <v>727</v>
      </c>
      <c r="K325" s="4" t="s">
        <v>1057</v>
      </c>
      <c r="L325">
        <v>80.48</v>
      </c>
      <c r="M325">
        <v>65.650000000000006</v>
      </c>
      <c r="N325">
        <v>0.17599999999999999</v>
      </c>
      <c r="O325">
        <v>13</v>
      </c>
    </row>
    <row r="326" spans="1:15" x14ac:dyDescent="0.25">
      <c r="A326" t="s">
        <v>338</v>
      </c>
      <c r="B326" s="2">
        <v>45544</v>
      </c>
      <c r="C326" s="2">
        <v>45573</v>
      </c>
      <c r="D326" s="4" t="s">
        <v>648</v>
      </c>
      <c r="E326" s="4" t="s">
        <v>655</v>
      </c>
      <c r="F326" s="4" t="s">
        <v>670</v>
      </c>
      <c r="G326" s="4" t="s">
        <v>702</v>
      </c>
      <c r="H326" s="4" t="s">
        <v>711</v>
      </c>
      <c r="I326" s="4" t="s">
        <v>713</v>
      </c>
      <c r="J326" s="4" t="s">
        <v>727</v>
      </c>
      <c r="K326" s="4" t="s">
        <v>1058</v>
      </c>
      <c r="L326">
        <v>1010.33</v>
      </c>
      <c r="M326">
        <v>2492.14</v>
      </c>
      <c r="N326">
        <v>5.0999999999999997E-2</v>
      </c>
      <c r="O326">
        <v>11</v>
      </c>
    </row>
    <row r="327" spans="1:15" x14ac:dyDescent="0.25">
      <c r="A327" t="s">
        <v>339</v>
      </c>
      <c r="B327" s="2">
        <v>45053</v>
      </c>
      <c r="C327" s="2">
        <v>45075</v>
      </c>
      <c r="D327" s="4" t="s">
        <v>646</v>
      </c>
      <c r="E327" s="4" t="s">
        <v>661</v>
      </c>
      <c r="F327" s="4" t="s">
        <v>687</v>
      </c>
      <c r="G327" s="4" t="s">
        <v>702</v>
      </c>
      <c r="H327" s="4" t="s">
        <v>710</v>
      </c>
      <c r="I327" s="4" t="s">
        <v>723</v>
      </c>
      <c r="J327" s="4" t="s">
        <v>733</v>
      </c>
      <c r="K327" s="4" t="s">
        <v>1059</v>
      </c>
      <c r="L327">
        <v>653.86</v>
      </c>
      <c r="M327">
        <v>931.84</v>
      </c>
      <c r="N327">
        <v>0.121</v>
      </c>
      <c r="O327">
        <v>12</v>
      </c>
    </row>
    <row r="328" spans="1:15" x14ac:dyDescent="0.25">
      <c r="A328" t="s">
        <v>340</v>
      </c>
      <c r="B328" s="2">
        <v>45303</v>
      </c>
      <c r="C328" s="2">
        <v>45320</v>
      </c>
      <c r="D328" s="4" t="s">
        <v>647</v>
      </c>
      <c r="E328" s="4" t="s">
        <v>654</v>
      </c>
      <c r="F328" s="4" t="s">
        <v>696</v>
      </c>
      <c r="G328" s="4" t="s">
        <v>705</v>
      </c>
      <c r="H328" s="4" t="s">
        <v>711</v>
      </c>
      <c r="I328" s="4" t="s">
        <v>717</v>
      </c>
      <c r="J328" s="4" t="s">
        <v>727</v>
      </c>
      <c r="K328" s="4" t="s">
        <v>1060</v>
      </c>
      <c r="L328">
        <v>310.02</v>
      </c>
      <c r="M328">
        <v>619.51</v>
      </c>
      <c r="N328">
        <v>4.2000000000000003E-2</v>
      </c>
      <c r="O328">
        <v>4</v>
      </c>
    </row>
    <row r="329" spans="1:15" x14ac:dyDescent="0.25">
      <c r="A329" t="s">
        <v>341</v>
      </c>
      <c r="B329" s="2">
        <v>45087</v>
      </c>
      <c r="C329" s="2">
        <v>45095</v>
      </c>
      <c r="D329" s="4" t="s">
        <v>646</v>
      </c>
      <c r="E329" s="4" t="s">
        <v>650</v>
      </c>
      <c r="F329" s="4" t="s">
        <v>678</v>
      </c>
      <c r="G329" s="4" t="s">
        <v>706</v>
      </c>
      <c r="H329" s="4" t="s">
        <v>711</v>
      </c>
      <c r="I329" s="4" t="s">
        <v>722</v>
      </c>
      <c r="J329" s="4" t="s">
        <v>730</v>
      </c>
      <c r="K329" s="4" t="s">
        <v>1061</v>
      </c>
      <c r="L329">
        <v>894.23</v>
      </c>
      <c r="M329">
        <v>1421.55</v>
      </c>
      <c r="N329">
        <v>0.109</v>
      </c>
      <c r="O329">
        <v>3</v>
      </c>
    </row>
    <row r="330" spans="1:15" x14ac:dyDescent="0.25">
      <c r="A330" t="s">
        <v>342</v>
      </c>
      <c r="B330" s="2">
        <v>45796</v>
      </c>
      <c r="C330" s="2">
        <v>45794</v>
      </c>
      <c r="D330" s="4" t="s">
        <v>648</v>
      </c>
      <c r="E330" s="4" t="s">
        <v>655</v>
      </c>
      <c r="F330" s="4" t="s">
        <v>670</v>
      </c>
      <c r="G330" s="4" t="s">
        <v>705</v>
      </c>
      <c r="H330" s="4" t="s">
        <v>710</v>
      </c>
      <c r="I330" s="4" t="s">
        <v>716</v>
      </c>
      <c r="J330" s="4" t="s">
        <v>732</v>
      </c>
      <c r="K330" s="4" t="s">
        <v>1062</v>
      </c>
      <c r="L330">
        <v>383.77</v>
      </c>
      <c r="M330">
        <v>952.56</v>
      </c>
      <c r="N330">
        <v>0.34599999999999997</v>
      </c>
      <c r="O330">
        <v>10</v>
      </c>
    </row>
    <row r="331" spans="1:15" x14ac:dyDescent="0.25">
      <c r="A331" t="s">
        <v>343</v>
      </c>
      <c r="B331" s="2">
        <v>45221</v>
      </c>
      <c r="C331" s="2">
        <v>45246</v>
      </c>
      <c r="D331" s="4" t="s">
        <v>648</v>
      </c>
      <c r="E331" s="4" t="s">
        <v>653</v>
      </c>
      <c r="F331" s="4" t="s">
        <v>667</v>
      </c>
      <c r="G331" s="4" t="s">
        <v>705</v>
      </c>
      <c r="H331" s="4" t="s">
        <v>709</v>
      </c>
      <c r="I331" s="4" t="s">
        <v>714</v>
      </c>
      <c r="J331" s="4" t="s">
        <v>731</v>
      </c>
      <c r="K331" s="4" t="s">
        <v>1063</v>
      </c>
      <c r="L331">
        <v>1373.31</v>
      </c>
      <c r="M331">
        <v>3154.14</v>
      </c>
      <c r="N331">
        <v>0.2</v>
      </c>
      <c r="O331">
        <v>11</v>
      </c>
    </row>
    <row r="332" spans="1:15" x14ac:dyDescent="0.25">
      <c r="A332" t="s">
        <v>344</v>
      </c>
      <c r="B332" s="2">
        <v>45668</v>
      </c>
      <c r="C332" s="2">
        <v>45680</v>
      </c>
      <c r="D332" s="4" t="s">
        <v>648</v>
      </c>
      <c r="E332" s="4" t="s">
        <v>660</v>
      </c>
      <c r="F332" s="4" t="s">
        <v>697</v>
      </c>
      <c r="G332" s="4" t="s">
        <v>704</v>
      </c>
      <c r="H332" s="4" t="s">
        <v>710</v>
      </c>
      <c r="I332" s="4" t="s">
        <v>722</v>
      </c>
      <c r="J332" s="4" t="s">
        <v>730</v>
      </c>
      <c r="K332" s="4" t="s">
        <v>1064</v>
      </c>
      <c r="L332">
        <v>100.69</v>
      </c>
      <c r="M332">
        <v>226.14</v>
      </c>
      <c r="N332">
        <v>6.5000000000000002E-2</v>
      </c>
      <c r="O332">
        <v>12</v>
      </c>
    </row>
    <row r="333" spans="1:15" x14ac:dyDescent="0.25">
      <c r="A333" t="s">
        <v>345</v>
      </c>
      <c r="B333" s="2">
        <v>45914</v>
      </c>
      <c r="C333" s="2">
        <v>45926</v>
      </c>
      <c r="D333" s="4" t="s">
        <v>649</v>
      </c>
      <c r="E333" s="4" t="s">
        <v>658</v>
      </c>
      <c r="F333" s="4" t="s">
        <v>683</v>
      </c>
      <c r="G333" s="4" t="s">
        <v>705</v>
      </c>
      <c r="H333" s="4" t="s">
        <v>711</v>
      </c>
      <c r="I333" s="4" t="s">
        <v>725</v>
      </c>
      <c r="J333" s="4" t="s">
        <v>729</v>
      </c>
      <c r="K333" s="4" t="s">
        <v>1065</v>
      </c>
      <c r="L333">
        <v>425.15</v>
      </c>
      <c r="M333">
        <v>885.92</v>
      </c>
      <c r="N333">
        <v>0.23899999999999999</v>
      </c>
      <c r="O333">
        <v>13</v>
      </c>
    </row>
    <row r="334" spans="1:15" x14ac:dyDescent="0.25">
      <c r="A334" t="s">
        <v>346</v>
      </c>
      <c r="B334" s="2">
        <v>45168</v>
      </c>
      <c r="C334" s="2">
        <v>45172</v>
      </c>
      <c r="D334" s="4" t="s">
        <v>647</v>
      </c>
      <c r="E334" s="4" t="s">
        <v>654</v>
      </c>
      <c r="F334" s="4" t="s">
        <v>680</v>
      </c>
      <c r="G334" s="4" t="s">
        <v>705</v>
      </c>
      <c r="H334" s="4" t="s">
        <v>709</v>
      </c>
      <c r="I334" s="4" t="s">
        <v>716</v>
      </c>
      <c r="J334" s="4" t="s">
        <v>733</v>
      </c>
      <c r="K334" s="4" t="s">
        <v>1066</v>
      </c>
      <c r="L334">
        <v>1082.25</v>
      </c>
      <c r="M334">
        <v>2433.34</v>
      </c>
      <c r="N334">
        <v>0.27</v>
      </c>
      <c r="O334">
        <v>4</v>
      </c>
    </row>
    <row r="335" spans="1:15" x14ac:dyDescent="0.25">
      <c r="A335" t="s">
        <v>347</v>
      </c>
      <c r="B335" s="2">
        <v>45245</v>
      </c>
      <c r="C335" s="2">
        <v>45266</v>
      </c>
      <c r="D335" s="4" t="s">
        <v>649</v>
      </c>
      <c r="E335" s="4" t="s">
        <v>658</v>
      </c>
      <c r="F335" s="4" t="s">
        <v>693</v>
      </c>
      <c r="G335" s="4" t="s">
        <v>702</v>
      </c>
      <c r="H335" s="4" t="s">
        <v>711</v>
      </c>
      <c r="I335" s="4" t="s">
        <v>722</v>
      </c>
      <c r="J335" s="4" t="s">
        <v>733</v>
      </c>
      <c r="K335" s="4" t="s">
        <v>1067</v>
      </c>
      <c r="L335">
        <v>1184.99</v>
      </c>
      <c r="M335">
        <v>1154.3399999999999</v>
      </c>
      <c r="N335">
        <v>2.8000000000000001E-2</v>
      </c>
      <c r="O335">
        <v>5</v>
      </c>
    </row>
    <row r="336" spans="1:15" x14ac:dyDescent="0.25">
      <c r="A336" t="s">
        <v>348</v>
      </c>
      <c r="B336" s="2">
        <v>45774</v>
      </c>
      <c r="C336" s="2">
        <v>45804</v>
      </c>
      <c r="D336" s="4" t="s">
        <v>647</v>
      </c>
      <c r="E336" s="4" t="s">
        <v>654</v>
      </c>
      <c r="G336" s="4" t="s">
        <v>706</v>
      </c>
      <c r="H336" s="4" t="s">
        <v>709</v>
      </c>
      <c r="I336" s="4" t="s">
        <v>722</v>
      </c>
      <c r="J336" s="4" t="s">
        <v>730</v>
      </c>
      <c r="K336" s="4" t="s">
        <v>1068</v>
      </c>
      <c r="L336">
        <v>481.32</v>
      </c>
      <c r="M336">
        <v>1135.99</v>
      </c>
      <c r="N336">
        <v>0.14499999999999999</v>
      </c>
      <c r="O336">
        <v>5</v>
      </c>
    </row>
    <row r="337" spans="1:15" x14ac:dyDescent="0.25">
      <c r="A337" t="s">
        <v>349</v>
      </c>
      <c r="B337" s="2">
        <v>45391</v>
      </c>
      <c r="C337" s="2">
        <v>45400</v>
      </c>
      <c r="D337" s="4" t="s">
        <v>649</v>
      </c>
      <c r="E337" s="4" t="s">
        <v>657</v>
      </c>
      <c r="F337" s="4" t="s">
        <v>679</v>
      </c>
      <c r="G337" s="4" t="s">
        <v>704</v>
      </c>
      <c r="H337" s="4" t="s">
        <v>708</v>
      </c>
      <c r="I337" s="4" t="s">
        <v>718</v>
      </c>
      <c r="J337" s="4" t="s">
        <v>728</v>
      </c>
      <c r="K337" s="4" t="s">
        <v>1069</v>
      </c>
      <c r="L337">
        <v>1288.8499999999999</v>
      </c>
      <c r="M337">
        <v>2751.84</v>
      </c>
      <c r="N337">
        <v>0.158</v>
      </c>
      <c r="O337">
        <v>7</v>
      </c>
    </row>
    <row r="338" spans="1:15" x14ac:dyDescent="0.25">
      <c r="A338" t="s">
        <v>350</v>
      </c>
      <c r="B338" s="2">
        <v>45484</v>
      </c>
      <c r="C338" s="2">
        <v>45504</v>
      </c>
      <c r="D338" s="4" t="s">
        <v>647</v>
      </c>
      <c r="E338" s="4" t="s">
        <v>659</v>
      </c>
      <c r="F338" s="4" t="s">
        <v>676</v>
      </c>
      <c r="G338" s="4" t="s">
        <v>704</v>
      </c>
      <c r="H338" s="4" t="s">
        <v>708</v>
      </c>
      <c r="I338" s="4" t="s">
        <v>715</v>
      </c>
      <c r="J338" s="4" t="s">
        <v>730</v>
      </c>
      <c r="K338" s="4" t="s">
        <v>1070</v>
      </c>
      <c r="L338">
        <v>647.26</v>
      </c>
      <c r="M338">
        <v>1374.72</v>
      </c>
      <c r="N338">
        <v>6.6000000000000003E-2</v>
      </c>
      <c r="O338">
        <v>22</v>
      </c>
    </row>
    <row r="339" spans="1:15" x14ac:dyDescent="0.25">
      <c r="A339" t="s">
        <v>351</v>
      </c>
      <c r="B339" s="2">
        <v>45340</v>
      </c>
      <c r="C339" s="2">
        <v>45354</v>
      </c>
      <c r="D339" s="4" t="s">
        <v>648</v>
      </c>
      <c r="E339" s="4" t="s">
        <v>655</v>
      </c>
      <c r="G339" s="4" t="s">
        <v>706</v>
      </c>
      <c r="H339" s="4" t="s">
        <v>710</v>
      </c>
      <c r="I339" s="4" t="s">
        <v>720</v>
      </c>
      <c r="J339" s="4" t="s">
        <v>728</v>
      </c>
      <c r="K339" s="4" t="s">
        <v>1071</v>
      </c>
      <c r="L339">
        <v>624.23</v>
      </c>
      <c r="M339">
        <v>1318.37</v>
      </c>
      <c r="N339">
        <v>0.21</v>
      </c>
      <c r="O339">
        <v>37</v>
      </c>
    </row>
    <row r="340" spans="1:15" x14ac:dyDescent="0.25">
      <c r="A340" t="s">
        <v>352</v>
      </c>
      <c r="B340" s="2">
        <v>45132</v>
      </c>
      <c r="C340" s="2">
        <v>45148</v>
      </c>
      <c r="D340" s="4" t="s">
        <v>646</v>
      </c>
      <c r="E340" s="4" t="s">
        <v>651</v>
      </c>
      <c r="F340" s="4" t="s">
        <v>663</v>
      </c>
      <c r="G340" s="4" t="s">
        <v>701</v>
      </c>
      <c r="H340" s="4" t="s">
        <v>710</v>
      </c>
      <c r="I340" s="4" t="s">
        <v>714</v>
      </c>
      <c r="J340" s="4" t="s">
        <v>733</v>
      </c>
      <c r="K340" s="4" t="s">
        <v>1072</v>
      </c>
      <c r="L340">
        <v>506.83</v>
      </c>
      <c r="M340">
        <v>441.74</v>
      </c>
      <c r="N340">
        <v>0.24</v>
      </c>
      <c r="O340">
        <v>9</v>
      </c>
    </row>
    <row r="341" spans="1:15" x14ac:dyDescent="0.25">
      <c r="A341" t="s">
        <v>353</v>
      </c>
      <c r="B341" s="2">
        <v>45121</v>
      </c>
      <c r="C341" s="2">
        <v>45128</v>
      </c>
      <c r="D341" s="4" t="s">
        <v>646</v>
      </c>
      <c r="E341" s="4" t="s">
        <v>661</v>
      </c>
      <c r="F341" s="4" t="s">
        <v>687</v>
      </c>
      <c r="G341" s="4" t="s">
        <v>706</v>
      </c>
      <c r="H341" s="4" t="s">
        <v>709</v>
      </c>
      <c r="J341" s="4" t="s">
        <v>732</v>
      </c>
      <c r="K341" s="4" t="s">
        <v>1073</v>
      </c>
      <c r="L341">
        <v>620.74</v>
      </c>
      <c r="M341">
        <v>1330.07</v>
      </c>
      <c r="N341">
        <v>0.29899999999999999</v>
      </c>
      <c r="O341">
        <v>28</v>
      </c>
    </row>
    <row r="342" spans="1:15" x14ac:dyDescent="0.25">
      <c r="A342" t="s">
        <v>354</v>
      </c>
      <c r="B342" s="2">
        <v>45131</v>
      </c>
      <c r="C342" s="2">
        <v>45157</v>
      </c>
      <c r="D342" s="4" t="s">
        <v>646</v>
      </c>
      <c r="E342" s="4" t="s">
        <v>650</v>
      </c>
      <c r="F342" s="4" t="s">
        <v>664</v>
      </c>
      <c r="G342" s="4" t="s">
        <v>706</v>
      </c>
      <c r="H342" s="4" t="s">
        <v>710</v>
      </c>
      <c r="I342" s="4" t="s">
        <v>724</v>
      </c>
      <c r="J342" s="4" t="s">
        <v>733</v>
      </c>
      <c r="K342" s="4" t="s">
        <v>1074</v>
      </c>
      <c r="L342">
        <v>661.45</v>
      </c>
      <c r="M342">
        <v>1634.86</v>
      </c>
      <c r="N342">
        <v>0.56499999999999995</v>
      </c>
      <c r="O342">
        <v>24</v>
      </c>
    </row>
    <row r="343" spans="1:15" x14ac:dyDescent="0.25">
      <c r="A343" t="s">
        <v>355</v>
      </c>
      <c r="B343" s="2">
        <v>45029</v>
      </c>
      <c r="C343" s="2">
        <v>45027</v>
      </c>
      <c r="D343" s="4" t="s">
        <v>648</v>
      </c>
      <c r="E343" s="4" t="s">
        <v>660</v>
      </c>
      <c r="F343" s="4" t="s">
        <v>686</v>
      </c>
      <c r="G343" s="4" t="s">
        <v>702</v>
      </c>
      <c r="H343" s="4" t="s">
        <v>709</v>
      </c>
      <c r="I343" s="4" t="s">
        <v>715</v>
      </c>
      <c r="J343" s="4" t="s">
        <v>729</v>
      </c>
      <c r="K343" s="4" t="s">
        <v>1075</v>
      </c>
      <c r="L343">
        <v>32.1</v>
      </c>
      <c r="M343">
        <v>70.599999999999994</v>
      </c>
      <c r="N343">
        <v>0.28199999999999997</v>
      </c>
      <c r="O343">
        <v>22</v>
      </c>
    </row>
    <row r="344" spans="1:15" x14ac:dyDescent="0.25">
      <c r="A344" t="s">
        <v>356</v>
      </c>
      <c r="B344" s="2">
        <v>45594</v>
      </c>
      <c r="C344" s="2">
        <v>45600</v>
      </c>
      <c r="D344" s="4" t="s">
        <v>646</v>
      </c>
      <c r="E344" s="4" t="s">
        <v>650</v>
      </c>
      <c r="F344" s="4" t="s">
        <v>664</v>
      </c>
      <c r="G344" s="4" t="s">
        <v>701</v>
      </c>
      <c r="H344" s="4" t="s">
        <v>710</v>
      </c>
      <c r="I344" s="4" t="s">
        <v>724</v>
      </c>
      <c r="J344" s="4" t="s">
        <v>728</v>
      </c>
      <c r="K344" s="4" t="s">
        <v>1076</v>
      </c>
      <c r="L344">
        <v>805.81</v>
      </c>
      <c r="M344">
        <v>1823.04</v>
      </c>
      <c r="N344">
        <v>0</v>
      </c>
      <c r="O344">
        <v>11</v>
      </c>
    </row>
    <row r="345" spans="1:15" x14ac:dyDescent="0.25">
      <c r="A345" t="s">
        <v>357</v>
      </c>
      <c r="B345" s="2">
        <v>45339</v>
      </c>
      <c r="C345" s="2">
        <v>45355</v>
      </c>
      <c r="D345" s="4" t="s">
        <v>647</v>
      </c>
      <c r="E345" s="4" t="s">
        <v>654</v>
      </c>
      <c r="F345" s="4" t="s">
        <v>680</v>
      </c>
      <c r="G345" s="4" t="s">
        <v>705</v>
      </c>
      <c r="H345" s="4" t="s">
        <v>709</v>
      </c>
      <c r="I345" s="4" t="s">
        <v>721</v>
      </c>
      <c r="J345" s="4" t="s">
        <v>730</v>
      </c>
      <c r="K345" s="4" t="s">
        <v>1077</v>
      </c>
      <c r="L345">
        <v>1231.8</v>
      </c>
      <c r="M345">
        <v>2015.99</v>
      </c>
      <c r="N345">
        <v>0.26100000000000001</v>
      </c>
      <c r="O345">
        <v>6</v>
      </c>
    </row>
    <row r="346" spans="1:15" x14ac:dyDescent="0.25">
      <c r="A346" t="s">
        <v>358</v>
      </c>
      <c r="B346" s="2">
        <v>45486</v>
      </c>
      <c r="C346" s="2">
        <v>45485</v>
      </c>
      <c r="D346" s="4" t="s">
        <v>647</v>
      </c>
      <c r="E346" s="4" t="s">
        <v>652</v>
      </c>
      <c r="F346" s="4" t="s">
        <v>694</v>
      </c>
      <c r="G346" s="4" t="s">
        <v>705</v>
      </c>
      <c r="H346" s="4" t="s">
        <v>709</v>
      </c>
      <c r="I346" s="4" t="s">
        <v>721</v>
      </c>
      <c r="J346" s="4" t="s">
        <v>729</v>
      </c>
      <c r="K346" s="4" t="s">
        <v>1078</v>
      </c>
      <c r="L346">
        <v>105.13</v>
      </c>
      <c r="M346">
        <v>244.13</v>
      </c>
      <c r="N346">
        <v>7.0999999999999994E-2</v>
      </c>
      <c r="O346">
        <v>14</v>
      </c>
    </row>
    <row r="347" spans="1:15" x14ac:dyDescent="0.25">
      <c r="A347" t="s">
        <v>359</v>
      </c>
      <c r="B347" s="2">
        <v>45261</v>
      </c>
      <c r="C347" s="2">
        <v>45278</v>
      </c>
      <c r="D347" s="4" t="s">
        <v>647</v>
      </c>
      <c r="E347" s="4" t="s">
        <v>652</v>
      </c>
      <c r="F347" s="4" t="s">
        <v>694</v>
      </c>
      <c r="G347" s="4" t="s">
        <v>705</v>
      </c>
      <c r="H347" s="4" t="s">
        <v>711</v>
      </c>
      <c r="I347" s="4" t="s">
        <v>725</v>
      </c>
      <c r="J347" s="4" t="s">
        <v>731</v>
      </c>
      <c r="K347" s="4" t="s">
        <v>1079</v>
      </c>
      <c r="L347">
        <v>1495.79</v>
      </c>
      <c r="M347">
        <v>2783.12</v>
      </c>
      <c r="N347">
        <v>0.02</v>
      </c>
      <c r="O347">
        <v>5</v>
      </c>
    </row>
    <row r="348" spans="1:15" x14ac:dyDescent="0.25">
      <c r="A348" t="s">
        <v>360</v>
      </c>
      <c r="B348" s="2">
        <v>45498</v>
      </c>
      <c r="C348" s="2">
        <v>45506</v>
      </c>
      <c r="D348" s="4" t="s">
        <v>648</v>
      </c>
      <c r="E348" s="4" t="s">
        <v>653</v>
      </c>
      <c r="F348" s="4" t="s">
        <v>681</v>
      </c>
      <c r="G348" s="4" t="s">
        <v>704</v>
      </c>
      <c r="H348" s="4" t="s">
        <v>711</v>
      </c>
      <c r="I348" s="4" t="s">
        <v>713</v>
      </c>
      <c r="J348" s="4" t="s">
        <v>733</v>
      </c>
      <c r="K348" s="4" t="s">
        <v>1080</v>
      </c>
      <c r="L348">
        <v>986.81</v>
      </c>
      <c r="M348">
        <v>2050.31</v>
      </c>
      <c r="N348">
        <v>0.10299999999999999</v>
      </c>
      <c r="O348">
        <v>43</v>
      </c>
    </row>
    <row r="349" spans="1:15" x14ac:dyDescent="0.25">
      <c r="A349" t="s">
        <v>361</v>
      </c>
      <c r="B349" s="2">
        <v>45050</v>
      </c>
      <c r="C349" s="2">
        <v>45062</v>
      </c>
      <c r="D349" s="4" t="s">
        <v>646</v>
      </c>
      <c r="E349" s="4" t="s">
        <v>651</v>
      </c>
      <c r="F349" s="4" t="s">
        <v>669</v>
      </c>
      <c r="G349" s="4" t="s">
        <v>705</v>
      </c>
      <c r="H349" s="4" t="s">
        <v>709</v>
      </c>
      <c r="I349" s="4" t="s">
        <v>713</v>
      </c>
      <c r="J349" s="4" t="s">
        <v>730</v>
      </c>
      <c r="K349" s="4" t="s">
        <v>1081</v>
      </c>
      <c r="L349">
        <v>77.739999999999995</v>
      </c>
      <c r="M349">
        <v>147.12</v>
      </c>
      <c r="N349">
        <v>0</v>
      </c>
      <c r="O349">
        <v>15</v>
      </c>
    </row>
    <row r="350" spans="1:15" x14ac:dyDescent="0.25">
      <c r="A350" t="s">
        <v>362</v>
      </c>
      <c r="B350" s="2">
        <v>45281</v>
      </c>
      <c r="C350" s="2">
        <v>45297</v>
      </c>
      <c r="D350" s="4" t="s">
        <v>646</v>
      </c>
      <c r="E350" s="4" t="s">
        <v>651</v>
      </c>
      <c r="G350" s="4" t="s">
        <v>701</v>
      </c>
      <c r="H350" s="4" t="s">
        <v>709</v>
      </c>
      <c r="I350" s="4" t="s">
        <v>723</v>
      </c>
      <c r="J350" s="4" t="s">
        <v>727</v>
      </c>
      <c r="K350" s="4" t="s">
        <v>1082</v>
      </c>
      <c r="L350">
        <v>932.61</v>
      </c>
      <c r="M350">
        <v>1982.98</v>
      </c>
      <c r="N350">
        <v>0.14399999999999999</v>
      </c>
      <c r="O350">
        <v>16</v>
      </c>
    </row>
    <row r="351" spans="1:15" x14ac:dyDescent="0.25">
      <c r="A351" t="s">
        <v>363</v>
      </c>
      <c r="B351" s="2">
        <v>45825</v>
      </c>
      <c r="C351" s="2">
        <v>45843</v>
      </c>
      <c r="D351" s="4" t="s">
        <v>647</v>
      </c>
      <c r="E351" s="4" t="s">
        <v>654</v>
      </c>
      <c r="F351" s="4" t="s">
        <v>680</v>
      </c>
      <c r="G351" s="4" t="s">
        <v>704</v>
      </c>
      <c r="H351" s="4" t="s">
        <v>709</v>
      </c>
      <c r="I351" s="4" t="s">
        <v>716</v>
      </c>
      <c r="J351" s="4" t="s">
        <v>731</v>
      </c>
      <c r="K351" s="4" t="s">
        <v>1083</v>
      </c>
      <c r="L351">
        <v>982.93</v>
      </c>
      <c r="M351">
        <v>2299.3000000000002</v>
      </c>
      <c r="N351">
        <v>0.113</v>
      </c>
      <c r="O351">
        <v>6</v>
      </c>
    </row>
    <row r="352" spans="1:15" x14ac:dyDescent="0.25">
      <c r="A352" t="s">
        <v>364</v>
      </c>
      <c r="B352" s="2">
        <v>44980</v>
      </c>
      <c r="C352" s="2">
        <v>44993</v>
      </c>
      <c r="D352" s="4" t="s">
        <v>649</v>
      </c>
      <c r="E352" s="4" t="s">
        <v>658</v>
      </c>
      <c r="F352" s="4" t="s">
        <v>693</v>
      </c>
      <c r="G352" s="4" t="s">
        <v>705</v>
      </c>
      <c r="H352" s="4" t="s">
        <v>711</v>
      </c>
      <c r="I352" s="4" t="s">
        <v>712</v>
      </c>
      <c r="J352" s="4" t="s">
        <v>728</v>
      </c>
      <c r="K352" s="4" t="s">
        <v>1084</v>
      </c>
      <c r="L352">
        <v>307.37</v>
      </c>
      <c r="M352">
        <v>462.61</v>
      </c>
      <c r="N352">
        <v>0.188</v>
      </c>
      <c r="O352">
        <v>11</v>
      </c>
    </row>
    <row r="353" spans="1:15" x14ac:dyDescent="0.25">
      <c r="A353" t="s">
        <v>365</v>
      </c>
      <c r="B353" s="2">
        <v>45262</v>
      </c>
      <c r="C353" s="2">
        <v>45276</v>
      </c>
      <c r="D353" s="4" t="s">
        <v>649</v>
      </c>
      <c r="E353" s="4" t="s">
        <v>656</v>
      </c>
      <c r="F353" s="4" t="s">
        <v>698</v>
      </c>
      <c r="G353" s="4" t="s">
        <v>702</v>
      </c>
      <c r="H353" s="4" t="s">
        <v>711</v>
      </c>
      <c r="I353" s="4" t="s">
        <v>725</v>
      </c>
      <c r="J353" s="4" t="s">
        <v>732</v>
      </c>
      <c r="K353" s="4" t="s">
        <v>1085</v>
      </c>
      <c r="L353">
        <v>879.08</v>
      </c>
      <c r="M353">
        <v>1093.3900000000001</v>
      </c>
      <c r="N353">
        <v>0.113</v>
      </c>
      <c r="O353">
        <v>17</v>
      </c>
    </row>
    <row r="354" spans="1:15" x14ac:dyDescent="0.25">
      <c r="A354" t="s">
        <v>366</v>
      </c>
      <c r="B354" s="2">
        <v>45121</v>
      </c>
      <c r="C354" s="2">
        <v>45121</v>
      </c>
      <c r="D354" s="4" t="s">
        <v>646</v>
      </c>
      <c r="E354" s="4" t="s">
        <v>651</v>
      </c>
      <c r="F354" s="4" t="s">
        <v>665</v>
      </c>
      <c r="G354" s="4" t="s">
        <v>702</v>
      </c>
      <c r="H354" s="4" t="s">
        <v>707</v>
      </c>
      <c r="I354" s="4" t="s">
        <v>714</v>
      </c>
      <c r="J354" s="4" t="s">
        <v>733</v>
      </c>
      <c r="K354" s="4" t="s">
        <v>1086</v>
      </c>
      <c r="L354">
        <v>956.38</v>
      </c>
      <c r="M354">
        <v>1454.22</v>
      </c>
      <c r="N354">
        <v>3.9E-2</v>
      </c>
      <c r="O354">
        <v>19</v>
      </c>
    </row>
    <row r="355" spans="1:15" x14ac:dyDescent="0.25">
      <c r="A355" t="s">
        <v>367</v>
      </c>
      <c r="B355" s="2">
        <v>45512</v>
      </c>
      <c r="C355" s="2">
        <v>45524</v>
      </c>
      <c r="D355" s="4" t="s">
        <v>647</v>
      </c>
      <c r="E355" s="4" t="s">
        <v>652</v>
      </c>
      <c r="F355" s="4" t="s">
        <v>666</v>
      </c>
      <c r="G355" s="4" t="s">
        <v>705</v>
      </c>
      <c r="H355" s="4" t="s">
        <v>707</v>
      </c>
      <c r="I355" s="4" t="s">
        <v>722</v>
      </c>
      <c r="J355" s="4" t="s">
        <v>729</v>
      </c>
      <c r="K355" s="4" t="s">
        <v>1087</v>
      </c>
      <c r="L355">
        <v>1233.3599999999999</v>
      </c>
      <c r="M355">
        <v>2120.4</v>
      </c>
      <c r="N355">
        <v>0.17899999999999999</v>
      </c>
      <c r="O355">
        <v>20</v>
      </c>
    </row>
    <row r="356" spans="1:15" x14ac:dyDescent="0.25">
      <c r="A356" t="s">
        <v>368</v>
      </c>
      <c r="B356" s="2">
        <v>45603</v>
      </c>
      <c r="C356" s="2">
        <v>45622</v>
      </c>
      <c r="D356" s="4" t="s">
        <v>648</v>
      </c>
      <c r="E356" s="4" t="s">
        <v>655</v>
      </c>
      <c r="F356" s="4" t="s">
        <v>692</v>
      </c>
      <c r="G356" s="4" t="s">
        <v>703</v>
      </c>
      <c r="H356" s="4" t="s">
        <v>710</v>
      </c>
      <c r="I356" s="4" t="s">
        <v>713</v>
      </c>
      <c r="J356" s="4" t="s">
        <v>728</v>
      </c>
      <c r="K356" s="4" t="s">
        <v>1088</v>
      </c>
      <c r="L356">
        <v>55.35</v>
      </c>
      <c r="M356">
        <v>128.68</v>
      </c>
      <c r="N356">
        <v>0.128</v>
      </c>
      <c r="O356">
        <v>10</v>
      </c>
    </row>
    <row r="357" spans="1:15" x14ac:dyDescent="0.25">
      <c r="A357" t="s">
        <v>369</v>
      </c>
      <c r="B357" s="2">
        <v>45292</v>
      </c>
      <c r="C357" s="2">
        <v>45318</v>
      </c>
      <c r="D357" s="4" t="s">
        <v>649</v>
      </c>
      <c r="E357" s="4" t="s">
        <v>658</v>
      </c>
      <c r="F357" s="4" t="s">
        <v>693</v>
      </c>
      <c r="G357" s="4" t="s">
        <v>702</v>
      </c>
      <c r="H357" s="4" t="s">
        <v>710</v>
      </c>
      <c r="I357" s="4" t="s">
        <v>726</v>
      </c>
      <c r="J357" s="4" t="s">
        <v>733</v>
      </c>
      <c r="K357" s="4" t="s">
        <v>1089</v>
      </c>
      <c r="L357">
        <v>657.45</v>
      </c>
      <c r="M357">
        <v>1325.96</v>
      </c>
      <c r="N357">
        <v>0.16700000000000001</v>
      </c>
      <c r="O357">
        <v>21</v>
      </c>
    </row>
    <row r="358" spans="1:15" x14ac:dyDescent="0.25">
      <c r="A358" t="s">
        <v>370</v>
      </c>
      <c r="B358" s="2">
        <v>45883</v>
      </c>
      <c r="C358" s="2">
        <v>45911</v>
      </c>
      <c r="D358" s="4" t="s">
        <v>648</v>
      </c>
      <c r="E358" s="4" t="s">
        <v>655</v>
      </c>
      <c r="F358" s="4" t="s">
        <v>670</v>
      </c>
      <c r="G358" s="4" t="s">
        <v>703</v>
      </c>
      <c r="H358" s="4" t="s">
        <v>711</v>
      </c>
      <c r="I358" s="4" t="s">
        <v>721</v>
      </c>
      <c r="J358" s="4" t="s">
        <v>728</v>
      </c>
      <c r="K358" s="4" t="s">
        <v>1090</v>
      </c>
      <c r="L358">
        <v>1203.02</v>
      </c>
      <c r="M358">
        <v>2439.33</v>
      </c>
      <c r="N358">
        <v>0</v>
      </c>
      <c r="O358">
        <v>18</v>
      </c>
    </row>
    <row r="359" spans="1:15" x14ac:dyDescent="0.25">
      <c r="A359" t="s">
        <v>371</v>
      </c>
      <c r="B359" s="2">
        <v>45385</v>
      </c>
      <c r="C359" s="2">
        <v>45403</v>
      </c>
      <c r="D359" s="4" t="s">
        <v>648</v>
      </c>
      <c r="E359" s="4" t="s">
        <v>655</v>
      </c>
      <c r="F359" s="4" t="s">
        <v>672</v>
      </c>
      <c r="G359" s="4" t="s">
        <v>705</v>
      </c>
      <c r="H359" s="4" t="s">
        <v>710</v>
      </c>
      <c r="I359" s="4" t="s">
        <v>717</v>
      </c>
      <c r="J359" s="4" t="s">
        <v>729</v>
      </c>
      <c r="K359" s="4" t="s">
        <v>1091</v>
      </c>
      <c r="L359">
        <v>1176.69</v>
      </c>
      <c r="M359">
        <v>2201.54</v>
      </c>
      <c r="N359">
        <v>0.17</v>
      </c>
      <c r="O359">
        <v>27</v>
      </c>
    </row>
    <row r="360" spans="1:15" x14ac:dyDescent="0.25">
      <c r="A360" t="s">
        <v>372</v>
      </c>
      <c r="B360" s="2">
        <v>45621</v>
      </c>
      <c r="C360" s="2">
        <v>45633</v>
      </c>
      <c r="D360" s="4" t="s">
        <v>647</v>
      </c>
      <c r="E360" s="4" t="s">
        <v>659</v>
      </c>
      <c r="F360" s="4" t="s">
        <v>685</v>
      </c>
      <c r="G360" s="4" t="s">
        <v>701</v>
      </c>
      <c r="H360" s="4" t="s">
        <v>710</v>
      </c>
      <c r="I360" s="4" t="s">
        <v>720</v>
      </c>
      <c r="J360" s="4" t="s">
        <v>733</v>
      </c>
      <c r="K360" s="4" t="s">
        <v>1092</v>
      </c>
      <c r="L360">
        <v>769.9</v>
      </c>
      <c r="M360">
        <v>814.36</v>
      </c>
      <c r="N360">
        <v>0</v>
      </c>
      <c r="O360">
        <v>5</v>
      </c>
    </row>
    <row r="361" spans="1:15" x14ac:dyDescent="0.25">
      <c r="A361" t="s">
        <v>373</v>
      </c>
      <c r="B361" s="2">
        <v>45309</v>
      </c>
      <c r="C361" s="2">
        <v>45325</v>
      </c>
      <c r="D361" s="4" t="s">
        <v>646</v>
      </c>
      <c r="E361" s="4" t="s">
        <v>661</v>
      </c>
      <c r="F361" s="4" t="s">
        <v>695</v>
      </c>
      <c r="G361" s="4" t="s">
        <v>703</v>
      </c>
      <c r="H361" s="4" t="s">
        <v>710</v>
      </c>
      <c r="I361" s="4" t="s">
        <v>716</v>
      </c>
      <c r="J361" s="4" t="s">
        <v>728</v>
      </c>
      <c r="K361" s="4" t="s">
        <v>1093</v>
      </c>
      <c r="L361">
        <v>666.23</v>
      </c>
      <c r="M361">
        <v>1382.91</v>
      </c>
      <c r="N361">
        <v>0.17599999999999999</v>
      </c>
      <c r="O361">
        <v>13</v>
      </c>
    </row>
    <row r="362" spans="1:15" x14ac:dyDescent="0.25">
      <c r="A362" t="s">
        <v>374</v>
      </c>
      <c r="B362" s="2">
        <v>45466</v>
      </c>
      <c r="C362" s="2">
        <v>45468</v>
      </c>
      <c r="D362" s="4" t="s">
        <v>649</v>
      </c>
      <c r="E362" s="4" t="s">
        <v>658</v>
      </c>
      <c r="F362" s="4" t="s">
        <v>674</v>
      </c>
      <c r="G362" s="4" t="s">
        <v>705</v>
      </c>
      <c r="H362" s="4" t="s">
        <v>709</v>
      </c>
      <c r="I362" s="4" t="s">
        <v>716</v>
      </c>
      <c r="J362" s="4" t="s">
        <v>733</v>
      </c>
      <c r="K362" s="4" t="s">
        <v>1094</v>
      </c>
      <c r="L362">
        <v>951.44</v>
      </c>
      <c r="M362">
        <v>1646.43</v>
      </c>
      <c r="N362">
        <v>0.11</v>
      </c>
      <c r="O362">
        <v>24</v>
      </c>
    </row>
    <row r="363" spans="1:15" x14ac:dyDescent="0.25">
      <c r="A363" t="s">
        <v>375</v>
      </c>
      <c r="B363" s="2">
        <v>45833</v>
      </c>
      <c r="C363" s="2">
        <v>45848</v>
      </c>
      <c r="D363" s="4" t="s">
        <v>649</v>
      </c>
      <c r="E363" s="4" t="s">
        <v>658</v>
      </c>
      <c r="F363" s="4" t="s">
        <v>674</v>
      </c>
      <c r="G363" s="4" t="s">
        <v>703</v>
      </c>
      <c r="H363" s="4" t="s">
        <v>709</v>
      </c>
      <c r="I363" s="4" t="s">
        <v>726</v>
      </c>
      <c r="J363" s="4" t="s">
        <v>730</v>
      </c>
      <c r="K363" s="4" t="s">
        <v>1095</v>
      </c>
      <c r="L363">
        <v>546.83000000000004</v>
      </c>
      <c r="M363">
        <v>400.84</v>
      </c>
      <c r="N363">
        <v>7.8E-2</v>
      </c>
      <c r="O363">
        <v>13</v>
      </c>
    </row>
    <row r="364" spans="1:15" x14ac:dyDescent="0.25">
      <c r="A364" t="s">
        <v>376</v>
      </c>
      <c r="B364" s="2">
        <v>45108</v>
      </c>
      <c r="C364" s="2">
        <v>45115</v>
      </c>
      <c r="D364" s="4" t="s">
        <v>646</v>
      </c>
      <c r="E364" s="4" t="s">
        <v>651</v>
      </c>
      <c r="F364" s="4" t="s">
        <v>663</v>
      </c>
      <c r="G364" s="4" t="s">
        <v>701</v>
      </c>
      <c r="H364" s="4" t="s">
        <v>707</v>
      </c>
      <c r="I364" s="4" t="s">
        <v>720</v>
      </c>
      <c r="J364" s="4" t="s">
        <v>731</v>
      </c>
      <c r="K364" s="4" t="s">
        <v>1096</v>
      </c>
      <c r="L364">
        <v>834.26</v>
      </c>
      <c r="M364">
        <v>1780.56</v>
      </c>
      <c r="N364">
        <v>1.4E-2</v>
      </c>
      <c r="O364">
        <v>47</v>
      </c>
    </row>
    <row r="365" spans="1:15" x14ac:dyDescent="0.25">
      <c r="A365" t="s">
        <v>377</v>
      </c>
      <c r="B365" s="2">
        <v>45360</v>
      </c>
      <c r="C365" s="2">
        <v>45377</v>
      </c>
      <c r="D365" s="4" t="s">
        <v>647</v>
      </c>
      <c r="E365" s="4" t="s">
        <v>659</v>
      </c>
      <c r="F365" s="4" t="s">
        <v>676</v>
      </c>
      <c r="G365" s="4" t="s">
        <v>706</v>
      </c>
      <c r="H365" s="4" t="s">
        <v>708</v>
      </c>
      <c r="I365" s="4" t="s">
        <v>723</v>
      </c>
      <c r="J365" s="4" t="s">
        <v>732</v>
      </c>
      <c r="K365" s="4" t="s">
        <v>1097</v>
      </c>
      <c r="L365">
        <v>1029.67</v>
      </c>
      <c r="M365">
        <v>1118.43</v>
      </c>
      <c r="N365">
        <v>0.27200000000000002</v>
      </c>
      <c r="O365">
        <v>9</v>
      </c>
    </row>
    <row r="366" spans="1:15" x14ac:dyDescent="0.25">
      <c r="A366" t="s">
        <v>378</v>
      </c>
      <c r="B366" s="2">
        <v>45082</v>
      </c>
      <c r="C366" s="2">
        <v>45105</v>
      </c>
      <c r="D366" s="4" t="s">
        <v>649</v>
      </c>
      <c r="E366" s="4" t="s">
        <v>658</v>
      </c>
      <c r="F366" s="4" t="s">
        <v>674</v>
      </c>
      <c r="G366" s="4" t="s">
        <v>701</v>
      </c>
      <c r="H366" s="4" t="s">
        <v>711</v>
      </c>
      <c r="I366" s="4" t="s">
        <v>723</v>
      </c>
      <c r="J366" s="4" t="s">
        <v>728</v>
      </c>
      <c r="K366" s="4" t="s">
        <v>1098</v>
      </c>
      <c r="L366">
        <v>605.82000000000005</v>
      </c>
      <c r="M366">
        <v>771.12</v>
      </c>
      <c r="N366">
        <v>0.13200000000000001</v>
      </c>
      <c r="O366">
        <v>19</v>
      </c>
    </row>
    <row r="367" spans="1:15" x14ac:dyDescent="0.25">
      <c r="A367" t="s">
        <v>379</v>
      </c>
      <c r="B367" s="2">
        <v>45737</v>
      </c>
      <c r="C367" s="2">
        <v>45756</v>
      </c>
      <c r="D367" s="4" t="s">
        <v>647</v>
      </c>
      <c r="E367" s="4" t="s">
        <v>652</v>
      </c>
      <c r="F367" s="4" t="s">
        <v>689</v>
      </c>
      <c r="G367" s="4" t="s">
        <v>705</v>
      </c>
      <c r="H367" s="4" t="s">
        <v>710</v>
      </c>
      <c r="I367" s="4" t="s">
        <v>718</v>
      </c>
      <c r="J367" s="4" t="s">
        <v>727</v>
      </c>
      <c r="K367" s="4" t="s">
        <v>1099</v>
      </c>
      <c r="L367">
        <v>1055.45</v>
      </c>
      <c r="M367">
        <v>1210.04</v>
      </c>
      <c r="N367">
        <v>8.9999999999999993E-3</v>
      </c>
      <c r="O367">
        <v>18</v>
      </c>
    </row>
    <row r="368" spans="1:15" x14ac:dyDescent="0.25">
      <c r="A368" t="s">
        <v>380</v>
      </c>
      <c r="B368" s="2">
        <v>45445</v>
      </c>
      <c r="C368" s="2">
        <v>45458</v>
      </c>
      <c r="D368" s="4" t="s">
        <v>646</v>
      </c>
      <c r="E368" s="4" t="s">
        <v>650</v>
      </c>
      <c r="F368" s="4" t="s">
        <v>675</v>
      </c>
      <c r="G368" s="4" t="s">
        <v>702</v>
      </c>
      <c r="H368" s="4" t="s">
        <v>708</v>
      </c>
      <c r="I368" s="4" t="s">
        <v>719</v>
      </c>
      <c r="J368" s="4" t="s">
        <v>730</v>
      </c>
      <c r="K368" s="4" t="s">
        <v>1100</v>
      </c>
      <c r="L368">
        <v>1295.18</v>
      </c>
      <c r="M368">
        <v>3024.03</v>
      </c>
      <c r="N368">
        <v>0.192</v>
      </c>
      <c r="O368">
        <v>8</v>
      </c>
    </row>
    <row r="369" spans="1:15" x14ac:dyDescent="0.25">
      <c r="A369" t="s">
        <v>381</v>
      </c>
      <c r="B369" s="2">
        <v>45731</v>
      </c>
      <c r="C369" s="2">
        <v>45745</v>
      </c>
      <c r="D369" s="4" t="s">
        <v>647</v>
      </c>
      <c r="E369" s="4" t="s">
        <v>654</v>
      </c>
      <c r="F369" s="4" t="s">
        <v>691</v>
      </c>
      <c r="G369" s="4" t="s">
        <v>706</v>
      </c>
      <c r="H369" s="4" t="s">
        <v>711</v>
      </c>
      <c r="I369" s="4" t="s">
        <v>712</v>
      </c>
      <c r="J369" s="4" t="s">
        <v>727</v>
      </c>
      <c r="K369" s="4" t="s">
        <v>1101</v>
      </c>
      <c r="L369">
        <v>935.83</v>
      </c>
      <c r="M369">
        <v>2303.46</v>
      </c>
      <c r="N369">
        <v>0.105</v>
      </c>
      <c r="O369">
        <v>9</v>
      </c>
    </row>
    <row r="370" spans="1:15" x14ac:dyDescent="0.25">
      <c r="A370" t="s">
        <v>382</v>
      </c>
      <c r="B370" s="2">
        <v>45194</v>
      </c>
      <c r="C370" s="2">
        <v>45208</v>
      </c>
      <c r="D370" s="4" t="s">
        <v>648</v>
      </c>
      <c r="E370" s="4" t="s">
        <v>660</v>
      </c>
      <c r="F370" s="4" t="s">
        <v>700</v>
      </c>
      <c r="G370" s="4" t="s">
        <v>705</v>
      </c>
      <c r="H370" s="4" t="s">
        <v>709</v>
      </c>
      <c r="I370" s="4" t="s">
        <v>713</v>
      </c>
      <c r="J370" s="4" t="s">
        <v>731</v>
      </c>
      <c r="K370" s="4" t="s">
        <v>1102</v>
      </c>
      <c r="L370">
        <v>1279.56</v>
      </c>
      <c r="M370">
        <v>3083.8</v>
      </c>
      <c r="N370">
        <v>0.106</v>
      </c>
      <c r="O370">
        <v>5</v>
      </c>
    </row>
    <row r="371" spans="1:15" x14ac:dyDescent="0.25">
      <c r="A371" t="s">
        <v>383</v>
      </c>
      <c r="B371" s="2">
        <v>45832</v>
      </c>
      <c r="C371" s="2">
        <v>45861</v>
      </c>
      <c r="D371" s="4" t="s">
        <v>648</v>
      </c>
      <c r="E371" s="4" t="s">
        <v>653</v>
      </c>
      <c r="F371" s="4" t="s">
        <v>688</v>
      </c>
      <c r="G371" s="4" t="s">
        <v>703</v>
      </c>
      <c r="H371" s="4" t="s">
        <v>709</v>
      </c>
      <c r="I371" s="4" t="s">
        <v>714</v>
      </c>
      <c r="J371" s="4" t="s">
        <v>728</v>
      </c>
      <c r="K371" s="4" t="s">
        <v>1103</v>
      </c>
      <c r="L371">
        <v>255.4</v>
      </c>
      <c r="M371">
        <v>322.70999999999998</v>
      </c>
      <c r="N371">
        <v>0.115</v>
      </c>
      <c r="O371">
        <v>16</v>
      </c>
    </row>
    <row r="372" spans="1:15" x14ac:dyDescent="0.25">
      <c r="A372" t="s">
        <v>384</v>
      </c>
      <c r="B372" s="2">
        <v>45286</v>
      </c>
      <c r="C372" s="2">
        <v>45294</v>
      </c>
      <c r="D372" s="4" t="s">
        <v>649</v>
      </c>
      <c r="E372" s="4" t="s">
        <v>657</v>
      </c>
      <c r="F372" s="4" t="s">
        <v>679</v>
      </c>
      <c r="G372" s="4" t="s">
        <v>705</v>
      </c>
      <c r="H372" s="4" t="s">
        <v>707</v>
      </c>
      <c r="I372" s="4" t="s">
        <v>724</v>
      </c>
      <c r="J372" s="4" t="s">
        <v>731</v>
      </c>
      <c r="K372" s="4" t="s">
        <v>1104</v>
      </c>
      <c r="L372">
        <v>492.75</v>
      </c>
      <c r="M372">
        <v>731.29</v>
      </c>
      <c r="N372">
        <v>5.8000000000000003E-2</v>
      </c>
      <c r="O372">
        <v>6</v>
      </c>
    </row>
    <row r="373" spans="1:15" x14ac:dyDescent="0.25">
      <c r="A373" t="s">
        <v>385</v>
      </c>
      <c r="B373" s="2">
        <v>44962</v>
      </c>
      <c r="C373" s="2">
        <v>44985</v>
      </c>
      <c r="D373" s="4" t="s">
        <v>648</v>
      </c>
      <c r="E373" s="4" t="s">
        <v>660</v>
      </c>
      <c r="F373" s="4" t="s">
        <v>697</v>
      </c>
      <c r="G373" s="4" t="s">
        <v>703</v>
      </c>
      <c r="H373" s="4" t="s">
        <v>710</v>
      </c>
      <c r="I373" s="4" t="s">
        <v>716</v>
      </c>
      <c r="J373" s="4" t="s">
        <v>730</v>
      </c>
      <c r="K373" s="4" t="s">
        <v>1105</v>
      </c>
      <c r="L373">
        <v>1214.49</v>
      </c>
      <c r="M373">
        <v>1533.95</v>
      </c>
      <c r="N373">
        <v>0</v>
      </c>
      <c r="O373">
        <v>11</v>
      </c>
    </row>
    <row r="374" spans="1:15" x14ac:dyDescent="0.25">
      <c r="A374" t="s">
        <v>386</v>
      </c>
      <c r="B374" s="2">
        <v>45022</v>
      </c>
      <c r="C374" s="2">
        <v>45024</v>
      </c>
      <c r="D374" s="4" t="s">
        <v>646</v>
      </c>
      <c r="E374" s="4" t="s">
        <v>651</v>
      </c>
      <c r="F374" s="4" t="s">
        <v>669</v>
      </c>
      <c r="G374" s="4" t="s">
        <v>705</v>
      </c>
      <c r="H374" s="4" t="s">
        <v>709</v>
      </c>
      <c r="I374" s="4" t="s">
        <v>723</v>
      </c>
      <c r="J374" s="4" t="s">
        <v>732</v>
      </c>
      <c r="K374" s="4" t="s">
        <v>1106</v>
      </c>
      <c r="L374">
        <v>720.35</v>
      </c>
      <c r="M374">
        <v>1571.66</v>
      </c>
      <c r="N374">
        <v>0.107</v>
      </c>
      <c r="O374">
        <v>23</v>
      </c>
    </row>
    <row r="375" spans="1:15" x14ac:dyDescent="0.25">
      <c r="A375" t="s">
        <v>387</v>
      </c>
      <c r="B375" s="2">
        <v>45751</v>
      </c>
      <c r="C375" s="2">
        <v>45757</v>
      </c>
      <c r="D375" s="4" t="s">
        <v>649</v>
      </c>
      <c r="E375" s="4" t="s">
        <v>658</v>
      </c>
      <c r="F375" s="4" t="s">
        <v>674</v>
      </c>
      <c r="G375" s="4" t="s">
        <v>703</v>
      </c>
      <c r="H375" s="4" t="s">
        <v>711</v>
      </c>
      <c r="I375" s="4" t="s">
        <v>725</v>
      </c>
      <c r="J375" s="4" t="s">
        <v>728</v>
      </c>
      <c r="K375" s="4" t="s">
        <v>1107</v>
      </c>
      <c r="L375">
        <v>290.14</v>
      </c>
      <c r="M375">
        <v>250.73</v>
      </c>
      <c r="N375">
        <v>3.4000000000000002E-2</v>
      </c>
      <c r="O375">
        <v>17</v>
      </c>
    </row>
    <row r="376" spans="1:15" x14ac:dyDescent="0.25">
      <c r="A376" t="s">
        <v>388</v>
      </c>
      <c r="B376" s="2">
        <v>45429</v>
      </c>
      <c r="C376" s="2">
        <v>45439</v>
      </c>
      <c r="D376" s="4" t="s">
        <v>648</v>
      </c>
      <c r="E376" s="4" t="s">
        <v>660</v>
      </c>
      <c r="F376" s="4" t="s">
        <v>697</v>
      </c>
      <c r="G376" s="4" t="s">
        <v>703</v>
      </c>
      <c r="H376" s="4" t="s">
        <v>708</v>
      </c>
      <c r="I376" s="4" t="s">
        <v>712</v>
      </c>
      <c r="J376" s="4" t="s">
        <v>730</v>
      </c>
      <c r="K376" s="4" t="s">
        <v>1108</v>
      </c>
      <c r="L376">
        <v>1484.23</v>
      </c>
      <c r="M376">
        <v>3472.81</v>
      </c>
      <c r="N376">
        <v>0.25600000000000001</v>
      </c>
      <c r="O376">
        <v>12</v>
      </c>
    </row>
    <row r="377" spans="1:15" x14ac:dyDescent="0.25">
      <c r="A377" t="s">
        <v>389</v>
      </c>
      <c r="B377" s="2">
        <v>45354</v>
      </c>
      <c r="C377" s="2">
        <v>45370</v>
      </c>
      <c r="D377" s="4" t="s">
        <v>647</v>
      </c>
      <c r="E377" s="4" t="s">
        <v>659</v>
      </c>
      <c r="F377" s="4" t="s">
        <v>699</v>
      </c>
      <c r="G377" s="4" t="s">
        <v>704</v>
      </c>
      <c r="H377" s="4" t="s">
        <v>710</v>
      </c>
      <c r="I377" s="4" t="s">
        <v>715</v>
      </c>
      <c r="J377" s="4" t="s">
        <v>730</v>
      </c>
      <c r="K377" s="4" t="s">
        <v>1109</v>
      </c>
      <c r="L377">
        <v>988.83</v>
      </c>
      <c r="M377">
        <v>1206.04</v>
      </c>
      <c r="N377">
        <v>6.3E-2</v>
      </c>
      <c r="O377">
        <v>34</v>
      </c>
    </row>
    <row r="378" spans="1:15" x14ac:dyDescent="0.25">
      <c r="A378" t="s">
        <v>390</v>
      </c>
      <c r="B378" s="2">
        <v>45835</v>
      </c>
      <c r="C378" s="2">
        <v>45849</v>
      </c>
      <c r="D378" s="4" t="s">
        <v>647</v>
      </c>
      <c r="E378" s="4" t="s">
        <v>659</v>
      </c>
      <c r="F378" s="4" t="s">
        <v>685</v>
      </c>
      <c r="G378" s="4" t="s">
        <v>705</v>
      </c>
      <c r="H378" s="4" t="s">
        <v>709</v>
      </c>
      <c r="I378" s="4" t="s">
        <v>716</v>
      </c>
      <c r="J378" s="4" t="s">
        <v>729</v>
      </c>
      <c r="K378" s="4" t="s">
        <v>1110</v>
      </c>
      <c r="L378">
        <v>1227.7</v>
      </c>
      <c r="M378">
        <v>2197.23</v>
      </c>
      <c r="N378">
        <v>9.9000000000000005E-2</v>
      </c>
      <c r="O378">
        <v>22</v>
      </c>
    </row>
    <row r="379" spans="1:15" x14ac:dyDescent="0.25">
      <c r="A379" t="s">
        <v>391</v>
      </c>
      <c r="B379" s="2">
        <v>44998</v>
      </c>
      <c r="C379" s="2">
        <v>45020</v>
      </c>
      <c r="D379" s="4" t="s">
        <v>646</v>
      </c>
      <c r="E379" s="4" t="s">
        <v>661</v>
      </c>
      <c r="F379" s="4" t="s">
        <v>687</v>
      </c>
      <c r="G379" s="4" t="s">
        <v>705</v>
      </c>
      <c r="H379" s="4" t="s">
        <v>707</v>
      </c>
      <c r="I379" s="4" t="s">
        <v>720</v>
      </c>
      <c r="J379" s="4" t="s">
        <v>727</v>
      </c>
      <c r="K379" s="4" t="s">
        <v>1111</v>
      </c>
      <c r="L379">
        <v>1113.7</v>
      </c>
      <c r="M379">
        <v>1620.6</v>
      </c>
      <c r="N379">
        <v>0.13900000000000001</v>
      </c>
      <c r="O379">
        <v>11</v>
      </c>
    </row>
    <row r="380" spans="1:15" x14ac:dyDescent="0.25">
      <c r="A380" t="s">
        <v>392</v>
      </c>
      <c r="B380" s="2">
        <v>45664</v>
      </c>
      <c r="C380" s="2">
        <v>45677</v>
      </c>
      <c r="D380" s="4" t="s">
        <v>646</v>
      </c>
      <c r="E380" s="4" t="s">
        <v>661</v>
      </c>
      <c r="F380" s="4" t="s">
        <v>695</v>
      </c>
      <c r="G380" s="4" t="s">
        <v>701</v>
      </c>
      <c r="H380" s="4" t="s">
        <v>711</v>
      </c>
      <c r="I380" s="4" t="s">
        <v>723</v>
      </c>
      <c r="J380" s="4" t="s">
        <v>729</v>
      </c>
      <c r="K380" s="4" t="s">
        <v>1112</v>
      </c>
      <c r="L380">
        <v>432.13</v>
      </c>
      <c r="M380">
        <v>1034.6600000000001</v>
      </c>
      <c r="N380">
        <v>9.1999999999999998E-2</v>
      </c>
      <c r="O380">
        <v>7</v>
      </c>
    </row>
    <row r="381" spans="1:15" x14ac:dyDescent="0.25">
      <c r="A381" t="s">
        <v>393</v>
      </c>
      <c r="B381" s="2">
        <v>45694</v>
      </c>
      <c r="C381" s="2">
        <v>45703</v>
      </c>
      <c r="D381" s="4" t="s">
        <v>648</v>
      </c>
      <c r="E381" s="4" t="s">
        <v>655</v>
      </c>
      <c r="F381" s="4" t="s">
        <v>670</v>
      </c>
      <c r="G381" s="4" t="s">
        <v>703</v>
      </c>
      <c r="H381" s="4" t="s">
        <v>710</v>
      </c>
      <c r="I381" s="4" t="s">
        <v>721</v>
      </c>
      <c r="J381" s="4" t="s">
        <v>729</v>
      </c>
      <c r="K381" s="4" t="s">
        <v>1113</v>
      </c>
      <c r="L381">
        <v>837.39</v>
      </c>
      <c r="M381">
        <v>1905.42</v>
      </c>
      <c r="N381">
        <v>3.2000000000000001E-2</v>
      </c>
      <c r="O381">
        <v>18</v>
      </c>
    </row>
    <row r="382" spans="1:15" x14ac:dyDescent="0.25">
      <c r="A382" t="s">
        <v>394</v>
      </c>
      <c r="B382" s="2">
        <v>45688</v>
      </c>
      <c r="C382" s="2">
        <v>45705</v>
      </c>
      <c r="D382" s="4" t="s">
        <v>649</v>
      </c>
      <c r="E382" s="4" t="s">
        <v>658</v>
      </c>
      <c r="F382" s="4" t="s">
        <v>683</v>
      </c>
      <c r="G382" s="4" t="s">
        <v>706</v>
      </c>
      <c r="H382" s="4" t="s">
        <v>707</v>
      </c>
      <c r="I382" s="4" t="s">
        <v>722</v>
      </c>
      <c r="J382" s="4" t="s">
        <v>727</v>
      </c>
      <c r="K382" s="4" t="s">
        <v>812</v>
      </c>
      <c r="L382">
        <v>378.26</v>
      </c>
      <c r="M382">
        <v>541.55999999999995</v>
      </c>
      <c r="N382">
        <v>0.16300000000000001</v>
      </c>
      <c r="O382">
        <v>25</v>
      </c>
    </row>
    <row r="383" spans="1:15" x14ac:dyDescent="0.25">
      <c r="A383" t="s">
        <v>395</v>
      </c>
      <c r="B383" s="2">
        <v>45876</v>
      </c>
      <c r="C383" s="2">
        <v>45906</v>
      </c>
      <c r="D383" s="4" t="s">
        <v>648</v>
      </c>
      <c r="E383" s="4" t="s">
        <v>653</v>
      </c>
      <c r="F383" s="4" t="s">
        <v>681</v>
      </c>
      <c r="G383" s="4" t="s">
        <v>702</v>
      </c>
      <c r="H383" s="4" t="s">
        <v>711</v>
      </c>
      <c r="I383" s="4" t="s">
        <v>724</v>
      </c>
      <c r="J383" s="4" t="s">
        <v>729</v>
      </c>
      <c r="K383" s="4" t="s">
        <v>1114</v>
      </c>
      <c r="L383">
        <v>833.73</v>
      </c>
      <c r="M383">
        <v>1116.5999999999999</v>
      </c>
      <c r="N383">
        <v>0.17599999999999999</v>
      </c>
      <c r="O383">
        <v>14</v>
      </c>
    </row>
    <row r="384" spans="1:15" x14ac:dyDescent="0.25">
      <c r="A384" t="s">
        <v>396</v>
      </c>
      <c r="B384" s="2">
        <v>45861</v>
      </c>
      <c r="C384" s="2">
        <v>45886</v>
      </c>
      <c r="D384" s="4" t="s">
        <v>649</v>
      </c>
      <c r="E384" s="4" t="s">
        <v>658</v>
      </c>
      <c r="F384" s="4" t="s">
        <v>674</v>
      </c>
      <c r="G384" s="4" t="s">
        <v>702</v>
      </c>
      <c r="H384" s="4" t="s">
        <v>708</v>
      </c>
      <c r="I384" s="4" t="s">
        <v>714</v>
      </c>
      <c r="J384" s="4" t="s">
        <v>728</v>
      </c>
      <c r="K384" s="4" t="s">
        <v>1115</v>
      </c>
      <c r="L384">
        <v>1142.06</v>
      </c>
      <c r="M384">
        <v>1455</v>
      </c>
      <c r="N384">
        <v>7.8E-2</v>
      </c>
      <c r="O384">
        <v>28</v>
      </c>
    </row>
    <row r="385" spans="1:15" x14ac:dyDescent="0.25">
      <c r="A385" t="s">
        <v>397</v>
      </c>
      <c r="B385" s="2">
        <v>45097</v>
      </c>
      <c r="C385" s="2">
        <v>45115</v>
      </c>
      <c r="D385" s="4" t="s">
        <v>648</v>
      </c>
      <c r="E385" s="4" t="s">
        <v>660</v>
      </c>
      <c r="F385" s="4" t="s">
        <v>700</v>
      </c>
      <c r="G385" s="4" t="s">
        <v>704</v>
      </c>
      <c r="H385" s="4" t="s">
        <v>709</v>
      </c>
      <c r="I385" s="4" t="s">
        <v>719</v>
      </c>
      <c r="J385" s="4" t="s">
        <v>729</v>
      </c>
      <c r="K385" s="4" t="s">
        <v>1116</v>
      </c>
      <c r="L385">
        <v>1145.53</v>
      </c>
      <c r="M385">
        <v>1278.3</v>
      </c>
      <c r="N385">
        <v>0.09</v>
      </c>
      <c r="O385">
        <v>41</v>
      </c>
    </row>
    <row r="386" spans="1:15" x14ac:dyDescent="0.25">
      <c r="A386" t="s">
        <v>398</v>
      </c>
      <c r="B386" s="2">
        <v>45491</v>
      </c>
      <c r="C386" s="2">
        <v>45511</v>
      </c>
      <c r="D386" s="4" t="s">
        <v>649</v>
      </c>
      <c r="E386" s="4" t="s">
        <v>657</v>
      </c>
      <c r="F386" s="4" t="s">
        <v>673</v>
      </c>
      <c r="G386" s="4" t="s">
        <v>701</v>
      </c>
      <c r="H386" s="4" t="s">
        <v>707</v>
      </c>
      <c r="I386" s="4" t="s">
        <v>721</v>
      </c>
      <c r="J386" s="4" t="s">
        <v>732</v>
      </c>
      <c r="K386" s="4" t="s">
        <v>1117</v>
      </c>
      <c r="L386">
        <v>941.35</v>
      </c>
      <c r="M386">
        <v>899.83</v>
      </c>
      <c r="N386">
        <v>5.8000000000000003E-2</v>
      </c>
      <c r="O386">
        <v>18</v>
      </c>
    </row>
    <row r="387" spans="1:15" x14ac:dyDescent="0.25">
      <c r="A387" t="s">
        <v>399</v>
      </c>
      <c r="B387" s="2">
        <v>45066</v>
      </c>
      <c r="C387" s="2">
        <v>45096</v>
      </c>
      <c r="D387" s="4" t="s">
        <v>647</v>
      </c>
      <c r="E387" s="4" t="s">
        <v>654</v>
      </c>
      <c r="F387" s="4" t="s">
        <v>680</v>
      </c>
      <c r="G387" s="4" t="s">
        <v>703</v>
      </c>
      <c r="H387" s="4" t="s">
        <v>709</v>
      </c>
      <c r="I387" s="4" t="s">
        <v>722</v>
      </c>
      <c r="J387" s="4" t="s">
        <v>731</v>
      </c>
      <c r="K387" s="4" t="s">
        <v>1118</v>
      </c>
      <c r="L387">
        <v>1161.2</v>
      </c>
      <c r="M387">
        <v>878.73</v>
      </c>
      <c r="N387">
        <v>0.19</v>
      </c>
      <c r="O387">
        <v>31</v>
      </c>
    </row>
    <row r="388" spans="1:15" x14ac:dyDescent="0.25">
      <c r="A388" t="s">
        <v>400</v>
      </c>
      <c r="B388" s="2">
        <v>45789</v>
      </c>
      <c r="C388" s="2">
        <v>45803</v>
      </c>
      <c r="D388" s="4" t="s">
        <v>647</v>
      </c>
      <c r="E388" s="4" t="s">
        <v>654</v>
      </c>
      <c r="F388" s="4" t="s">
        <v>696</v>
      </c>
      <c r="G388" s="4" t="s">
        <v>701</v>
      </c>
      <c r="H388" s="4" t="s">
        <v>709</v>
      </c>
      <c r="I388" s="4" t="s">
        <v>715</v>
      </c>
      <c r="J388" s="4" t="s">
        <v>728</v>
      </c>
      <c r="K388" s="4" t="s">
        <v>1119</v>
      </c>
      <c r="L388">
        <v>320.12</v>
      </c>
      <c r="M388">
        <v>594.41999999999996</v>
      </c>
      <c r="N388">
        <v>0.104</v>
      </c>
      <c r="O388">
        <v>18</v>
      </c>
    </row>
    <row r="389" spans="1:15" x14ac:dyDescent="0.25">
      <c r="A389" t="s">
        <v>401</v>
      </c>
      <c r="B389" s="2">
        <v>45419</v>
      </c>
      <c r="C389" s="2">
        <v>45424</v>
      </c>
      <c r="D389" s="4" t="s">
        <v>646</v>
      </c>
      <c r="E389" s="4" t="s">
        <v>651</v>
      </c>
      <c r="F389" s="4" t="s">
        <v>669</v>
      </c>
      <c r="G389" s="4" t="s">
        <v>703</v>
      </c>
      <c r="H389" s="4" t="s">
        <v>710</v>
      </c>
      <c r="I389" s="4" t="s">
        <v>716</v>
      </c>
      <c r="J389" s="4" t="s">
        <v>731</v>
      </c>
      <c r="K389" s="4" t="s">
        <v>1120</v>
      </c>
      <c r="L389">
        <v>1163.99</v>
      </c>
      <c r="M389">
        <v>1617.85</v>
      </c>
      <c r="N389">
        <v>0.127</v>
      </c>
      <c r="O389">
        <v>14</v>
      </c>
    </row>
    <row r="390" spans="1:15" x14ac:dyDescent="0.25">
      <c r="A390" t="s">
        <v>402</v>
      </c>
      <c r="B390" s="2">
        <v>45199</v>
      </c>
      <c r="C390" s="2">
        <v>45202</v>
      </c>
      <c r="D390" s="4" t="s">
        <v>647</v>
      </c>
      <c r="E390" s="4" t="s">
        <v>659</v>
      </c>
      <c r="F390" s="4" t="s">
        <v>699</v>
      </c>
      <c r="G390" s="4" t="s">
        <v>703</v>
      </c>
      <c r="H390" s="4" t="s">
        <v>707</v>
      </c>
      <c r="I390" s="4" t="s">
        <v>713</v>
      </c>
      <c r="J390" s="4" t="s">
        <v>731</v>
      </c>
      <c r="K390" s="4" t="s">
        <v>1121</v>
      </c>
      <c r="L390">
        <v>1019.36</v>
      </c>
      <c r="M390">
        <v>972.91</v>
      </c>
      <c r="N390">
        <v>0.14699999999999999</v>
      </c>
      <c r="O390">
        <v>17</v>
      </c>
    </row>
    <row r="391" spans="1:15" x14ac:dyDescent="0.25">
      <c r="A391" t="s">
        <v>403</v>
      </c>
      <c r="B391" s="2">
        <v>45225</v>
      </c>
      <c r="C391" s="2">
        <v>45235</v>
      </c>
      <c r="D391" s="4" t="s">
        <v>646</v>
      </c>
      <c r="E391" s="4" t="s">
        <v>661</v>
      </c>
      <c r="F391" s="4" t="s">
        <v>695</v>
      </c>
      <c r="G391" s="4" t="s">
        <v>703</v>
      </c>
      <c r="H391" s="4" t="s">
        <v>708</v>
      </c>
      <c r="I391" s="4" t="s">
        <v>714</v>
      </c>
      <c r="J391" s="4" t="s">
        <v>731</v>
      </c>
      <c r="K391" s="4" t="s">
        <v>1122</v>
      </c>
      <c r="L391">
        <v>20.38</v>
      </c>
      <c r="M391">
        <v>42.56</v>
      </c>
      <c r="N391">
        <v>7.1999999999999995E-2</v>
      </c>
      <c r="O391">
        <v>11</v>
      </c>
    </row>
    <row r="392" spans="1:15" x14ac:dyDescent="0.25">
      <c r="A392" t="s">
        <v>404</v>
      </c>
      <c r="B392" s="2">
        <v>45823</v>
      </c>
      <c r="C392" s="2">
        <v>45838</v>
      </c>
      <c r="D392" s="4" t="s">
        <v>646</v>
      </c>
      <c r="E392" s="4" t="s">
        <v>661</v>
      </c>
      <c r="F392" s="4" t="s">
        <v>682</v>
      </c>
      <c r="G392" s="4" t="s">
        <v>705</v>
      </c>
      <c r="H392" s="4" t="s">
        <v>711</v>
      </c>
      <c r="I392" s="4" t="s">
        <v>712</v>
      </c>
      <c r="J392" s="4" t="s">
        <v>732</v>
      </c>
      <c r="K392" s="4" t="s">
        <v>1123</v>
      </c>
      <c r="L392">
        <v>1487.59</v>
      </c>
      <c r="M392">
        <v>1480.83</v>
      </c>
      <c r="N392">
        <v>8.9999999999999993E-3</v>
      </c>
      <c r="O392">
        <v>11</v>
      </c>
    </row>
    <row r="393" spans="1:15" x14ac:dyDescent="0.25">
      <c r="A393" t="s">
        <v>405</v>
      </c>
      <c r="B393" s="2">
        <v>45514</v>
      </c>
      <c r="C393" s="2">
        <v>45542</v>
      </c>
      <c r="D393" s="4" t="s">
        <v>649</v>
      </c>
      <c r="E393" s="4" t="s">
        <v>657</v>
      </c>
      <c r="F393" s="4" t="s">
        <v>673</v>
      </c>
      <c r="G393" s="4" t="s">
        <v>703</v>
      </c>
      <c r="H393" s="4" t="s">
        <v>711</v>
      </c>
      <c r="I393" s="4" t="s">
        <v>721</v>
      </c>
      <c r="J393" s="4" t="s">
        <v>728</v>
      </c>
      <c r="K393" s="4" t="s">
        <v>1124</v>
      </c>
      <c r="L393">
        <v>229.96</v>
      </c>
      <c r="M393">
        <v>564.26</v>
      </c>
      <c r="N393">
        <v>0.105</v>
      </c>
      <c r="O393">
        <v>5</v>
      </c>
    </row>
    <row r="394" spans="1:15" x14ac:dyDescent="0.25">
      <c r="A394" t="s">
        <v>406</v>
      </c>
      <c r="B394" s="2">
        <v>45208</v>
      </c>
      <c r="C394" s="2">
        <v>45225</v>
      </c>
      <c r="D394" s="4" t="s">
        <v>647</v>
      </c>
      <c r="E394" s="4" t="s">
        <v>659</v>
      </c>
      <c r="F394" s="4" t="s">
        <v>685</v>
      </c>
      <c r="G394" s="4" t="s">
        <v>704</v>
      </c>
      <c r="H394" s="4" t="s">
        <v>709</v>
      </c>
      <c r="I394" s="4" t="s">
        <v>712</v>
      </c>
      <c r="J394" s="4" t="s">
        <v>727</v>
      </c>
      <c r="K394" s="4" t="s">
        <v>1125</v>
      </c>
      <c r="L394">
        <v>1132.03</v>
      </c>
      <c r="M394">
        <v>2137.21</v>
      </c>
      <c r="N394">
        <v>0.35699999999999998</v>
      </c>
      <c r="O394">
        <v>35</v>
      </c>
    </row>
    <row r="395" spans="1:15" x14ac:dyDescent="0.25">
      <c r="A395" t="s">
        <v>407</v>
      </c>
      <c r="B395" s="2">
        <v>45360</v>
      </c>
      <c r="C395" s="2">
        <v>45377</v>
      </c>
      <c r="D395" s="4" t="s">
        <v>648</v>
      </c>
      <c r="E395" s="4" t="s">
        <v>660</v>
      </c>
      <c r="F395" s="4" t="s">
        <v>686</v>
      </c>
      <c r="G395" s="4" t="s">
        <v>702</v>
      </c>
      <c r="H395" s="4" t="s">
        <v>711</v>
      </c>
      <c r="I395" s="4" t="s">
        <v>714</v>
      </c>
      <c r="J395" s="4" t="s">
        <v>730</v>
      </c>
      <c r="K395" s="4" t="s">
        <v>1126</v>
      </c>
      <c r="L395">
        <v>1137.4100000000001</v>
      </c>
      <c r="M395">
        <v>1680.93</v>
      </c>
      <c r="N395">
        <v>0.254</v>
      </c>
      <c r="O395">
        <v>9</v>
      </c>
    </row>
    <row r="396" spans="1:15" x14ac:dyDescent="0.25">
      <c r="A396" t="s">
        <v>408</v>
      </c>
      <c r="B396" s="2">
        <v>45075</v>
      </c>
      <c r="C396" s="2">
        <v>45097</v>
      </c>
      <c r="D396" s="4" t="s">
        <v>649</v>
      </c>
      <c r="E396" s="4" t="s">
        <v>658</v>
      </c>
      <c r="F396" s="4" t="s">
        <v>683</v>
      </c>
      <c r="G396" s="4" t="s">
        <v>705</v>
      </c>
      <c r="H396" s="4" t="s">
        <v>711</v>
      </c>
      <c r="I396" s="4" t="s">
        <v>723</v>
      </c>
      <c r="J396" s="4" t="s">
        <v>727</v>
      </c>
      <c r="K396" s="4" t="s">
        <v>1127</v>
      </c>
      <c r="L396">
        <v>1295.3900000000001</v>
      </c>
      <c r="M396">
        <v>2905.06</v>
      </c>
      <c r="N396">
        <v>0.14799999999999999</v>
      </c>
      <c r="O396">
        <v>8</v>
      </c>
    </row>
    <row r="397" spans="1:15" x14ac:dyDescent="0.25">
      <c r="A397" t="s">
        <v>409</v>
      </c>
      <c r="B397" s="2">
        <v>45804</v>
      </c>
      <c r="C397" s="2">
        <v>45816</v>
      </c>
      <c r="D397" s="4" t="s">
        <v>647</v>
      </c>
      <c r="E397" s="4" t="s">
        <v>652</v>
      </c>
      <c r="F397" s="4" t="s">
        <v>666</v>
      </c>
      <c r="G397" s="4" t="s">
        <v>701</v>
      </c>
      <c r="H397" s="4" t="s">
        <v>707</v>
      </c>
      <c r="I397" s="4" t="s">
        <v>722</v>
      </c>
      <c r="J397" s="4" t="s">
        <v>733</v>
      </c>
      <c r="K397" s="4" t="s">
        <v>1128</v>
      </c>
      <c r="L397">
        <v>653.6</v>
      </c>
      <c r="M397">
        <v>842.09</v>
      </c>
      <c r="N397">
        <v>9.8000000000000004E-2</v>
      </c>
      <c r="O397">
        <v>19</v>
      </c>
    </row>
    <row r="398" spans="1:15" x14ac:dyDescent="0.25">
      <c r="A398" t="s">
        <v>410</v>
      </c>
      <c r="B398" s="2">
        <v>45890</v>
      </c>
      <c r="C398" s="2">
        <v>45914</v>
      </c>
      <c r="D398" s="4" t="s">
        <v>649</v>
      </c>
      <c r="E398" s="4" t="s">
        <v>656</v>
      </c>
      <c r="F398" s="4" t="s">
        <v>671</v>
      </c>
      <c r="G398" s="4" t="s">
        <v>703</v>
      </c>
      <c r="H398" s="4" t="s">
        <v>708</v>
      </c>
      <c r="I398" s="4" t="s">
        <v>720</v>
      </c>
      <c r="J398" s="4" t="s">
        <v>732</v>
      </c>
      <c r="K398" s="4" t="s">
        <v>1129</v>
      </c>
      <c r="L398">
        <v>1397.67</v>
      </c>
      <c r="M398">
        <v>3131.37</v>
      </c>
      <c r="N398">
        <v>0.10299999999999999</v>
      </c>
      <c r="O398">
        <v>20</v>
      </c>
    </row>
    <row r="399" spans="1:15" x14ac:dyDescent="0.25">
      <c r="A399" t="s">
        <v>411</v>
      </c>
      <c r="B399" s="2">
        <v>45638</v>
      </c>
      <c r="C399" s="2">
        <v>45646</v>
      </c>
      <c r="D399" s="4" t="s">
        <v>647</v>
      </c>
      <c r="E399" s="4" t="s">
        <v>652</v>
      </c>
      <c r="F399" s="4" t="s">
        <v>689</v>
      </c>
      <c r="G399" s="4" t="s">
        <v>701</v>
      </c>
      <c r="H399" s="4" t="s">
        <v>707</v>
      </c>
      <c r="I399" s="4" t="s">
        <v>717</v>
      </c>
      <c r="J399" s="4" t="s">
        <v>731</v>
      </c>
      <c r="K399" s="4" t="s">
        <v>1130</v>
      </c>
      <c r="L399">
        <v>1202.47</v>
      </c>
      <c r="M399">
        <v>1444.72</v>
      </c>
      <c r="N399">
        <v>0.24099999999999999</v>
      </c>
      <c r="O399">
        <v>17</v>
      </c>
    </row>
    <row r="400" spans="1:15" x14ac:dyDescent="0.25">
      <c r="A400" t="s">
        <v>412</v>
      </c>
      <c r="B400" s="2">
        <v>45914</v>
      </c>
      <c r="C400" s="2">
        <v>45923</v>
      </c>
      <c r="D400" s="4" t="s">
        <v>646</v>
      </c>
      <c r="E400" s="4" t="s">
        <v>661</v>
      </c>
      <c r="F400" s="4" t="s">
        <v>687</v>
      </c>
      <c r="G400" s="4" t="s">
        <v>703</v>
      </c>
      <c r="H400" s="4" t="s">
        <v>708</v>
      </c>
      <c r="I400" s="4" t="s">
        <v>726</v>
      </c>
      <c r="J400" s="4" t="s">
        <v>727</v>
      </c>
      <c r="K400" s="4" t="s">
        <v>1131</v>
      </c>
      <c r="L400">
        <v>1310.3</v>
      </c>
      <c r="M400">
        <v>2875.8</v>
      </c>
      <c r="N400">
        <v>8.3000000000000004E-2</v>
      </c>
      <c r="O400">
        <v>5</v>
      </c>
    </row>
    <row r="401" spans="1:15" x14ac:dyDescent="0.25">
      <c r="A401" t="s">
        <v>413</v>
      </c>
      <c r="B401" s="2">
        <v>45541</v>
      </c>
      <c r="C401" s="2">
        <v>45569</v>
      </c>
      <c r="D401" s="4" t="s">
        <v>646</v>
      </c>
      <c r="E401" s="4" t="s">
        <v>661</v>
      </c>
      <c r="F401" s="4" t="s">
        <v>695</v>
      </c>
      <c r="G401" s="4" t="s">
        <v>701</v>
      </c>
      <c r="H401" s="4" t="s">
        <v>709</v>
      </c>
      <c r="I401" s="4" t="s">
        <v>726</v>
      </c>
      <c r="J401" s="4" t="s">
        <v>732</v>
      </c>
      <c r="K401" s="4" t="s">
        <v>1132</v>
      </c>
      <c r="L401">
        <v>1174.17</v>
      </c>
      <c r="M401">
        <v>1641.61</v>
      </c>
      <c r="N401">
        <v>0.122</v>
      </c>
      <c r="O401">
        <v>9</v>
      </c>
    </row>
    <row r="402" spans="1:15" x14ac:dyDescent="0.25">
      <c r="A402" t="s">
        <v>414</v>
      </c>
      <c r="B402" s="2">
        <v>45759</v>
      </c>
      <c r="C402" s="2">
        <v>45777</v>
      </c>
      <c r="D402" s="4" t="s">
        <v>646</v>
      </c>
      <c r="E402" s="4" t="s">
        <v>650</v>
      </c>
      <c r="F402" s="4" t="s">
        <v>662</v>
      </c>
      <c r="G402" s="4" t="s">
        <v>701</v>
      </c>
      <c r="H402" s="4" t="s">
        <v>709</v>
      </c>
      <c r="I402" s="4" t="s">
        <v>721</v>
      </c>
      <c r="J402" s="4" t="s">
        <v>729</v>
      </c>
      <c r="K402" s="4" t="s">
        <v>1133</v>
      </c>
      <c r="L402">
        <v>1119.04</v>
      </c>
      <c r="M402">
        <v>1299.02</v>
      </c>
      <c r="N402">
        <v>2.5000000000000001E-2</v>
      </c>
      <c r="O402">
        <v>14</v>
      </c>
    </row>
    <row r="403" spans="1:15" x14ac:dyDescent="0.25">
      <c r="A403" t="s">
        <v>415</v>
      </c>
      <c r="B403" s="2">
        <v>45516</v>
      </c>
      <c r="C403" s="2">
        <v>45519</v>
      </c>
      <c r="D403" s="4" t="s">
        <v>648</v>
      </c>
      <c r="E403" s="4" t="s">
        <v>660</v>
      </c>
      <c r="F403" s="4" t="s">
        <v>677</v>
      </c>
      <c r="G403" s="4" t="s">
        <v>701</v>
      </c>
      <c r="H403" s="4" t="s">
        <v>709</v>
      </c>
      <c r="I403" s="4" t="s">
        <v>726</v>
      </c>
      <c r="J403" s="4" t="s">
        <v>728</v>
      </c>
      <c r="K403" s="4" t="s">
        <v>1134</v>
      </c>
      <c r="L403">
        <v>850.7</v>
      </c>
      <c r="M403">
        <v>1118.56</v>
      </c>
      <c r="N403">
        <v>0.18</v>
      </c>
      <c r="O403">
        <v>19</v>
      </c>
    </row>
    <row r="404" spans="1:15" x14ac:dyDescent="0.25">
      <c r="A404" t="s">
        <v>416</v>
      </c>
      <c r="B404" s="2">
        <v>45601</v>
      </c>
      <c r="C404" s="2">
        <v>45604</v>
      </c>
      <c r="D404" s="4" t="s">
        <v>648</v>
      </c>
      <c r="E404" s="4" t="s">
        <v>653</v>
      </c>
      <c r="F404" s="4" t="s">
        <v>667</v>
      </c>
      <c r="G404" s="4" t="s">
        <v>702</v>
      </c>
      <c r="H404" s="4" t="s">
        <v>709</v>
      </c>
      <c r="I404" s="4" t="s">
        <v>719</v>
      </c>
      <c r="J404" s="4" t="s">
        <v>727</v>
      </c>
      <c r="K404" s="4" t="s">
        <v>1135</v>
      </c>
      <c r="L404">
        <v>1020.4</v>
      </c>
      <c r="M404">
        <v>1184.71</v>
      </c>
      <c r="N404">
        <v>0.106</v>
      </c>
      <c r="O404">
        <v>16</v>
      </c>
    </row>
    <row r="405" spans="1:15" x14ac:dyDescent="0.25">
      <c r="A405" t="s">
        <v>417</v>
      </c>
      <c r="B405" s="2">
        <v>45497</v>
      </c>
      <c r="C405" s="2">
        <v>45512</v>
      </c>
      <c r="D405" s="4" t="s">
        <v>649</v>
      </c>
      <c r="E405" s="4" t="s">
        <v>657</v>
      </c>
      <c r="F405" s="4" t="s">
        <v>673</v>
      </c>
      <c r="G405" s="4" t="s">
        <v>706</v>
      </c>
      <c r="H405" s="4" t="s">
        <v>709</v>
      </c>
      <c r="I405" s="4" t="s">
        <v>722</v>
      </c>
      <c r="J405" s="4" t="s">
        <v>731</v>
      </c>
      <c r="K405" s="4" t="s">
        <v>1136</v>
      </c>
      <c r="L405">
        <v>501.5</v>
      </c>
      <c r="M405">
        <v>1201.47</v>
      </c>
      <c r="N405">
        <v>0.126</v>
      </c>
      <c r="O405">
        <v>5</v>
      </c>
    </row>
    <row r="406" spans="1:15" x14ac:dyDescent="0.25">
      <c r="A406" t="s">
        <v>418</v>
      </c>
      <c r="B406" s="2">
        <v>45677</v>
      </c>
      <c r="C406" s="2">
        <v>45691</v>
      </c>
      <c r="D406" s="4" t="s">
        <v>648</v>
      </c>
      <c r="E406" s="4" t="s">
        <v>655</v>
      </c>
      <c r="F406" s="4" t="s">
        <v>672</v>
      </c>
      <c r="G406" s="4" t="s">
        <v>706</v>
      </c>
      <c r="H406" s="4" t="s">
        <v>709</v>
      </c>
      <c r="I406" s="4" t="s">
        <v>721</v>
      </c>
      <c r="J406" s="4" t="s">
        <v>727</v>
      </c>
      <c r="K406" s="4" t="s">
        <v>1137</v>
      </c>
      <c r="L406">
        <v>974.11</v>
      </c>
      <c r="M406">
        <v>880.99</v>
      </c>
      <c r="N406">
        <v>0.111</v>
      </c>
      <c r="O406">
        <v>10</v>
      </c>
    </row>
    <row r="407" spans="1:15" x14ac:dyDescent="0.25">
      <c r="A407" t="s">
        <v>419</v>
      </c>
      <c r="B407" s="2">
        <v>44991</v>
      </c>
      <c r="C407" s="2">
        <v>45020</v>
      </c>
      <c r="D407" s="4" t="s">
        <v>647</v>
      </c>
      <c r="E407" s="4" t="s">
        <v>659</v>
      </c>
      <c r="F407" s="4" t="s">
        <v>699</v>
      </c>
      <c r="G407" s="4" t="s">
        <v>705</v>
      </c>
      <c r="H407" s="4" t="s">
        <v>711</v>
      </c>
      <c r="I407" s="4" t="s">
        <v>712</v>
      </c>
      <c r="J407" s="4" t="s">
        <v>732</v>
      </c>
      <c r="K407" s="4" t="s">
        <v>1138</v>
      </c>
      <c r="L407">
        <v>1126.29</v>
      </c>
      <c r="M407">
        <v>2050.87</v>
      </c>
      <c r="N407">
        <v>6.4000000000000001E-2</v>
      </c>
      <c r="O407">
        <v>7</v>
      </c>
    </row>
    <row r="408" spans="1:15" x14ac:dyDescent="0.25">
      <c r="A408" t="s">
        <v>420</v>
      </c>
      <c r="B408" s="2">
        <v>45646</v>
      </c>
      <c r="C408" s="2">
        <v>45671</v>
      </c>
      <c r="D408" s="4" t="s">
        <v>647</v>
      </c>
      <c r="E408" s="4" t="s">
        <v>654</v>
      </c>
      <c r="F408" s="4" t="s">
        <v>680</v>
      </c>
      <c r="G408" s="4" t="s">
        <v>705</v>
      </c>
      <c r="H408" s="4" t="s">
        <v>707</v>
      </c>
      <c r="I408" s="4" t="s">
        <v>724</v>
      </c>
      <c r="J408" s="4" t="s">
        <v>728</v>
      </c>
      <c r="K408" s="4" t="s">
        <v>1139</v>
      </c>
      <c r="L408">
        <v>1361.34</v>
      </c>
      <c r="M408">
        <v>1737.9</v>
      </c>
      <c r="N408">
        <v>7.6999999999999999E-2</v>
      </c>
      <c r="O408">
        <v>14</v>
      </c>
    </row>
    <row r="409" spans="1:15" x14ac:dyDescent="0.25">
      <c r="A409" t="s">
        <v>421</v>
      </c>
      <c r="B409" s="2">
        <v>45709</v>
      </c>
      <c r="C409" s="2">
        <v>45737</v>
      </c>
      <c r="D409" s="4" t="s">
        <v>646</v>
      </c>
      <c r="E409" s="4" t="s">
        <v>651</v>
      </c>
      <c r="F409" s="4" t="s">
        <v>669</v>
      </c>
      <c r="G409" s="4" t="s">
        <v>706</v>
      </c>
      <c r="H409" s="4" t="s">
        <v>709</v>
      </c>
      <c r="I409" s="4" t="s">
        <v>714</v>
      </c>
      <c r="J409" s="4" t="s">
        <v>730</v>
      </c>
      <c r="K409" s="4" t="s">
        <v>1140</v>
      </c>
      <c r="L409">
        <v>1437.39</v>
      </c>
      <c r="M409">
        <v>1388.31</v>
      </c>
      <c r="N409">
        <v>0.13800000000000001</v>
      </c>
      <c r="O409">
        <v>18</v>
      </c>
    </row>
    <row r="410" spans="1:15" x14ac:dyDescent="0.25">
      <c r="A410" t="s">
        <v>422</v>
      </c>
      <c r="B410" s="2">
        <v>45724</v>
      </c>
      <c r="C410" s="2">
        <v>45731</v>
      </c>
      <c r="D410" s="4" t="s">
        <v>647</v>
      </c>
      <c r="E410" s="4" t="s">
        <v>654</v>
      </c>
      <c r="F410" s="4" t="s">
        <v>668</v>
      </c>
      <c r="G410" s="4" t="s">
        <v>701</v>
      </c>
      <c r="H410" s="4" t="s">
        <v>710</v>
      </c>
      <c r="I410" s="4" t="s">
        <v>723</v>
      </c>
      <c r="J410" s="4" t="s">
        <v>731</v>
      </c>
      <c r="K410" s="4" t="s">
        <v>1141</v>
      </c>
      <c r="L410">
        <v>475.66</v>
      </c>
      <c r="M410">
        <v>529.14</v>
      </c>
      <c r="N410">
        <v>0.19600000000000001</v>
      </c>
      <c r="O410">
        <v>11</v>
      </c>
    </row>
    <row r="411" spans="1:15" x14ac:dyDescent="0.25">
      <c r="A411" t="s">
        <v>423</v>
      </c>
      <c r="B411" s="2">
        <v>45276</v>
      </c>
      <c r="C411" s="2">
        <v>45279</v>
      </c>
      <c r="D411" s="4" t="s">
        <v>647</v>
      </c>
      <c r="E411" s="4" t="s">
        <v>659</v>
      </c>
      <c r="F411" s="4" t="s">
        <v>699</v>
      </c>
      <c r="G411" s="4" t="s">
        <v>702</v>
      </c>
      <c r="H411" s="4" t="s">
        <v>707</v>
      </c>
      <c r="I411" s="4" t="s">
        <v>720</v>
      </c>
      <c r="J411" s="4" t="s">
        <v>733</v>
      </c>
      <c r="K411" s="4" t="s">
        <v>1142</v>
      </c>
      <c r="L411">
        <v>1415.05</v>
      </c>
      <c r="M411">
        <v>1972.38</v>
      </c>
      <c r="N411">
        <v>0</v>
      </c>
      <c r="O411">
        <v>12</v>
      </c>
    </row>
    <row r="412" spans="1:15" x14ac:dyDescent="0.25">
      <c r="A412" t="s">
        <v>424</v>
      </c>
      <c r="B412" s="2">
        <v>45534</v>
      </c>
      <c r="C412" s="2">
        <v>45540</v>
      </c>
      <c r="D412" s="4" t="s">
        <v>647</v>
      </c>
      <c r="E412" s="4" t="s">
        <v>652</v>
      </c>
      <c r="F412" s="4" t="s">
        <v>694</v>
      </c>
      <c r="G412" s="4" t="s">
        <v>702</v>
      </c>
      <c r="H412" s="4" t="s">
        <v>708</v>
      </c>
      <c r="I412" s="4" t="s">
        <v>725</v>
      </c>
      <c r="J412" s="4" t="s">
        <v>731</v>
      </c>
      <c r="K412" s="4" t="s">
        <v>1143</v>
      </c>
      <c r="L412">
        <v>466.16</v>
      </c>
      <c r="M412">
        <v>876.81</v>
      </c>
      <c r="N412">
        <v>0.24099999999999999</v>
      </c>
      <c r="O412">
        <v>8</v>
      </c>
    </row>
    <row r="413" spans="1:15" x14ac:dyDescent="0.25">
      <c r="A413" t="s">
        <v>425</v>
      </c>
      <c r="B413" s="2">
        <v>45430</v>
      </c>
      <c r="C413" s="2">
        <v>45433</v>
      </c>
      <c r="D413" s="4" t="s">
        <v>649</v>
      </c>
      <c r="E413" s="4" t="s">
        <v>657</v>
      </c>
      <c r="F413" s="4" t="s">
        <v>673</v>
      </c>
      <c r="G413" s="4" t="s">
        <v>703</v>
      </c>
      <c r="H413" s="4" t="s">
        <v>709</v>
      </c>
      <c r="I413" s="4" t="s">
        <v>726</v>
      </c>
      <c r="J413" s="4" t="s">
        <v>728</v>
      </c>
      <c r="K413" s="4" t="s">
        <v>1144</v>
      </c>
      <c r="L413">
        <v>663.66</v>
      </c>
      <c r="M413">
        <v>824.26</v>
      </c>
      <c r="N413">
        <v>0.23899999999999999</v>
      </c>
      <c r="O413">
        <v>11</v>
      </c>
    </row>
    <row r="414" spans="1:15" x14ac:dyDescent="0.25">
      <c r="A414" t="s">
        <v>426</v>
      </c>
      <c r="B414" s="2">
        <v>45002</v>
      </c>
      <c r="C414" s="2">
        <v>45022</v>
      </c>
      <c r="D414" s="4" t="s">
        <v>649</v>
      </c>
      <c r="E414" s="4" t="s">
        <v>656</v>
      </c>
      <c r="F414" s="4" t="s">
        <v>684</v>
      </c>
      <c r="G414" s="4" t="s">
        <v>704</v>
      </c>
      <c r="H414" s="4" t="s">
        <v>707</v>
      </c>
      <c r="I414" s="4" t="s">
        <v>719</v>
      </c>
      <c r="J414" s="4" t="s">
        <v>730</v>
      </c>
      <c r="K414" s="4" t="s">
        <v>1145</v>
      </c>
      <c r="L414">
        <v>692.18</v>
      </c>
      <c r="M414">
        <v>1159.3499999999999</v>
      </c>
      <c r="N414">
        <v>0.112</v>
      </c>
      <c r="O414">
        <v>2</v>
      </c>
    </row>
    <row r="415" spans="1:15" x14ac:dyDescent="0.25">
      <c r="A415" t="s">
        <v>427</v>
      </c>
      <c r="B415" s="2">
        <v>45163</v>
      </c>
      <c r="C415" s="2">
        <v>45185</v>
      </c>
      <c r="D415" s="4" t="s">
        <v>646</v>
      </c>
      <c r="E415" s="4" t="s">
        <v>651</v>
      </c>
      <c r="F415" s="4" t="s">
        <v>669</v>
      </c>
      <c r="G415" s="4" t="s">
        <v>701</v>
      </c>
      <c r="H415" s="4" t="s">
        <v>709</v>
      </c>
      <c r="I415" s="4" t="s">
        <v>716</v>
      </c>
      <c r="J415" s="4" t="s">
        <v>730</v>
      </c>
      <c r="K415" s="4" t="s">
        <v>1146</v>
      </c>
      <c r="L415">
        <v>1196.83</v>
      </c>
      <c r="M415">
        <v>2513.5100000000002</v>
      </c>
      <c r="N415">
        <v>8.3000000000000004E-2</v>
      </c>
      <c r="O415">
        <v>7</v>
      </c>
    </row>
    <row r="416" spans="1:15" x14ac:dyDescent="0.25">
      <c r="A416" t="s">
        <v>428</v>
      </c>
      <c r="B416" s="2">
        <v>45449</v>
      </c>
      <c r="C416" s="2">
        <v>45467</v>
      </c>
      <c r="D416" s="4" t="s">
        <v>647</v>
      </c>
      <c r="E416" s="4" t="s">
        <v>654</v>
      </c>
      <c r="F416" s="4" t="s">
        <v>668</v>
      </c>
      <c r="G416" s="4" t="s">
        <v>705</v>
      </c>
      <c r="H416" s="4" t="s">
        <v>711</v>
      </c>
      <c r="I416" s="4" t="s">
        <v>722</v>
      </c>
      <c r="J416" s="4" t="s">
        <v>729</v>
      </c>
      <c r="K416" s="4" t="s">
        <v>1147</v>
      </c>
      <c r="L416">
        <v>1253.25</v>
      </c>
      <c r="M416">
        <v>3087.13</v>
      </c>
      <c r="N416">
        <v>7.1999999999999995E-2</v>
      </c>
      <c r="O416">
        <v>11</v>
      </c>
    </row>
    <row r="417" spans="1:15" x14ac:dyDescent="0.25">
      <c r="A417" t="s">
        <v>429</v>
      </c>
      <c r="B417" s="2">
        <v>45167</v>
      </c>
      <c r="C417" s="2">
        <v>45182</v>
      </c>
      <c r="D417" s="4" t="s">
        <v>648</v>
      </c>
      <c r="E417" s="4" t="s">
        <v>653</v>
      </c>
      <c r="F417" s="4" t="s">
        <v>688</v>
      </c>
      <c r="G417" s="4" t="s">
        <v>705</v>
      </c>
      <c r="H417" s="4" t="s">
        <v>709</v>
      </c>
      <c r="I417" s="4" t="s">
        <v>719</v>
      </c>
      <c r="J417" s="4" t="s">
        <v>728</v>
      </c>
      <c r="K417" s="4" t="s">
        <v>1148</v>
      </c>
      <c r="L417">
        <v>1287.6400000000001</v>
      </c>
      <c r="M417">
        <v>2717.15</v>
      </c>
      <c r="N417">
        <v>3.2000000000000001E-2</v>
      </c>
      <c r="O417">
        <v>7</v>
      </c>
    </row>
    <row r="418" spans="1:15" x14ac:dyDescent="0.25">
      <c r="A418" t="s">
        <v>430</v>
      </c>
      <c r="B418" s="2">
        <v>45626</v>
      </c>
      <c r="C418" s="2">
        <v>45636</v>
      </c>
      <c r="D418" s="4" t="s">
        <v>647</v>
      </c>
      <c r="E418" s="4" t="s">
        <v>654</v>
      </c>
      <c r="F418" s="4" t="s">
        <v>696</v>
      </c>
      <c r="G418" s="4" t="s">
        <v>705</v>
      </c>
      <c r="H418" s="4" t="s">
        <v>707</v>
      </c>
      <c r="I418" s="4" t="s">
        <v>721</v>
      </c>
      <c r="J418" s="4" t="s">
        <v>733</v>
      </c>
      <c r="K418" s="4" t="s">
        <v>1149</v>
      </c>
      <c r="L418">
        <v>851.49</v>
      </c>
      <c r="M418">
        <v>901.79</v>
      </c>
      <c r="N418">
        <v>0.245</v>
      </c>
      <c r="O418">
        <v>16</v>
      </c>
    </row>
    <row r="419" spans="1:15" x14ac:dyDescent="0.25">
      <c r="A419" t="s">
        <v>431</v>
      </c>
      <c r="B419" s="2">
        <v>45813</v>
      </c>
      <c r="C419" s="2">
        <v>45822</v>
      </c>
      <c r="D419" s="4" t="s">
        <v>647</v>
      </c>
      <c r="E419" s="4" t="s">
        <v>654</v>
      </c>
      <c r="F419" s="4" t="s">
        <v>680</v>
      </c>
      <c r="G419" s="4" t="s">
        <v>703</v>
      </c>
      <c r="H419" s="4" t="s">
        <v>707</v>
      </c>
      <c r="I419" s="4" t="s">
        <v>720</v>
      </c>
      <c r="J419" s="4" t="s">
        <v>733</v>
      </c>
      <c r="K419" s="4" t="s">
        <v>1150</v>
      </c>
      <c r="L419">
        <v>618.69000000000005</v>
      </c>
      <c r="M419">
        <v>796.15</v>
      </c>
      <c r="N419">
        <v>0.09</v>
      </c>
      <c r="O419">
        <v>11</v>
      </c>
    </row>
    <row r="420" spans="1:15" x14ac:dyDescent="0.25">
      <c r="A420" t="s">
        <v>432</v>
      </c>
      <c r="B420" s="2">
        <v>45730</v>
      </c>
      <c r="C420" s="2">
        <v>45755</v>
      </c>
      <c r="D420" s="4" t="s">
        <v>647</v>
      </c>
      <c r="E420" s="4" t="s">
        <v>659</v>
      </c>
      <c r="G420" s="4" t="s">
        <v>701</v>
      </c>
      <c r="H420" s="4" t="s">
        <v>710</v>
      </c>
      <c r="I420" s="4" t="s">
        <v>726</v>
      </c>
      <c r="J420" s="4" t="s">
        <v>728</v>
      </c>
      <c r="K420" s="4" t="s">
        <v>1151</v>
      </c>
      <c r="L420">
        <v>80.59</v>
      </c>
      <c r="M420">
        <v>157.82</v>
      </c>
      <c r="N420">
        <v>0.217</v>
      </c>
      <c r="O420">
        <v>6</v>
      </c>
    </row>
    <row r="421" spans="1:15" x14ac:dyDescent="0.25">
      <c r="A421" t="s">
        <v>433</v>
      </c>
      <c r="B421" s="2">
        <v>45307</v>
      </c>
      <c r="C421" s="2">
        <v>45333</v>
      </c>
      <c r="D421" s="4" t="s">
        <v>649</v>
      </c>
      <c r="E421" s="4" t="s">
        <v>656</v>
      </c>
      <c r="F421" s="4" t="s">
        <v>698</v>
      </c>
      <c r="G421" s="4" t="s">
        <v>703</v>
      </c>
      <c r="H421" s="4" t="s">
        <v>710</v>
      </c>
      <c r="I421" s="4" t="s">
        <v>718</v>
      </c>
      <c r="J421" s="4" t="s">
        <v>732</v>
      </c>
      <c r="K421" s="4" t="s">
        <v>1152</v>
      </c>
      <c r="L421">
        <v>504.93</v>
      </c>
      <c r="M421">
        <v>819.06</v>
      </c>
      <c r="N421">
        <v>0.22600000000000001</v>
      </c>
      <c r="O421">
        <v>15</v>
      </c>
    </row>
    <row r="422" spans="1:15" x14ac:dyDescent="0.25">
      <c r="A422" t="s">
        <v>434</v>
      </c>
      <c r="B422" s="2">
        <v>45211</v>
      </c>
      <c r="C422" s="2">
        <v>45228</v>
      </c>
      <c r="D422" s="4" t="s">
        <v>647</v>
      </c>
      <c r="E422" s="4" t="s">
        <v>652</v>
      </c>
      <c r="F422" s="4" t="s">
        <v>694</v>
      </c>
      <c r="G422" s="4" t="s">
        <v>703</v>
      </c>
      <c r="H422" s="4" t="s">
        <v>711</v>
      </c>
      <c r="I422" s="4" t="s">
        <v>722</v>
      </c>
      <c r="J422" s="4" t="s">
        <v>730</v>
      </c>
      <c r="K422" s="4" t="s">
        <v>1153</v>
      </c>
      <c r="L422">
        <v>1102.19</v>
      </c>
      <c r="M422">
        <v>1711.16</v>
      </c>
      <c r="N422">
        <v>0.151</v>
      </c>
      <c r="O422">
        <v>10</v>
      </c>
    </row>
    <row r="423" spans="1:15" x14ac:dyDescent="0.25">
      <c r="A423" t="s">
        <v>435</v>
      </c>
      <c r="B423" s="2">
        <v>45713</v>
      </c>
      <c r="C423" s="2">
        <v>45733</v>
      </c>
      <c r="D423" s="4" t="s">
        <v>648</v>
      </c>
      <c r="E423" s="4" t="s">
        <v>660</v>
      </c>
      <c r="F423" s="4" t="s">
        <v>686</v>
      </c>
      <c r="G423" s="4" t="s">
        <v>703</v>
      </c>
      <c r="H423" s="4" t="s">
        <v>709</v>
      </c>
      <c r="I423" s="4" t="s">
        <v>722</v>
      </c>
      <c r="J423" s="4" t="s">
        <v>730</v>
      </c>
      <c r="K423" s="4" t="s">
        <v>1154</v>
      </c>
      <c r="L423">
        <v>1205.26</v>
      </c>
      <c r="M423">
        <v>1696.35</v>
      </c>
      <c r="N423">
        <v>1.9E-2</v>
      </c>
      <c r="O423">
        <v>6</v>
      </c>
    </row>
    <row r="424" spans="1:15" x14ac:dyDescent="0.25">
      <c r="A424" t="s">
        <v>436</v>
      </c>
      <c r="B424" s="2">
        <v>45841</v>
      </c>
      <c r="C424" s="2">
        <v>45844</v>
      </c>
      <c r="D424" s="4" t="s">
        <v>646</v>
      </c>
      <c r="E424" s="4" t="s">
        <v>651</v>
      </c>
      <c r="F424" s="4" t="s">
        <v>665</v>
      </c>
      <c r="G424" s="4" t="s">
        <v>704</v>
      </c>
      <c r="H424" s="4" t="s">
        <v>708</v>
      </c>
      <c r="J424" s="4" t="s">
        <v>731</v>
      </c>
      <c r="K424" s="4" t="s">
        <v>1155</v>
      </c>
      <c r="L424">
        <v>1313.3</v>
      </c>
      <c r="M424">
        <v>2884.34</v>
      </c>
      <c r="N424">
        <v>0.157</v>
      </c>
      <c r="O424">
        <v>42</v>
      </c>
    </row>
    <row r="425" spans="1:15" x14ac:dyDescent="0.25">
      <c r="A425" t="s">
        <v>437</v>
      </c>
      <c r="B425" s="2">
        <v>45915</v>
      </c>
      <c r="C425" s="2">
        <v>45925</v>
      </c>
      <c r="D425" s="4" t="s">
        <v>647</v>
      </c>
      <c r="E425" s="4" t="s">
        <v>654</v>
      </c>
      <c r="F425" s="4" t="s">
        <v>680</v>
      </c>
      <c r="G425" s="4" t="s">
        <v>704</v>
      </c>
      <c r="H425" s="4" t="s">
        <v>707</v>
      </c>
      <c r="I425" s="4" t="s">
        <v>720</v>
      </c>
      <c r="J425" s="4" t="s">
        <v>730</v>
      </c>
      <c r="K425" s="4" t="s">
        <v>1156</v>
      </c>
      <c r="L425">
        <v>1488.91</v>
      </c>
      <c r="M425">
        <v>1483.74</v>
      </c>
      <c r="N425">
        <v>0.16800000000000001</v>
      </c>
      <c r="O425">
        <v>24</v>
      </c>
    </row>
    <row r="426" spans="1:15" x14ac:dyDescent="0.25">
      <c r="A426" t="s">
        <v>438</v>
      </c>
      <c r="B426" s="2">
        <v>45341</v>
      </c>
      <c r="C426" s="2">
        <v>45357</v>
      </c>
      <c r="D426" s="4" t="s">
        <v>647</v>
      </c>
      <c r="E426" s="4" t="s">
        <v>659</v>
      </c>
      <c r="F426" s="4" t="s">
        <v>699</v>
      </c>
      <c r="G426" s="4" t="s">
        <v>702</v>
      </c>
      <c r="H426" s="4" t="s">
        <v>709</v>
      </c>
      <c r="I426" s="4" t="s">
        <v>719</v>
      </c>
      <c r="J426" s="4" t="s">
        <v>728</v>
      </c>
      <c r="K426" s="4" t="s">
        <v>1157</v>
      </c>
      <c r="L426">
        <v>1477.84</v>
      </c>
      <c r="M426">
        <v>3197.47</v>
      </c>
      <c r="N426">
        <v>0.24299999999999999</v>
      </c>
      <c r="O426">
        <v>24</v>
      </c>
    </row>
    <row r="427" spans="1:15" x14ac:dyDescent="0.25">
      <c r="A427" t="s">
        <v>439</v>
      </c>
      <c r="B427" s="2">
        <v>45349</v>
      </c>
      <c r="C427" s="2">
        <v>45377</v>
      </c>
      <c r="D427" s="4" t="s">
        <v>647</v>
      </c>
      <c r="E427" s="4" t="s">
        <v>654</v>
      </c>
      <c r="F427" s="4" t="s">
        <v>691</v>
      </c>
      <c r="G427" s="4" t="s">
        <v>702</v>
      </c>
      <c r="H427" s="4" t="s">
        <v>709</v>
      </c>
      <c r="I427" s="4" t="s">
        <v>715</v>
      </c>
      <c r="J427" s="4" t="s">
        <v>731</v>
      </c>
      <c r="K427" s="4" t="s">
        <v>1158</v>
      </c>
      <c r="L427">
        <v>1035.19</v>
      </c>
      <c r="M427">
        <v>2322.6999999999998</v>
      </c>
      <c r="N427">
        <v>0.17299999999999999</v>
      </c>
      <c r="O427">
        <v>8</v>
      </c>
    </row>
    <row r="428" spans="1:15" x14ac:dyDescent="0.25">
      <c r="A428" t="s">
        <v>440</v>
      </c>
      <c r="B428" s="2">
        <v>45897</v>
      </c>
      <c r="C428" s="2">
        <v>45905</v>
      </c>
      <c r="D428" s="4" t="s">
        <v>646</v>
      </c>
      <c r="E428" s="4" t="s">
        <v>651</v>
      </c>
      <c r="F428" s="4" t="s">
        <v>663</v>
      </c>
      <c r="G428" s="4" t="s">
        <v>705</v>
      </c>
      <c r="H428" s="4" t="s">
        <v>709</v>
      </c>
      <c r="I428" s="4" t="s">
        <v>718</v>
      </c>
      <c r="J428" s="4" t="s">
        <v>731</v>
      </c>
      <c r="K428" s="4" t="s">
        <v>1159</v>
      </c>
      <c r="L428">
        <v>1271.0999999999999</v>
      </c>
      <c r="M428">
        <v>1932.42</v>
      </c>
      <c r="N428">
        <v>0.25</v>
      </c>
      <c r="O428">
        <v>21</v>
      </c>
    </row>
    <row r="429" spans="1:15" x14ac:dyDescent="0.25">
      <c r="A429" t="s">
        <v>441</v>
      </c>
      <c r="B429" s="2">
        <v>45522</v>
      </c>
      <c r="C429" s="2">
        <v>45547</v>
      </c>
      <c r="D429" s="4" t="s">
        <v>647</v>
      </c>
      <c r="E429" s="4" t="s">
        <v>654</v>
      </c>
      <c r="F429" s="4" t="s">
        <v>691</v>
      </c>
      <c r="G429" s="4" t="s">
        <v>704</v>
      </c>
      <c r="H429" s="4" t="s">
        <v>709</v>
      </c>
      <c r="I429" s="4" t="s">
        <v>712</v>
      </c>
      <c r="J429" s="4" t="s">
        <v>730</v>
      </c>
      <c r="K429" s="4" t="s">
        <v>1160</v>
      </c>
      <c r="L429">
        <v>1154.03</v>
      </c>
      <c r="M429">
        <v>1590.36</v>
      </c>
      <c r="N429">
        <v>0.314</v>
      </c>
      <c r="O429">
        <v>18</v>
      </c>
    </row>
    <row r="430" spans="1:15" x14ac:dyDescent="0.25">
      <c r="A430" t="s">
        <v>442</v>
      </c>
      <c r="B430" s="2">
        <v>45347</v>
      </c>
      <c r="C430" s="2">
        <v>45360</v>
      </c>
      <c r="D430" s="4" t="s">
        <v>649</v>
      </c>
      <c r="E430" s="4" t="s">
        <v>657</v>
      </c>
      <c r="F430" s="4" t="s">
        <v>673</v>
      </c>
      <c r="G430" s="4" t="s">
        <v>705</v>
      </c>
      <c r="H430" s="4" t="s">
        <v>710</v>
      </c>
      <c r="I430" s="4" t="s">
        <v>718</v>
      </c>
      <c r="J430" s="4" t="s">
        <v>732</v>
      </c>
      <c r="K430" s="4" t="s">
        <v>1161</v>
      </c>
      <c r="L430">
        <v>322.44</v>
      </c>
      <c r="M430">
        <v>395.61</v>
      </c>
      <c r="N430">
        <v>0</v>
      </c>
      <c r="O430">
        <v>34</v>
      </c>
    </row>
    <row r="431" spans="1:15" x14ac:dyDescent="0.25">
      <c r="A431" t="s">
        <v>443</v>
      </c>
      <c r="B431" s="2">
        <v>45784</v>
      </c>
      <c r="C431" s="2">
        <v>45790</v>
      </c>
      <c r="D431" s="4" t="s">
        <v>647</v>
      </c>
      <c r="E431" s="4" t="s">
        <v>654</v>
      </c>
      <c r="F431" s="4" t="s">
        <v>668</v>
      </c>
      <c r="G431" s="4" t="s">
        <v>706</v>
      </c>
      <c r="H431" s="4" t="s">
        <v>711</v>
      </c>
      <c r="I431" s="4" t="s">
        <v>713</v>
      </c>
      <c r="J431" s="4" t="s">
        <v>730</v>
      </c>
      <c r="K431" s="4" t="s">
        <v>1162</v>
      </c>
      <c r="L431">
        <v>935.98</v>
      </c>
      <c r="M431">
        <v>2077.69</v>
      </c>
      <c r="N431">
        <v>0.17499999999999999</v>
      </c>
      <c r="O431">
        <v>24</v>
      </c>
    </row>
    <row r="432" spans="1:15" x14ac:dyDescent="0.25">
      <c r="A432" t="s">
        <v>444</v>
      </c>
      <c r="B432" s="2">
        <v>45597</v>
      </c>
      <c r="C432" s="2">
        <v>45608</v>
      </c>
      <c r="D432" s="4" t="s">
        <v>649</v>
      </c>
      <c r="E432" s="4" t="s">
        <v>656</v>
      </c>
      <c r="F432" s="4" t="s">
        <v>698</v>
      </c>
      <c r="G432" s="4" t="s">
        <v>704</v>
      </c>
      <c r="H432" s="4" t="s">
        <v>708</v>
      </c>
      <c r="I432" s="4" t="s">
        <v>717</v>
      </c>
      <c r="J432" s="4" t="s">
        <v>728</v>
      </c>
      <c r="K432" s="4" t="s">
        <v>1163</v>
      </c>
      <c r="L432">
        <v>599.84</v>
      </c>
      <c r="M432">
        <v>1330.85</v>
      </c>
      <c r="N432">
        <v>0.115</v>
      </c>
      <c r="O432">
        <v>11</v>
      </c>
    </row>
    <row r="433" spans="1:15" x14ac:dyDescent="0.25">
      <c r="A433" t="s">
        <v>445</v>
      </c>
      <c r="B433" s="2">
        <v>45654</v>
      </c>
      <c r="C433" s="2">
        <v>45665</v>
      </c>
      <c r="D433" s="4" t="s">
        <v>647</v>
      </c>
      <c r="E433" s="4" t="s">
        <v>659</v>
      </c>
      <c r="F433" s="4" t="s">
        <v>676</v>
      </c>
      <c r="G433" s="4" t="s">
        <v>706</v>
      </c>
      <c r="H433" s="4" t="s">
        <v>708</v>
      </c>
      <c r="I433" s="4" t="s">
        <v>723</v>
      </c>
      <c r="J433" s="4" t="s">
        <v>731</v>
      </c>
      <c r="K433" s="4" t="s">
        <v>1164</v>
      </c>
      <c r="L433">
        <v>1201.31</v>
      </c>
      <c r="M433">
        <v>2764.65</v>
      </c>
      <c r="N433">
        <v>0</v>
      </c>
      <c r="O433">
        <v>21</v>
      </c>
    </row>
    <row r="434" spans="1:15" x14ac:dyDescent="0.25">
      <c r="A434" t="s">
        <v>446</v>
      </c>
      <c r="B434" s="2">
        <v>45220</v>
      </c>
      <c r="C434" s="2">
        <v>45220</v>
      </c>
      <c r="D434" s="4" t="s">
        <v>649</v>
      </c>
      <c r="E434" s="4" t="s">
        <v>658</v>
      </c>
      <c r="F434" s="4" t="s">
        <v>693</v>
      </c>
      <c r="G434" s="4" t="s">
        <v>706</v>
      </c>
      <c r="H434" s="4" t="s">
        <v>710</v>
      </c>
      <c r="I434" s="4" t="s">
        <v>713</v>
      </c>
      <c r="J434" s="4" t="s">
        <v>732</v>
      </c>
      <c r="K434" s="4" t="s">
        <v>1165</v>
      </c>
      <c r="L434">
        <v>384.19</v>
      </c>
      <c r="M434">
        <v>278.35000000000002</v>
      </c>
      <c r="N434">
        <v>5.6000000000000001E-2</v>
      </c>
      <c r="O434">
        <v>10</v>
      </c>
    </row>
    <row r="435" spans="1:15" x14ac:dyDescent="0.25">
      <c r="A435" t="s">
        <v>447</v>
      </c>
      <c r="B435" s="2">
        <v>45636</v>
      </c>
      <c r="C435" s="2">
        <v>45645</v>
      </c>
      <c r="D435" s="4" t="s">
        <v>646</v>
      </c>
      <c r="E435" s="4" t="s">
        <v>651</v>
      </c>
      <c r="F435" s="4" t="s">
        <v>665</v>
      </c>
      <c r="G435" s="4" t="s">
        <v>701</v>
      </c>
      <c r="H435" s="4" t="s">
        <v>707</v>
      </c>
      <c r="I435" s="4" t="s">
        <v>719</v>
      </c>
      <c r="J435" s="4" t="s">
        <v>732</v>
      </c>
      <c r="K435" s="4" t="s">
        <v>1166</v>
      </c>
      <c r="L435">
        <v>488.68</v>
      </c>
      <c r="M435">
        <v>984.36</v>
      </c>
      <c r="N435">
        <v>5.8999999999999997E-2</v>
      </c>
      <c r="O435">
        <v>14</v>
      </c>
    </row>
    <row r="436" spans="1:15" x14ac:dyDescent="0.25">
      <c r="A436" t="s">
        <v>448</v>
      </c>
      <c r="B436" s="2">
        <v>45542</v>
      </c>
      <c r="C436" s="2">
        <v>45553</v>
      </c>
      <c r="D436" s="4" t="s">
        <v>647</v>
      </c>
      <c r="E436" s="4" t="s">
        <v>659</v>
      </c>
      <c r="F436" s="4" t="s">
        <v>699</v>
      </c>
      <c r="G436" s="4" t="s">
        <v>704</v>
      </c>
      <c r="H436" s="4" t="s">
        <v>710</v>
      </c>
      <c r="I436" s="4" t="s">
        <v>719</v>
      </c>
      <c r="J436" s="4" t="s">
        <v>729</v>
      </c>
      <c r="K436" s="4" t="s">
        <v>1167</v>
      </c>
      <c r="L436">
        <v>181.74</v>
      </c>
      <c r="M436">
        <v>190.84</v>
      </c>
      <c r="N436">
        <v>0.214</v>
      </c>
      <c r="O436">
        <v>13</v>
      </c>
    </row>
    <row r="437" spans="1:15" x14ac:dyDescent="0.25">
      <c r="A437" t="s">
        <v>449</v>
      </c>
      <c r="B437" s="2">
        <v>45217</v>
      </c>
      <c r="C437" s="2">
        <v>45219</v>
      </c>
      <c r="D437" s="4" t="s">
        <v>646</v>
      </c>
      <c r="E437" s="4" t="s">
        <v>650</v>
      </c>
      <c r="F437" s="4" t="s">
        <v>662</v>
      </c>
      <c r="G437" s="4" t="s">
        <v>704</v>
      </c>
      <c r="H437" s="4" t="s">
        <v>707</v>
      </c>
      <c r="I437" s="4" t="s">
        <v>713</v>
      </c>
      <c r="J437" s="4" t="s">
        <v>730</v>
      </c>
      <c r="K437" s="4" t="s">
        <v>1168</v>
      </c>
      <c r="L437">
        <v>774.12</v>
      </c>
      <c r="M437">
        <v>908.3</v>
      </c>
      <c r="N437">
        <v>0</v>
      </c>
      <c r="O437">
        <v>30</v>
      </c>
    </row>
    <row r="438" spans="1:15" x14ac:dyDescent="0.25">
      <c r="A438" t="s">
        <v>450</v>
      </c>
      <c r="B438" s="2">
        <v>45650</v>
      </c>
      <c r="C438" s="2">
        <v>45670</v>
      </c>
      <c r="D438" s="4" t="s">
        <v>647</v>
      </c>
      <c r="E438" s="4" t="s">
        <v>654</v>
      </c>
      <c r="F438" s="4" t="s">
        <v>668</v>
      </c>
      <c r="G438" s="4" t="s">
        <v>701</v>
      </c>
      <c r="H438" s="4" t="s">
        <v>709</v>
      </c>
      <c r="I438" s="4" t="s">
        <v>726</v>
      </c>
      <c r="J438" s="4" t="s">
        <v>729</v>
      </c>
      <c r="K438" s="4" t="s">
        <v>1169</v>
      </c>
      <c r="L438">
        <v>126.15</v>
      </c>
      <c r="M438">
        <v>284.23</v>
      </c>
      <c r="N438">
        <v>0.113</v>
      </c>
      <c r="O438">
        <v>22</v>
      </c>
    </row>
    <row r="439" spans="1:15" x14ac:dyDescent="0.25">
      <c r="A439" t="s">
        <v>451</v>
      </c>
      <c r="B439" s="2">
        <v>45037</v>
      </c>
      <c r="C439" s="2">
        <v>45035</v>
      </c>
      <c r="D439" s="4" t="s">
        <v>647</v>
      </c>
      <c r="E439" s="4" t="s">
        <v>652</v>
      </c>
      <c r="F439" s="4" t="s">
        <v>694</v>
      </c>
      <c r="G439" s="4" t="s">
        <v>705</v>
      </c>
      <c r="H439" s="4" t="s">
        <v>711</v>
      </c>
      <c r="I439" s="4" t="s">
        <v>724</v>
      </c>
      <c r="J439" s="4" t="s">
        <v>727</v>
      </c>
      <c r="K439" s="4" t="s">
        <v>1170</v>
      </c>
      <c r="L439">
        <v>607.04</v>
      </c>
      <c r="M439">
        <v>1229.3399999999999</v>
      </c>
      <c r="N439">
        <v>0.14699999999999999</v>
      </c>
      <c r="O439">
        <v>7</v>
      </c>
    </row>
    <row r="440" spans="1:15" x14ac:dyDescent="0.25">
      <c r="A440" t="s">
        <v>452</v>
      </c>
      <c r="B440" s="2">
        <v>45290</v>
      </c>
      <c r="C440" s="2">
        <v>45299</v>
      </c>
      <c r="D440" s="4" t="s">
        <v>649</v>
      </c>
      <c r="E440" s="4" t="s">
        <v>657</v>
      </c>
      <c r="F440" s="4" t="s">
        <v>673</v>
      </c>
      <c r="G440" s="4" t="s">
        <v>704</v>
      </c>
      <c r="H440" s="4" t="s">
        <v>709</v>
      </c>
      <c r="I440" s="4" t="s">
        <v>716</v>
      </c>
      <c r="J440" s="4" t="s">
        <v>733</v>
      </c>
      <c r="K440" s="4" t="s">
        <v>1171</v>
      </c>
      <c r="L440">
        <v>861.1</v>
      </c>
      <c r="M440">
        <v>1224.72</v>
      </c>
      <c r="N440">
        <v>0.17399999999999999</v>
      </c>
      <c r="O440">
        <v>24</v>
      </c>
    </row>
    <row r="441" spans="1:15" x14ac:dyDescent="0.25">
      <c r="A441" t="s">
        <v>453</v>
      </c>
      <c r="B441" s="2">
        <v>44978</v>
      </c>
      <c r="C441" s="2">
        <v>44997</v>
      </c>
      <c r="D441" s="4" t="s">
        <v>646</v>
      </c>
      <c r="E441" s="4" t="s">
        <v>650</v>
      </c>
      <c r="F441" s="4" t="s">
        <v>678</v>
      </c>
      <c r="G441" s="4" t="s">
        <v>701</v>
      </c>
      <c r="H441" s="4" t="s">
        <v>708</v>
      </c>
      <c r="I441" s="4" t="s">
        <v>721</v>
      </c>
      <c r="J441" s="4" t="s">
        <v>729</v>
      </c>
      <c r="K441" s="4" t="s">
        <v>1172</v>
      </c>
      <c r="L441">
        <v>352.65</v>
      </c>
      <c r="M441">
        <v>485.86</v>
      </c>
      <c r="N441">
        <v>4.1000000000000002E-2</v>
      </c>
      <c r="O441">
        <v>6</v>
      </c>
    </row>
    <row r="442" spans="1:15" x14ac:dyDescent="0.25">
      <c r="A442" t="s">
        <v>454</v>
      </c>
      <c r="B442" s="2">
        <v>45063</v>
      </c>
      <c r="C442" s="2">
        <v>45080</v>
      </c>
      <c r="D442" s="4" t="s">
        <v>647</v>
      </c>
      <c r="E442" s="4" t="s">
        <v>659</v>
      </c>
      <c r="F442" s="4" t="s">
        <v>699</v>
      </c>
      <c r="G442" s="4" t="s">
        <v>703</v>
      </c>
      <c r="H442" s="4" t="s">
        <v>710</v>
      </c>
      <c r="I442" s="4" t="s">
        <v>724</v>
      </c>
      <c r="J442" s="4" t="s">
        <v>728</v>
      </c>
      <c r="K442" s="4" t="s">
        <v>1173</v>
      </c>
      <c r="L442">
        <v>979.59</v>
      </c>
      <c r="M442">
        <v>2210.94</v>
      </c>
      <c r="N442">
        <v>0.15</v>
      </c>
      <c r="O442">
        <v>11</v>
      </c>
    </row>
    <row r="443" spans="1:15" x14ac:dyDescent="0.25">
      <c r="A443" t="s">
        <v>455</v>
      </c>
      <c r="B443" s="2">
        <v>45374</v>
      </c>
      <c r="C443" s="2">
        <v>45377</v>
      </c>
      <c r="D443" s="4" t="s">
        <v>647</v>
      </c>
      <c r="E443" s="4" t="s">
        <v>654</v>
      </c>
      <c r="F443" s="4" t="s">
        <v>668</v>
      </c>
      <c r="G443" s="4" t="s">
        <v>702</v>
      </c>
      <c r="H443" s="4" t="s">
        <v>711</v>
      </c>
      <c r="I443" s="4" t="s">
        <v>715</v>
      </c>
      <c r="J443" s="4" t="s">
        <v>730</v>
      </c>
      <c r="K443" s="4" t="s">
        <v>1174</v>
      </c>
      <c r="L443">
        <v>382.21</v>
      </c>
      <c r="M443">
        <v>571.89</v>
      </c>
      <c r="N443">
        <v>0.14799999999999999</v>
      </c>
      <c r="O443">
        <v>26</v>
      </c>
    </row>
    <row r="444" spans="1:15" x14ac:dyDescent="0.25">
      <c r="A444" t="s">
        <v>456</v>
      </c>
      <c r="B444" s="2">
        <v>45189</v>
      </c>
      <c r="C444" s="2">
        <v>45197</v>
      </c>
      <c r="D444" s="4" t="s">
        <v>647</v>
      </c>
      <c r="E444" s="4" t="s">
        <v>654</v>
      </c>
      <c r="G444" s="4" t="s">
        <v>701</v>
      </c>
      <c r="I444" s="4" t="s">
        <v>717</v>
      </c>
      <c r="J444" s="4" t="s">
        <v>733</v>
      </c>
      <c r="K444" s="4" t="s">
        <v>1175</v>
      </c>
      <c r="L444">
        <v>1362.06</v>
      </c>
      <c r="M444">
        <v>3398.37</v>
      </c>
      <c r="N444">
        <v>0.157</v>
      </c>
      <c r="O444">
        <v>11</v>
      </c>
    </row>
    <row r="445" spans="1:15" x14ac:dyDescent="0.25">
      <c r="A445" t="s">
        <v>457</v>
      </c>
      <c r="B445" s="2">
        <v>45526</v>
      </c>
      <c r="C445" s="2">
        <v>45539</v>
      </c>
      <c r="D445" s="4" t="s">
        <v>649</v>
      </c>
      <c r="E445" s="4" t="s">
        <v>656</v>
      </c>
      <c r="F445" s="4" t="s">
        <v>698</v>
      </c>
      <c r="G445" s="4" t="s">
        <v>703</v>
      </c>
      <c r="H445" s="4" t="s">
        <v>707</v>
      </c>
      <c r="I445" s="4" t="s">
        <v>716</v>
      </c>
      <c r="J445" s="4" t="s">
        <v>728</v>
      </c>
      <c r="K445" s="4" t="s">
        <v>1176</v>
      </c>
      <c r="L445">
        <v>90.04</v>
      </c>
      <c r="M445">
        <v>194.62</v>
      </c>
      <c r="N445">
        <v>4.2999999999999997E-2</v>
      </c>
      <c r="O445">
        <v>32</v>
      </c>
    </row>
    <row r="446" spans="1:15" x14ac:dyDescent="0.25">
      <c r="A446" t="s">
        <v>458</v>
      </c>
      <c r="B446" s="2">
        <v>45560</v>
      </c>
      <c r="C446" s="2">
        <v>45568</v>
      </c>
      <c r="D446" s="4" t="s">
        <v>648</v>
      </c>
      <c r="E446" s="4" t="s">
        <v>653</v>
      </c>
      <c r="F446" s="4" t="s">
        <v>667</v>
      </c>
      <c r="G446" s="4" t="s">
        <v>704</v>
      </c>
      <c r="H446" s="4" t="s">
        <v>708</v>
      </c>
      <c r="I446" s="4" t="s">
        <v>718</v>
      </c>
      <c r="J446" s="4" t="s">
        <v>728</v>
      </c>
      <c r="K446" s="4" t="s">
        <v>1177</v>
      </c>
      <c r="L446">
        <v>558.19000000000005</v>
      </c>
      <c r="M446">
        <v>1031.6400000000001</v>
      </c>
      <c r="N446">
        <v>0</v>
      </c>
      <c r="O446">
        <v>21</v>
      </c>
    </row>
    <row r="447" spans="1:15" x14ac:dyDescent="0.25">
      <c r="A447" t="s">
        <v>459</v>
      </c>
      <c r="B447" s="2">
        <v>45090</v>
      </c>
      <c r="C447" s="2">
        <v>45101</v>
      </c>
      <c r="D447" s="4" t="s">
        <v>648</v>
      </c>
      <c r="E447" s="4" t="s">
        <v>653</v>
      </c>
      <c r="F447" s="4" t="s">
        <v>667</v>
      </c>
      <c r="G447" s="4" t="s">
        <v>701</v>
      </c>
      <c r="H447" s="4" t="s">
        <v>708</v>
      </c>
      <c r="I447" s="4" t="s">
        <v>712</v>
      </c>
      <c r="J447" s="4" t="s">
        <v>728</v>
      </c>
      <c r="K447" s="4" t="s">
        <v>1178</v>
      </c>
      <c r="L447">
        <v>247.07</v>
      </c>
      <c r="M447">
        <v>495.19</v>
      </c>
      <c r="N447">
        <v>2.8000000000000001E-2</v>
      </c>
      <c r="O447">
        <v>4</v>
      </c>
    </row>
    <row r="448" spans="1:15" x14ac:dyDescent="0.25">
      <c r="A448" t="s">
        <v>460</v>
      </c>
      <c r="B448" s="2">
        <v>45284</v>
      </c>
      <c r="C448" s="2">
        <v>45304</v>
      </c>
      <c r="D448" s="4" t="s">
        <v>647</v>
      </c>
      <c r="E448" s="4" t="s">
        <v>652</v>
      </c>
      <c r="F448" s="4" t="s">
        <v>694</v>
      </c>
      <c r="G448" s="4" t="s">
        <v>702</v>
      </c>
      <c r="H448" s="4" t="s">
        <v>711</v>
      </c>
      <c r="I448" s="4" t="s">
        <v>717</v>
      </c>
      <c r="J448" s="4" t="s">
        <v>731</v>
      </c>
      <c r="K448" s="4" t="s">
        <v>1179</v>
      </c>
      <c r="L448">
        <v>625.37</v>
      </c>
      <c r="M448">
        <v>1319.04</v>
      </c>
      <c r="N448">
        <v>7.3999999999999996E-2</v>
      </c>
      <c r="O448">
        <v>8</v>
      </c>
    </row>
    <row r="449" spans="1:15" x14ac:dyDescent="0.25">
      <c r="A449" t="s">
        <v>461</v>
      </c>
      <c r="B449" s="2">
        <v>45746</v>
      </c>
      <c r="C449" s="2">
        <v>45776</v>
      </c>
      <c r="D449" s="4" t="s">
        <v>646</v>
      </c>
      <c r="E449" s="4" t="s">
        <v>661</v>
      </c>
      <c r="F449" s="4" t="s">
        <v>687</v>
      </c>
      <c r="G449" s="4" t="s">
        <v>704</v>
      </c>
      <c r="H449" s="4" t="s">
        <v>709</v>
      </c>
      <c r="I449" s="4" t="s">
        <v>713</v>
      </c>
      <c r="J449" s="4" t="s">
        <v>732</v>
      </c>
      <c r="K449" s="4" t="s">
        <v>1180</v>
      </c>
      <c r="L449">
        <v>194.6</v>
      </c>
      <c r="M449">
        <v>314.87</v>
      </c>
      <c r="N449">
        <v>0.29299999999999998</v>
      </c>
      <c r="O449">
        <v>25</v>
      </c>
    </row>
    <row r="450" spans="1:15" x14ac:dyDescent="0.25">
      <c r="A450" t="s">
        <v>462</v>
      </c>
      <c r="B450" s="2">
        <v>45446</v>
      </c>
      <c r="C450" s="2">
        <v>45467</v>
      </c>
      <c r="D450" s="4" t="s">
        <v>648</v>
      </c>
      <c r="E450" s="4" t="s">
        <v>653</v>
      </c>
      <c r="F450" s="4" t="s">
        <v>667</v>
      </c>
      <c r="G450" s="4" t="s">
        <v>705</v>
      </c>
      <c r="H450" s="4" t="s">
        <v>711</v>
      </c>
      <c r="I450" s="4" t="s">
        <v>715</v>
      </c>
      <c r="J450" s="4" t="s">
        <v>732</v>
      </c>
      <c r="K450" s="4" t="s">
        <v>1181</v>
      </c>
      <c r="L450">
        <v>1205.5</v>
      </c>
      <c r="M450">
        <v>2210.17</v>
      </c>
      <c r="N450">
        <v>0.104</v>
      </c>
      <c r="O450">
        <v>23</v>
      </c>
    </row>
    <row r="451" spans="1:15" x14ac:dyDescent="0.25">
      <c r="A451" t="s">
        <v>463</v>
      </c>
      <c r="B451" s="2">
        <v>45454</v>
      </c>
      <c r="C451" s="2">
        <v>45482</v>
      </c>
      <c r="D451" s="4" t="s">
        <v>646</v>
      </c>
      <c r="E451" s="4" t="s">
        <v>651</v>
      </c>
      <c r="F451" s="4" t="s">
        <v>663</v>
      </c>
      <c r="G451" s="4" t="s">
        <v>701</v>
      </c>
      <c r="H451" s="4" t="s">
        <v>709</v>
      </c>
      <c r="I451" s="4" t="s">
        <v>714</v>
      </c>
      <c r="J451" s="4" t="s">
        <v>730</v>
      </c>
      <c r="K451" s="4" t="s">
        <v>1182</v>
      </c>
      <c r="L451">
        <v>895.54</v>
      </c>
      <c r="M451">
        <v>1045</v>
      </c>
      <c r="N451">
        <v>0.216</v>
      </c>
      <c r="O451">
        <v>15</v>
      </c>
    </row>
    <row r="452" spans="1:15" x14ac:dyDescent="0.25">
      <c r="A452" t="s">
        <v>464</v>
      </c>
      <c r="B452" s="2">
        <v>45129</v>
      </c>
      <c r="C452" s="2">
        <v>45128</v>
      </c>
      <c r="D452" s="4" t="s">
        <v>647</v>
      </c>
      <c r="E452" s="4" t="s">
        <v>654</v>
      </c>
      <c r="F452" s="4" t="s">
        <v>680</v>
      </c>
      <c r="G452" s="4" t="s">
        <v>705</v>
      </c>
      <c r="H452" s="4" t="s">
        <v>710</v>
      </c>
      <c r="I452" s="4" t="s">
        <v>718</v>
      </c>
      <c r="J452" s="4" t="s">
        <v>728</v>
      </c>
      <c r="K452" s="4" t="s">
        <v>1183</v>
      </c>
      <c r="L452">
        <v>946.99</v>
      </c>
      <c r="M452">
        <v>2132.19</v>
      </c>
      <c r="N452">
        <v>0.16500000000000001</v>
      </c>
      <c r="O452">
        <v>7</v>
      </c>
    </row>
    <row r="453" spans="1:15" x14ac:dyDescent="0.25">
      <c r="A453" t="s">
        <v>465</v>
      </c>
      <c r="B453" s="2">
        <v>44945</v>
      </c>
      <c r="C453" s="2">
        <v>44960</v>
      </c>
      <c r="D453" s="4" t="s">
        <v>649</v>
      </c>
      <c r="E453" s="4" t="s">
        <v>658</v>
      </c>
      <c r="F453" s="4" t="s">
        <v>683</v>
      </c>
      <c r="G453" s="4" t="s">
        <v>706</v>
      </c>
      <c r="H453" s="4" t="s">
        <v>710</v>
      </c>
      <c r="I453" s="4" t="s">
        <v>715</v>
      </c>
      <c r="J453" s="4" t="s">
        <v>733</v>
      </c>
      <c r="K453" s="4" t="s">
        <v>1184</v>
      </c>
      <c r="L453">
        <v>873.06</v>
      </c>
      <c r="M453">
        <v>2101.5500000000002</v>
      </c>
      <c r="N453">
        <v>6.6000000000000003E-2</v>
      </c>
      <c r="O453">
        <v>10</v>
      </c>
    </row>
    <row r="454" spans="1:15" x14ac:dyDescent="0.25">
      <c r="A454" t="s">
        <v>466</v>
      </c>
      <c r="B454" s="2">
        <v>45413</v>
      </c>
      <c r="C454" s="2">
        <v>45428</v>
      </c>
      <c r="D454" s="4" t="s">
        <v>647</v>
      </c>
      <c r="E454" s="4" t="s">
        <v>654</v>
      </c>
      <c r="F454" s="4" t="s">
        <v>668</v>
      </c>
      <c r="G454" s="4" t="s">
        <v>705</v>
      </c>
      <c r="H454" s="4" t="s">
        <v>707</v>
      </c>
      <c r="I454" s="4" t="s">
        <v>716</v>
      </c>
      <c r="J454" s="4" t="s">
        <v>727</v>
      </c>
      <c r="K454" s="4" t="s">
        <v>1185</v>
      </c>
      <c r="L454">
        <v>901.19</v>
      </c>
      <c r="M454">
        <v>2125.44</v>
      </c>
      <c r="N454">
        <v>7.0999999999999994E-2</v>
      </c>
      <c r="O454">
        <v>12</v>
      </c>
    </row>
    <row r="455" spans="1:15" x14ac:dyDescent="0.25">
      <c r="A455" t="s">
        <v>467</v>
      </c>
      <c r="B455" s="2">
        <v>45817</v>
      </c>
      <c r="C455" s="2">
        <v>45832</v>
      </c>
      <c r="D455" s="4" t="s">
        <v>647</v>
      </c>
      <c r="E455" s="4" t="s">
        <v>652</v>
      </c>
      <c r="F455" s="4" t="s">
        <v>694</v>
      </c>
      <c r="G455" s="4" t="s">
        <v>701</v>
      </c>
      <c r="H455" s="4" t="s">
        <v>711</v>
      </c>
      <c r="I455" s="4" t="s">
        <v>717</v>
      </c>
      <c r="J455" s="4" t="s">
        <v>730</v>
      </c>
      <c r="K455" s="4" t="s">
        <v>1186</v>
      </c>
      <c r="L455">
        <v>400.39</v>
      </c>
      <c r="M455">
        <v>712.75</v>
      </c>
      <c r="N455">
        <v>0.115</v>
      </c>
      <c r="O455">
        <v>19</v>
      </c>
    </row>
    <row r="456" spans="1:15" x14ac:dyDescent="0.25">
      <c r="A456" t="s">
        <v>468</v>
      </c>
      <c r="B456" s="2">
        <v>45070</v>
      </c>
      <c r="C456" s="2">
        <v>45098</v>
      </c>
      <c r="D456" s="4" t="s">
        <v>648</v>
      </c>
      <c r="E456" s="4" t="s">
        <v>660</v>
      </c>
      <c r="F456" s="4" t="s">
        <v>697</v>
      </c>
      <c r="G456" s="4" t="s">
        <v>705</v>
      </c>
      <c r="H456" s="4" t="s">
        <v>709</v>
      </c>
      <c r="I456" s="4" t="s">
        <v>715</v>
      </c>
      <c r="J456" s="4" t="s">
        <v>732</v>
      </c>
      <c r="K456" s="4" t="s">
        <v>1187</v>
      </c>
      <c r="L456">
        <v>813.97</v>
      </c>
      <c r="M456">
        <v>1568.83</v>
      </c>
      <c r="N456">
        <v>1.7000000000000001E-2</v>
      </c>
      <c r="O456">
        <v>15</v>
      </c>
    </row>
    <row r="457" spans="1:15" x14ac:dyDescent="0.25">
      <c r="A457" t="s">
        <v>469</v>
      </c>
      <c r="B457" s="2">
        <v>45653</v>
      </c>
      <c r="C457" s="2">
        <v>45655</v>
      </c>
      <c r="D457" s="4" t="s">
        <v>648</v>
      </c>
      <c r="E457" s="4" t="s">
        <v>653</v>
      </c>
      <c r="F457" s="4" t="s">
        <v>688</v>
      </c>
      <c r="G457" s="4" t="s">
        <v>706</v>
      </c>
      <c r="H457" s="4" t="s">
        <v>709</v>
      </c>
      <c r="I457" s="4" t="s">
        <v>712</v>
      </c>
      <c r="J457" s="4" t="s">
        <v>733</v>
      </c>
      <c r="K457" s="4" t="s">
        <v>1188</v>
      </c>
      <c r="L457">
        <v>1146.72</v>
      </c>
      <c r="M457">
        <v>2074.34</v>
      </c>
      <c r="N457">
        <v>0.111</v>
      </c>
      <c r="O457">
        <v>8</v>
      </c>
    </row>
    <row r="458" spans="1:15" x14ac:dyDescent="0.25">
      <c r="A458" t="s">
        <v>470</v>
      </c>
      <c r="B458" s="2">
        <v>45265</v>
      </c>
      <c r="C458" s="2">
        <v>45272</v>
      </c>
      <c r="D458" s="4" t="s">
        <v>648</v>
      </c>
      <c r="E458" s="4" t="s">
        <v>655</v>
      </c>
      <c r="F458" s="4" t="s">
        <v>672</v>
      </c>
      <c r="G458" s="4" t="s">
        <v>701</v>
      </c>
      <c r="H458" s="4" t="s">
        <v>711</v>
      </c>
      <c r="I458" s="4" t="s">
        <v>721</v>
      </c>
      <c r="J458" s="4" t="s">
        <v>730</v>
      </c>
      <c r="K458" s="4" t="s">
        <v>1189</v>
      </c>
      <c r="L458">
        <v>307.43</v>
      </c>
      <c r="M458">
        <v>495.19</v>
      </c>
      <c r="N458">
        <v>0</v>
      </c>
      <c r="O458">
        <v>42</v>
      </c>
    </row>
    <row r="459" spans="1:15" x14ac:dyDescent="0.25">
      <c r="A459" t="s">
        <v>471</v>
      </c>
      <c r="B459" s="2">
        <v>45048</v>
      </c>
      <c r="C459" s="2">
        <v>45065</v>
      </c>
      <c r="D459" s="4" t="s">
        <v>647</v>
      </c>
      <c r="E459" s="4" t="s">
        <v>659</v>
      </c>
      <c r="F459" s="4" t="s">
        <v>685</v>
      </c>
      <c r="G459" s="4" t="s">
        <v>703</v>
      </c>
      <c r="H459" s="4" t="s">
        <v>711</v>
      </c>
      <c r="I459" s="4" t="s">
        <v>713</v>
      </c>
      <c r="J459" s="4" t="s">
        <v>732</v>
      </c>
      <c r="K459" s="4" t="s">
        <v>1190</v>
      </c>
      <c r="L459">
        <v>714.28</v>
      </c>
      <c r="M459">
        <v>757.59</v>
      </c>
      <c r="N459">
        <v>0.13600000000000001</v>
      </c>
      <c r="O459">
        <v>12</v>
      </c>
    </row>
    <row r="460" spans="1:15" x14ac:dyDescent="0.25">
      <c r="A460" t="s">
        <v>472</v>
      </c>
      <c r="B460" s="2">
        <v>45260</v>
      </c>
      <c r="C460" s="2">
        <v>45270</v>
      </c>
      <c r="D460" s="4" t="s">
        <v>649</v>
      </c>
      <c r="E460" s="4" t="s">
        <v>656</v>
      </c>
      <c r="F460" s="4" t="s">
        <v>684</v>
      </c>
      <c r="G460" s="4" t="s">
        <v>705</v>
      </c>
      <c r="H460" s="4" t="s">
        <v>711</v>
      </c>
      <c r="I460" s="4" t="s">
        <v>721</v>
      </c>
      <c r="J460" s="4" t="s">
        <v>731</v>
      </c>
      <c r="K460" s="4" t="s">
        <v>1191</v>
      </c>
      <c r="L460">
        <v>174.74</v>
      </c>
      <c r="M460">
        <v>415.96</v>
      </c>
      <c r="N460">
        <v>0.125</v>
      </c>
      <c r="O460">
        <v>21</v>
      </c>
    </row>
    <row r="461" spans="1:15" x14ac:dyDescent="0.25">
      <c r="A461" t="s">
        <v>473</v>
      </c>
      <c r="B461" s="2">
        <v>45417</v>
      </c>
      <c r="C461" s="2">
        <v>45430</v>
      </c>
      <c r="D461" s="4" t="s">
        <v>649</v>
      </c>
      <c r="E461" s="4" t="s">
        <v>657</v>
      </c>
      <c r="F461" s="4" t="s">
        <v>673</v>
      </c>
      <c r="G461" s="4" t="s">
        <v>701</v>
      </c>
      <c r="H461" s="4" t="s">
        <v>709</v>
      </c>
      <c r="I461" s="4" t="s">
        <v>720</v>
      </c>
      <c r="J461" s="4" t="s">
        <v>727</v>
      </c>
      <c r="K461" s="4" t="s">
        <v>1192</v>
      </c>
      <c r="L461">
        <v>1264.04</v>
      </c>
      <c r="M461">
        <v>1870.89</v>
      </c>
      <c r="N461">
        <v>0</v>
      </c>
      <c r="O461">
        <v>13</v>
      </c>
    </row>
    <row r="462" spans="1:15" x14ac:dyDescent="0.25">
      <c r="A462" t="s">
        <v>474</v>
      </c>
      <c r="B462" s="2">
        <v>45116</v>
      </c>
      <c r="C462" s="2">
        <v>45126</v>
      </c>
      <c r="D462" s="4" t="s">
        <v>647</v>
      </c>
      <c r="E462" s="4" t="s">
        <v>652</v>
      </c>
      <c r="F462" s="4" t="s">
        <v>689</v>
      </c>
      <c r="G462" s="4" t="s">
        <v>706</v>
      </c>
      <c r="H462" s="4" t="s">
        <v>710</v>
      </c>
      <c r="I462" s="4" t="s">
        <v>725</v>
      </c>
      <c r="J462" s="4" t="s">
        <v>727</v>
      </c>
      <c r="K462" s="4" t="s">
        <v>1193</v>
      </c>
      <c r="L462">
        <v>141.26</v>
      </c>
      <c r="M462">
        <v>206.88</v>
      </c>
      <c r="N462">
        <v>0.107</v>
      </c>
      <c r="O462">
        <v>9</v>
      </c>
    </row>
    <row r="463" spans="1:15" x14ac:dyDescent="0.25">
      <c r="A463" t="s">
        <v>475</v>
      </c>
      <c r="B463" s="2">
        <v>45063</v>
      </c>
      <c r="C463" s="2">
        <v>45092</v>
      </c>
      <c r="D463" s="4" t="s">
        <v>646</v>
      </c>
      <c r="E463" s="4" t="s">
        <v>661</v>
      </c>
      <c r="F463" s="4" t="s">
        <v>687</v>
      </c>
      <c r="G463" s="4" t="s">
        <v>706</v>
      </c>
      <c r="H463" s="4" t="s">
        <v>707</v>
      </c>
      <c r="I463" s="4" t="s">
        <v>723</v>
      </c>
      <c r="J463" s="4" t="s">
        <v>733</v>
      </c>
      <c r="K463" s="4" t="s">
        <v>1194</v>
      </c>
      <c r="L463">
        <v>40.89</v>
      </c>
      <c r="M463">
        <v>62.82</v>
      </c>
      <c r="N463">
        <v>0.129</v>
      </c>
      <c r="O463">
        <v>17</v>
      </c>
    </row>
    <row r="464" spans="1:15" x14ac:dyDescent="0.25">
      <c r="A464" t="s">
        <v>476</v>
      </c>
      <c r="B464" s="2">
        <v>45358</v>
      </c>
      <c r="C464" s="2">
        <v>45385</v>
      </c>
      <c r="D464" s="4" t="s">
        <v>649</v>
      </c>
      <c r="E464" s="4" t="s">
        <v>656</v>
      </c>
      <c r="F464" s="4" t="s">
        <v>698</v>
      </c>
      <c r="G464" s="4" t="s">
        <v>701</v>
      </c>
      <c r="H464" s="4" t="s">
        <v>711</v>
      </c>
      <c r="I464" s="4" t="s">
        <v>724</v>
      </c>
      <c r="J464" s="4" t="s">
        <v>728</v>
      </c>
      <c r="K464" s="4" t="s">
        <v>1195</v>
      </c>
      <c r="L464">
        <v>738.16</v>
      </c>
      <c r="M464">
        <v>956.49</v>
      </c>
      <c r="N464">
        <v>0.152</v>
      </c>
      <c r="O464">
        <v>5</v>
      </c>
    </row>
    <row r="465" spans="1:15" x14ac:dyDescent="0.25">
      <c r="A465" t="s">
        <v>477</v>
      </c>
      <c r="B465" s="2">
        <v>45757</v>
      </c>
      <c r="C465" s="2">
        <v>45766</v>
      </c>
      <c r="D465" s="4" t="s">
        <v>646</v>
      </c>
      <c r="E465" s="4" t="s">
        <v>661</v>
      </c>
      <c r="F465" s="4" t="s">
        <v>687</v>
      </c>
      <c r="G465" s="4" t="s">
        <v>706</v>
      </c>
      <c r="I465" s="4" t="s">
        <v>715</v>
      </c>
      <c r="J465" s="4" t="s">
        <v>729</v>
      </c>
      <c r="K465" s="4" t="s">
        <v>1196</v>
      </c>
      <c r="L465">
        <v>113.74</v>
      </c>
      <c r="M465">
        <v>165.7</v>
      </c>
      <c r="N465">
        <v>0.124</v>
      </c>
      <c r="O465">
        <v>13</v>
      </c>
    </row>
    <row r="466" spans="1:15" x14ac:dyDescent="0.25">
      <c r="A466" t="s">
        <v>478</v>
      </c>
      <c r="B466" s="2">
        <v>45865</v>
      </c>
      <c r="C466" s="2">
        <v>45884</v>
      </c>
      <c r="D466" s="4" t="s">
        <v>647</v>
      </c>
      <c r="E466" s="4" t="s">
        <v>652</v>
      </c>
      <c r="F466" s="4" t="s">
        <v>689</v>
      </c>
      <c r="G466" s="4" t="s">
        <v>705</v>
      </c>
      <c r="H466" s="4" t="s">
        <v>709</v>
      </c>
      <c r="I466" s="4" t="s">
        <v>713</v>
      </c>
      <c r="J466" s="4" t="s">
        <v>727</v>
      </c>
      <c r="K466" s="4" t="s">
        <v>1197</v>
      </c>
      <c r="L466">
        <v>275.43</v>
      </c>
      <c r="M466">
        <v>608.36</v>
      </c>
      <c r="N466">
        <v>0.25700000000000001</v>
      </c>
      <c r="O466">
        <v>4</v>
      </c>
    </row>
    <row r="467" spans="1:15" x14ac:dyDescent="0.25">
      <c r="A467" t="s">
        <v>479</v>
      </c>
      <c r="B467" s="2">
        <v>45618</v>
      </c>
      <c r="C467" s="2">
        <v>45641</v>
      </c>
      <c r="D467" s="4" t="s">
        <v>646</v>
      </c>
      <c r="E467" s="4" t="s">
        <v>650</v>
      </c>
      <c r="F467" s="4" t="s">
        <v>675</v>
      </c>
      <c r="G467" s="4" t="s">
        <v>703</v>
      </c>
      <c r="H467" s="4" t="s">
        <v>710</v>
      </c>
      <c r="I467" s="4" t="s">
        <v>712</v>
      </c>
      <c r="J467" s="4" t="s">
        <v>727</v>
      </c>
      <c r="K467" s="4" t="s">
        <v>1198</v>
      </c>
      <c r="L467">
        <v>1335.76</v>
      </c>
      <c r="M467">
        <v>2665.91</v>
      </c>
      <c r="N467">
        <v>0.21099999999999999</v>
      </c>
      <c r="O467">
        <v>40</v>
      </c>
    </row>
    <row r="468" spans="1:15" x14ac:dyDescent="0.25">
      <c r="A468" t="s">
        <v>480</v>
      </c>
      <c r="B468" s="2">
        <v>45466</v>
      </c>
      <c r="C468" s="2">
        <v>45471</v>
      </c>
      <c r="D468" s="4" t="s">
        <v>646</v>
      </c>
      <c r="E468" s="4" t="s">
        <v>651</v>
      </c>
      <c r="F468" s="4" t="s">
        <v>663</v>
      </c>
      <c r="G468" s="4" t="s">
        <v>703</v>
      </c>
      <c r="H468" s="4" t="s">
        <v>711</v>
      </c>
      <c r="I468" s="4" t="s">
        <v>724</v>
      </c>
      <c r="J468" s="4" t="s">
        <v>733</v>
      </c>
      <c r="K468" s="4" t="s">
        <v>1199</v>
      </c>
      <c r="L468">
        <v>242.31</v>
      </c>
      <c r="M468">
        <v>587.95000000000005</v>
      </c>
      <c r="N468">
        <v>0.22900000000000001</v>
      </c>
      <c r="O468">
        <v>6</v>
      </c>
    </row>
    <row r="469" spans="1:15" x14ac:dyDescent="0.25">
      <c r="A469" t="s">
        <v>481</v>
      </c>
      <c r="B469" s="2">
        <v>45278</v>
      </c>
      <c r="C469" s="2">
        <v>45305</v>
      </c>
      <c r="D469" s="4" t="s">
        <v>647</v>
      </c>
      <c r="E469" s="4" t="s">
        <v>654</v>
      </c>
      <c r="F469" s="4" t="s">
        <v>691</v>
      </c>
      <c r="G469" s="4" t="s">
        <v>704</v>
      </c>
      <c r="H469" s="4" t="s">
        <v>710</v>
      </c>
      <c r="I469" s="4" t="s">
        <v>726</v>
      </c>
      <c r="J469" s="4" t="s">
        <v>729</v>
      </c>
      <c r="K469" s="4" t="s">
        <v>1200</v>
      </c>
      <c r="L469">
        <v>1408.3</v>
      </c>
      <c r="M469">
        <v>2193.13</v>
      </c>
      <c r="N469">
        <v>7.0999999999999994E-2</v>
      </c>
      <c r="O469">
        <v>7</v>
      </c>
    </row>
    <row r="470" spans="1:15" x14ac:dyDescent="0.25">
      <c r="A470" t="s">
        <v>482</v>
      </c>
      <c r="B470" s="2">
        <v>45809</v>
      </c>
      <c r="C470" s="2">
        <v>45813</v>
      </c>
      <c r="D470" s="4" t="s">
        <v>649</v>
      </c>
      <c r="E470" s="4" t="s">
        <v>656</v>
      </c>
      <c r="F470" s="4" t="s">
        <v>684</v>
      </c>
      <c r="G470" s="4" t="s">
        <v>706</v>
      </c>
      <c r="H470" s="4" t="s">
        <v>711</v>
      </c>
      <c r="I470" s="4" t="s">
        <v>724</v>
      </c>
      <c r="J470" s="4" t="s">
        <v>727</v>
      </c>
      <c r="K470" s="4" t="s">
        <v>1201</v>
      </c>
      <c r="L470">
        <v>1171.42</v>
      </c>
      <c r="M470">
        <v>2187.8000000000002</v>
      </c>
      <c r="N470">
        <v>0.23</v>
      </c>
      <c r="O470">
        <v>15</v>
      </c>
    </row>
    <row r="471" spans="1:15" x14ac:dyDescent="0.25">
      <c r="A471" t="s">
        <v>483</v>
      </c>
      <c r="B471" s="2">
        <v>45739</v>
      </c>
      <c r="C471" s="2">
        <v>45749</v>
      </c>
      <c r="D471" s="4" t="s">
        <v>649</v>
      </c>
      <c r="E471" s="4" t="s">
        <v>656</v>
      </c>
      <c r="F471" s="4" t="s">
        <v>671</v>
      </c>
      <c r="G471" s="4" t="s">
        <v>706</v>
      </c>
      <c r="H471" s="4" t="s">
        <v>708</v>
      </c>
      <c r="I471" s="4" t="s">
        <v>718</v>
      </c>
      <c r="J471" s="4" t="s">
        <v>728</v>
      </c>
      <c r="K471" s="4" t="s">
        <v>1202</v>
      </c>
      <c r="L471">
        <v>663.61</v>
      </c>
      <c r="M471">
        <v>1002.11</v>
      </c>
      <c r="N471">
        <v>4.5999999999999999E-2</v>
      </c>
      <c r="O471">
        <v>17</v>
      </c>
    </row>
    <row r="472" spans="1:15" x14ac:dyDescent="0.25">
      <c r="A472" t="s">
        <v>484</v>
      </c>
      <c r="B472" s="2">
        <v>45060</v>
      </c>
      <c r="C472" s="2">
        <v>45068</v>
      </c>
      <c r="D472" s="4" t="s">
        <v>646</v>
      </c>
      <c r="E472" s="4" t="s">
        <v>650</v>
      </c>
      <c r="F472" s="4" t="s">
        <v>675</v>
      </c>
      <c r="G472" s="4" t="s">
        <v>705</v>
      </c>
      <c r="H472" s="4" t="s">
        <v>710</v>
      </c>
      <c r="I472" s="4" t="s">
        <v>721</v>
      </c>
      <c r="J472" s="4" t="s">
        <v>728</v>
      </c>
      <c r="K472" s="4" t="s">
        <v>1203</v>
      </c>
      <c r="L472">
        <v>432.01</v>
      </c>
      <c r="M472">
        <v>913.78</v>
      </c>
      <c r="N472">
        <v>4.9000000000000002E-2</v>
      </c>
      <c r="O472">
        <v>12</v>
      </c>
    </row>
    <row r="473" spans="1:15" x14ac:dyDescent="0.25">
      <c r="A473" t="s">
        <v>485</v>
      </c>
      <c r="B473" s="2">
        <v>45167</v>
      </c>
      <c r="C473" s="2">
        <v>45188</v>
      </c>
      <c r="D473" s="4" t="s">
        <v>649</v>
      </c>
      <c r="E473" s="4" t="s">
        <v>657</v>
      </c>
      <c r="F473" s="4" t="s">
        <v>679</v>
      </c>
      <c r="G473" s="4" t="s">
        <v>705</v>
      </c>
      <c r="H473" s="4" t="s">
        <v>711</v>
      </c>
      <c r="I473" s="4" t="s">
        <v>717</v>
      </c>
      <c r="J473" s="4" t="s">
        <v>728</v>
      </c>
      <c r="K473" s="4" t="s">
        <v>1204</v>
      </c>
      <c r="L473">
        <v>784.46</v>
      </c>
      <c r="M473">
        <v>1843.51</v>
      </c>
      <c r="N473">
        <v>0.13800000000000001</v>
      </c>
      <c r="O473">
        <v>23</v>
      </c>
    </row>
    <row r="474" spans="1:15" x14ac:dyDescent="0.25">
      <c r="A474" t="s">
        <v>486</v>
      </c>
      <c r="B474" s="2">
        <v>45841</v>
      </c>
      <c r="C474" s="2">
        <v>45861</v>
      </c>
      <c r="D474" s="4" t="s">
        <v>647</v>
      </c>
      <c r="E474" s="4" t="s">
        <v>659</v>
      </c>
      <c r="F474" s="4" t="s">
        <v>699</v>
      </c>
      <c r="G474" s="4" t="s">
        <v>705</v>
      </c>
      <c r="H474" s="4" t="s">
        <v>708</v>
      </c>
      <c r="I474" s="4" t="s">
        <v>724</v>
      </c>
      <c r="J474" s="4" t="s">
        <v>727</v>
      </c>
      <c r="K474" s="4" t="s">
        <v>1205</v>
      </c>
      <c r="L474">
        <v>647.36</v>
      </c>
      <c r="M474">
        <v>1383.6</v>
      </c>
      <c r="N474">
        <v>7.3999999999999996E-2</v>
      </c>
      <c r="O474">
        <v>12</v>
      </c>
    </row>
    <row r="475" spans="1:15" x14ac:dyDescent="0.25">
      <c r="A475" t="s">
        <v>487</v>
      </c>
      <c r="B475" s="2">
        <v>45328</v>
      </c>
      <c r="C475" s="2">
        <v>45350</v>
      </c>
      <c r="D475" s="4" t="s">
        <v>646</v>
      </c>
      <c r="E475" s="4" t="s">
        <v>650</v>
      </c>
      <c r="F475" s="4" t="s">
        <v>662</v>
      </c>
      <c r="G475" s="4" t="s">
        <v>703</v>
      </c>
      <c r="H475" s="4" t="s">
        <v>708</v>
      </c>
      <c r="I475" s="4" t="s">
        <v>723</v>
      </c>
      <c r="J475" s="4" t="s">
        <v>732</v>
      </c>
      <c r="K475" s="4" t="s">
        <v>1206</v>
      </c>
      <c r="L475">
        <v>834.93</v>
      </c>
      <c r="M475">
        <v>1588.53</v>
      </c>
      <c r="N475">
        <v>0.126</v>
      </c>
      <c r="O475">
        <v>6</v>
      </c>
    </row>
    <row r="476" spans="1:15" x14ac:dyDescent="0.25">
      <c r="A476" t="s">
        <v>488</v>
      </c>
      <c r="B476" s="2">
        <v>45882</v>
      </c>
      <c r="C476" s="2">
        <v>45903</v>
      </c>
      <c r="D476" s="4" t="s">
        <v>649</v>
      </c>
      <c r="E476" s="4" t="s">
        <v>657</v>
      </c>
      <c r="F476" s="4" t="s">
        <v>690</v>
      </c>
      <c r="G476" s="4" t="s">
        <v>702</v>
      </c>
      <c r="H476" s="4" t="s">
        <v>707</v>
      </c>
      <c r="I476" s="4" t="s">
        <v>714</v>
      </c>
      <c r="J476" s="4" t="s">
        <v>730</v>
      </c>
      <c r="K476" s="4" t="s">
        <v>1207</v>
      </c>
      <c r="L476">
        <v>603.47</v>
      </c>
      <c r="M476">
        <v>1344.05</v>
      </c>
      <c r="N476">
        <v>0.20499999999999999</v>
      </c>
      <c r="O476">
        <v>18</v>
      </c>
    </row>
    <row r="477" spans="1:15" x14ac:dyDescent="0.25">
      <c r="A477" t="s">
        <v>489</v>
      </c>
      <c r="B477" s="2">
        <v>45069</v>
      </c>
      <c r="C477" s="2">
        <v>45071</v>
      </c>
      <c r="D477" s="4" t="s">
        <v>648</v>
      </c>
      <c r="E477" s="4" t="s">
        <v>655</v>
      </c>
      <c r="F477" s="4" t="s">
        <v>692</v>
      </c>
      <c r="G477" s="4" t="s">
        <v>706</v>
      </c>
      <c r="H477" s="4" t="s">
        <v>707</v>
      </c>
      <c r="I477" s="4" t="s">
        <v>724</v>
      </c>
      <c r="J477" s="4" t="s">
        <v>728</v>
      </c>
      <c r="K477" s="4" t="s">
        <v>1208</v>
      </c>
      <c r="L477">
        <v>690.49</v>
      </c>
      <c r="M477">
        <v>1290.29</v>
      </c>
      <c r="N477">
        <v>4.2000000000000003E-2</v>
      </c>
      <c r="O477">
        <v>22</v>
      </c>
    </row>
    <row r="478" spans="1:15" x14ac:dyDescent="0.25">
      <c r="A478" t="s">
        <v>490</v>
      </c>
      <c r="B478" s="2">
        <v>45422</v>
      </c>
      <c r="C478" s="2">
        <v>45428</v>
      </c>
      <c r="D478" s="4" t="s">
        <v>649</v>
      </c>
      <c r="E478" s="4" t="s">
        <v>658</v>
      </c>
      <c r="F478" s="4" t="s">
        <v>674</v>
      </c>
      <c r="G478" s="4" t="s">
        <v>703</v>
      </c>
      <c r="H478" s="4" t="s">
        <v>711</v>
      </c>
      <c r="I478" s="4" t="s">
        <v>715</v>
      </c>
      <c r="J478" s="4" t="s">
        <v>731</v>
      </c>
      <c r="K478" s="4" t="s">
        <v>1209</v>
      </c>
      <c r="L478">
        <v>210.76</v>
      </c>
      <c r="M478">
        <v>221.58</v>
      </c>
      <c r="N478">
        <v>8.8999999999999996E-2</v>
      </c>
      <c r="O478">
        <v>5</v>
      </c>
    </row>
    <row r="479" spans="1:15" x14ac:dyDescent="0.25">
      <c r="A479" t="s">
        <v>491</v>
      </c>
      <c r="B479" s="2">
        <v>44999</v>
      </c>
      <c r="C479" s="2">
        <v>45003</v>
      </c>
      <c r="D479" s="4" t="s">
        <v>649</v>
      </c>
      <c r="E479" s="4" t="s">
        <v>656</v>
      </c>
      <c r="F479" s="4" t="s">
        <v>698</v>
      </c>
      <c r="G479" s="4" t="s">
        <v>706</v>
      </c>
      <c r="H479" s="4" t="s">
        <v>711</v>
      </c>
      <c r="I479" s="4" t="s">
        <v>720</v>
      </c>
      <c r="J479" s="4" t="s">
        <v>727</v>
      </c>
      <c r="K479" s="4" t="s">
        <v>1210</v>
      </c>
      <c r="L479">
        <v>472.33</v>
      </c>
      <c r="M479">
        <v>360.34</v>
      </c>
      <c r="N479">
        <v>0.16500000000000001</v>
      </c>
      <c r="O479">
        <v>14</v>
      </c>
    </row>
    <row r="480" spans="1:15" x14ac:dyDescent="0.25">
      <c r="A480" t="s">
        <v>492</v>
      </c>
      <c r="B480" s="2">
        <v>45123</v>
      </c>
      <c r="C480" s="2">
        <v>45151</v>
      </c>
      <c r="D480" s="4" t="s">
        <v>649</v>
      </c>
      <c r="E480" s="4" t="s">
        <v>658</v>
      </c>
      <c r="F480" s="4" t="s">
        <v>693</v>
      </c>
      <c r="G480" s="4" t="s">
        <v>703</v>
      </c>
      <c r="H480" s="4" t="s">
        <v>708</v>
      </c>
      <c r="I480" s="4" t="s">
        <v>713</v>
      </c>
      <c r="J480" s="4" t="s">
        <v>731</v>
      </c>
      <c r="K480" s="4" t="s">
        <v>1211</v>
      </c>
      <c r="L480">
        <v>1039.03</v>
      </c>
      <c r="M480">
        <v>2545.81</v>
      </c>
      <c r="N480">
        <v>0.216</v>
      </c>
      <c r="O480">
        <v>21</v>
      </c>
    </row>
    <row r="481" spans="1:15" x14ac:dyDescent="0.25">
      <c r="A481" t="s">
        <v>493</v>
      </c>
      <c r="B481" s="2">
        <v>45032</v>
      </c>
      <c r="C481" s="2">
        <v>45035</v>
      </c>
      <c r="D481" s="4" t="s">
        <v>649</v>
      </c>
      <c r="E481" s="4" t="s">
        <v>656</v>
      </c>
      <c r="F481" s="4" t="s">
        <v>684</v>
      </c>
      <c r="G481" s="4" t="s">
        <v>701</v>
      </c>
      <c r="H481" s="4" t="s">
        <v>711</v>
      </c>
      <c r="I481" s="4" t="s">
        <v>717</v>
      </c>
      <c r="J481" s="4" t="s">
        <v>733</v>
      </c>
      <c r="K481" s="4" t="s">
        <v>1212</v>
      </c>
      <c r="L481">
        <v>553.61</v>
      </c>
      <c r="M481">
        <v>699.47</v>
      </c>
      <c r="N481">
        <v>0.02</v>
      </c>
      <c r="O481">
        <v>33</v>
      </c>
    </row>
    <row r="482" spans="1:15" x14ac:dyDescent="0.25">
      <c r="A482" t="s">
        <v>494</v>
      </c>
      <c r="B482" s="2">
        <v>45293</v>
      </c>
      <c r="C482" s="2">
        <v>45306</v>
      </c>
      <c r="D482" s="4" t="s">
        <v>647</v>
      </c>
      <c r="E482" s="4" t="s">
        <v>652</v>
      </c>
      <c r="F482" s="4" t="s">
        <v>694</v>
      </c>
      <c r="G482" s="4" t="s">
        <v>705</v>
      </c>
      <c r="H482" s="4" t="s">
        <v>709</v>
      </c>
      <c r="I482" s="4" t="s">
        <v>715</v>
      </c>
      <c r="J482" s="4" t="s">
        <v>729</v>
      </c>
      <c r="K482" s="4" t="s">
        <v>1213</v>
      </c>
      <c r="L482">
        <v>1219.06</v>
      </c>
      <c r="M482">
        <v>2738.69</v>
      </c>
      <c r="N482">
        <v>7.5999999999999998E-2</v>
      </c>
      <c r="O482">
        <v>16</v>
      </c>
    </row>
    <row r="483" spans="1:15" x14ac:dyDescent="0.25">
      <c r="A483" t="s">
        <v>495</v>
      </c>
      <c r="B483" s="2">
        <v>45538</v>
      </c>
      <c r="C483" s="2">
        <v>45542</v>
      </c>
      <c r="D483" s="4" t="s">
        <v>647</v>
      </c>
      <c r="E483" s="4" t="s">
        <v>652</v>
      </c>
      <c r="F483" s="4" t="s">
        <v>689</v>
      </c>
      <c r="G483" s="4" t="s">
        <v>705</v>
      </c>
      <c r="H483" s="4" t="s">
        <v>710</v>
      </c>
      <c r="I483" s="4" t="s">
        <v>725</v>
      </c>
      <c r="J483" s="4" t="s">
        <v>728</v>
      </c>
      <c r="K483" s="4" t="s">
        <v>1214</v>
      </c>
      <c r="L483">
        <v>43.23</v>
      </c>
      <c r="M483">
        <v>94.78</v>
      </c>
      <c r="N483">
        <v>9.0999999999999998E-2</v>
      </c>
      <c r="O483">
        <v>55</v>
      </c>
    </row>
    <row r="484" spans="1:15" x14ac:dyDescent="0.25">
      <c r="A484" t="s">
        <v>496</v>
      </c>
      <c r="B484" s="2">
        <v>45899</v>
      </c>
      <c r="C484" s="2">
        <v>45903</v>
      </c>
      <c r="D484" s="4" t="s">
        <v>649</v>
      </c>
      <c r="E484" s="4" t="s">
        <v>657</v>
      </c>
      <c r="F484" s="4" t="s">
        <v>673</v>
      </c>
      <c r="G484" s="4" t="s">
        <v>705</v>
      </c>
      <c r="H484" s="4" t="s">
        <v>709</v>
      </c>
      <c r="I484" s="4" t="s">
        <v>713</v>
      </c>
      <c r="J484" s="4" t="s">
        <v>731</v>
      </c>
      <c r="K484" s="4" t="s">
        <v>1215</v>
      </c>
      <c r="L484">
        <v>1286.56</v>
      </c>
      <c r="M484">
        <v>2777.35</v>
      </c>
      <c r="N484">
        <v>0.13200000000000001</v>
      </c>
      <c r="O484">
        <v>15</v>
      </c>
    </row>
    <row r="485" spans="1:15" x14ac:dyDescent="0.25">
      <c r="A485" t="s">
        <v>497</v>
      </c>
      <c r="B485" s="2">
        <v>45775</v>
      </c>
      <c r="C485" s="2">
        <v>45796</v>
      </c>
      <c r="D485" s="4" t="s">
        <v>649</v>
      </c>
      <c r="E485" s="4" t="s">
        <v>656</v>
      </c>
      <c r="F485" s="4" t="s">
        <v>671</v>
      </c>
      <c r="G485" s="4" t="s">
        <v>701</v>
      </c>
      <c r="H485" s="4" t="s">
        <v>710</v>
      </c>
      <c r="I485" s="4" t="s">
        <v>717</v>
      </c>
      <c r="J485" s="4" t="s">
        <v>730</v>
      </c>
      <c r="K485" s="4" t="s">
        <v>1216</v>
      </c>
      <c r="L485">
        <v>350.76</v>
      </c>
      <c r="M485">
        <v>492.18</v>
      </c>
      <c r="N485">
        <v>5.2999999999999999E-2</v>
      </c>
      <c r="O485">
        <v>11</v>
      </c>
    </row>
    <row r="486" spans="1:15" x14ac:dyDescent="0.25">
      <c r="A486" t="s">
        <v>498</v>
      </c>
      <c r="B486" s="2">
        <v>45148</v>
      </c>
      <c r="C486" s="2">
        <v>45153</v>
      </c>
      <c r="D486" s="4" t="s">
        <v>648</v>
      </c>
      <c r="E486" s="4" t="s">
        <v>655</v>
      </c>
      <c r="F486" s="4" t="s">
        <v>670</v>
      </c>
      <c r="G486" s="4" t="s">
        <v>702</v>
      </c>
      <c r="H486" s="4" t="s">
        <v>711</v>
      </c>
      <c r="I486" s="4" t="s">
        <v>715</v>
      </c>
      <c r="J486" s="4" t="s">
        <v>729</v>
      </c>
      <c r="K486" s="4" t="s">
        <v>1217</v>
      </c>
      <c r="L486">
        <v>1307.52</v>
      </c>
      <c r="M486">
        <v>1921.65</v>
      </c>
      <c r="N486">
        <v>0.123</v>
      </c>
      <c r="O486">
        <v>13</v>
      </c>
    </row>
    <row r="487" spans="1:15" x14ac:dyDescent="0.25">
      <c r="A487" t="s">
        <v>499</v>
      </c>
      <c r="B487" s="2">
        <v>45634</v>
      </c>
      <c r="C487" s="2">
        <v>45634</v>
      </c>
      <c r="D487" s="4" t="s">
        <v>649</v>
      </c>
      <c r="E487" s="4" t="s">
        <v>657</v>
      </c>
      <c r="F487" s="4" t="s">
        <v>679</v>
      </c>
      <c r="G487" s="4" t="s">
        <v>706</v>
      </c>
      <c r="H487" s="4" t="s">
        <v>707</v>
      </c>
      <c r="I487" s="4" t="s">
        <v>722</v>
      </c>
      <c r="J487" s="4" t="s">
        <v>727</v>
      </c>
      <c r="K487" s="4" t="s">
        <v>1218</v>
      </c>
      <c r="L487">
        <v>257.44</v>
      </c>
      <c r="M487">
        <v>290.33</v>
      </c>
      <c r="N487">
        <v>9.1999999999999998E-2</v>
      </c>
      <c r="O487">
        <v>23</v>
      </c>
    </row>
    <row r="488" spans="1:15" x14ac:dyDescent="0.25">
      <c r="A488" t="s">
        <v>500</v>
      </c>
      <c r="B488" s="2">
        <v>45224</v>
      </c>
      <c r="C488" s="2">
        <v>45254</v>
      </c>
      <c r="D488" s="4" t="s">
        <v>649</v>
      </c>
      <c r="E488" s="4" t="s">
        <v>657</v>
      </c>
      <c r="F488" s="4" t="s">
        <v>690</v>
      </c>
      <c r="G488" s="4" t="s">
        <v>706</v>
      </c>
      <c r="H488" s="4" t="s">
        <v>710</v>
      </c>
      <c r="I488" s="4" t="s">
        <v>712</v>
      </c>
      <c r="J488" s="4" t="s">
        <v>730</v>
      </c>
      <c r="K488" s="4" t="s">
        <v>1219</v>
      </c>
      <c r="L488">
        <v>287.85000000000002</v>
      </c>
      <c r="M488">
        <v>602.91999999999996</v>
      </c>
      <c r="N488">
        <v>0.222</v>
      </c>
      <c r="O488">
        <v>11</v>
      </c>
    </row>
    <row r="489" spans="1:15" x14ac:dyDescent="0.25">
      <c r="A489" t="s">
        <v>501</v>
      </c>
      <c r="B489" s="2">
        <v>45613</v>
      </c>
      <c r="C489" s="2">
        <v>45624</v>
      </c>
      <c r="D489" s="4" t="s">
        <v>648</v>
      </c>
      <c r="E489" s="4" t="s">
        <v>653</v>
      </c>
      <c r="G489" s="4" t="s">
        <v>704</v>
      </c>
      <c r="H489" s="4" t="s">
        <v>710</v>
      </c>
      <c r="I489" s="4" t="s">
        <v>720</v>
      </c>
      <c r="J489" s="4" t="s">
        <v>728</v>
      </c>
      <c r="K489" s="4" t="s">
        <v>1220</v>
      </c>
      <c r="L489">
        <v>1008.16</v>
      </c>
      <c r="M489">
        <v>2077.5</v>
      </c>
      <c r="N489">
        <v>7.3999999999999996E-2</v>
      </c>
      <c r="O489">
        <v>15</v>
      </c>
    </row>
    <row r="490" spans="1:15" x14ac:dyDescent="0.25">
      <c r="A490" t="s">
        <v>502</v>
      </c>
      <c r="B490" s="2">
        <v>45424</v>
      </c>
      <c r="C490" s="2">
        <v>45436</v>
      </c>
      <c r="D490" s="4" t="s">
        <v>649</v>
      </c>
      <c r="E490" s="4" t="s">
        <v>658</v>
      </c>
      <c r="F490" s="4" t="s">
        <v>693</v>
      </c>
      <c r="G490" s="4" t="s">
        <v>702</v>
      </c>
      <c r="H490" s="4" t="s">
        <v>709</v>
      </c>
      <c r="I490" s="4" t="s">
        <v>723</v>
      </c>
      <c r="J490" s="4" t="s">
        <v>728</v>
      </c>
      <c r="K490" s="4" t="s">
        <v>1221</v>
      </c>
      <c r="L490">
        <v>111.02</v>
      </c>
      <c r="M490">
        <v>172.88</v>
      </c>
      <c r="N490">
        <v>0.19700000000000001</v>
      </c>
      <c r="O490">
        <v>29</v>
      </c>
    </row>
    <row r="491" spans="1:15" x14ac:dyDescent="0.25">
      <c r="A491" t="s">
        <v>503</v>
      </c>
      <c r="B491" s="2">
        <v>45792</v>
      </c>
      <c r="C491" s="2">
        <v>45813</v>
      </c>
      <c r="D491" s="4" t="s">
        <v>647</v>
      </c>
      <c r="E491" s="4" t="s">
        <v>652</v>
      </c>
      <c r="F491" s="4" t="s">
        <v>666</v>
      </c>
      <c r="G491" s="4" t="s">
        <v>706</v>
      </c>
      <c r="H491" s="4" t="s">
        <v>711</v>
      </c>
      <c r="I491" s="4" t="s">
        <v>722</v>
      </c>
      <c r="J491" s="4" t="s">
        <v>730</v>
      </c>
      <c r="K491" s="4" t="s">
        <v>1222</v>
      </c>
      <c r="L491">
        <v>1466.5</v>
      </c>
      <c r="M491">
        <v>2778.74</v>
      </c>
      <c r="N491">
        <v>0.13500000000000001</v>
      </c>
      <c r="O491">
        <v>4</v>
      </c>
    </row>
    <row r="492" spans="1:15" x14ac:dyDescent="0.25">
      <c r="A492" t="s">
        <v>504</v>
      </c>
      <c r="B492" s="2">
        <v>45403</v>
      </c>
      <c r="C492" s="2">
        <v>45431</v>
      </c>
      <c r="D492" s="4" t="s">
        <v>646</v>
      </c>
      <c r="E492" s="4" t="s">
        <v>651</v>
      </c>
      <c r="F492" s="4" t="s">
        <v>665</v>
      </c>
      <c r="G492" s="4" t="s">
        <v>701</v>
      </c>
      <c r="H492" s="4" t="s">
        <v>710</v>
      </c>
      <c r="I492" s="4" t="s">
        <v>720</v>
      </c>
      <c r="J492" s="4" t="s">
        <v>733</v>
      </c>
      <c r="K492" s="4" t="s">
        <v>1223</v>
      </c>
      <c r="L492">
        <v>187.22</v>
      </c>
      <c r="M492">
        <v>309.47000000000003</v>
      </c>
      <c r="N492">
        <v>0</v>
      </c>
      <c r="O492">
        <v>5</v>
      </c>
    </row>
    <row r="493" spans="1:15" x14ac:dyDescent="0.25">
      <c r="A493" t="s">
        <v>505</v>
      </c>
      <c r="B493" s="2">
        <v>45523</v>
      </c>
      <c r="C493" s="2">
        <v>45542</v>
      </c>
      <c r="D493" s="4" t="s">
        <v>649</v>
      </c>
      <c r="E493" s="4" t="s">
        <v>657</v>
      </c>
      <c r="F493" s="4" t="s">
        <v>679</v>
      </c>
      <c r="G493" s="4" t="s">
        <v>701</v>
      </c>
      <c r="H493" s="4" t="s">
        <v>711</v>
      </c>
      <c r="I493" s="4" t="s">
        <v>713</v>
      </c>
      <c r="J493" s="4" t="s">
        <v>727</v>
      </c>
      <c r="K493" s="4" t="s">
        <v>1224</v>
      </c>
      <c r="L493">
        <v>297.58999999999997</v>
      </c>
      <c r="M493">
        <v>666.41</v>
      </c>
      <c r="N493">
        <v>0</v>
      </c>
      <c r="O493">
        <v>10</v>
      </c>
    </row>
    <row r="494" spans="1:15" x14ac:dyDescent="0.25">
      <c r="A494" t="s">
        <v>506</v>
      </c>
      <c r="B494" s="2">
        <v>45861</v>
      </c>
      <c r="C494" s="2">
        <v>45888</v>
      </c>
      <c r="D494" s="4" t="s">
        <v>647</v>
      </c>
      <c r="E494" s="4" t="s">
        <v>652</v>
      </c>
      <c r="F494" s="4" t="s">
        <v>694</v>
      </c>
      <c r="G494" s="4" t="s">
        <v>704</v>
      </c>
      <c r="H494" s="4" t="s">
        <v>709</v>
      </c>
      <c r="I494" s="4" t="s">
        <v>717</v>
      </c>
      <c r="J494" s="4" t="s">
        <v>733</v>
      </c>
      <c r="K494" s="4" t="s">
        <v>1225</v>
      </c>
      <c r="L494">
        <v>896.09</v>
      </c>
      <c r="M494">
        <v>744.27</v>
      </c>
      <c r="N494">
        <v>8.3000000000000004E-2</v>
      </c>
      <c r="O494">
        <v>11</v>
      </c>
    </row>
    <row r="495" spans="1:15" x14ac:dyDescent="0.25">
      <c r="A495" t="s">
        <v>507</v>
      </c>
      <c r="B495" s="2">
        <v>45352</v>
      </c>
      <c r="C495" s="2">
        <v>45351</v>
      </c>
      <c r="D495" s="4" t="s">
        <v>648</v>
      </c>
      <c r="E495" s="4" t="s">
        <v>655</v>
      </c>
      <c r="F495" s="4" t="s">
        <v>670</v>
      </c>
      <c r="G495" s="4" t="s">
        <v>703</v>
      </c>
      <c r="H495" s="4" t="s">
        <v>711</v>
      </c>
      <c r="I495" s="4" t="s">
        <v>714</v>
      </c>
      <c r="J495" s="4" t="s">
        <v>730</v>
      </c>
      <c r="K495" s="4" t="s">
        <v>1226</v>
      </c>
      <c r="L495">
        <v>5.34</v>
      </c>
      <c r="M495">
        <v>12.69</v>
      </c>
      <c r="N495">
        <v>0.13200000000000001</v>
      </c>
      <c r="O495">
        <v>10</v>
      </c>
    </row>
    <row r="496" spans="1:15" x14ac:dyDescent="0.25">
      <c r="A496" t="s">
        <v>508</v>
      </c>
      <c r="B496" s="2">
        <v>45439</v>
      </c>
      <c r="C496" s="2">
        <v>45460</v>
      </c>
      <c r="D496" s="4" t="s">
        <v>647</v>
      </c>
      <c r="E496" s="4" t="s">
        <v>654</v>
      </c>
      <c r="F496" s="4" t="s">
        <v>680</v>
      </c>
      <c r="G496" s="4" t="s">
        <v>705</v>
      </c>
      <c r="H496" s="4" t="s">
        <v>708</v>
      </c>
      <c r="I496" s="4" t="s">
        <v>722</v>
      </c>
      <c r="J496" s="4" t="s">
        <v>733</v>
      </c>
      <c r="K496" s="4" t="s">
        <v>1227</v>
      </c>
      <c r="L496">
        <v>465.02</v>
      </c>
      <c r="M496">
        <v>651.55999999999995</v>
      </c>
      <c r="N496">
        <v>4.2000000000000003E-2</v>
      </c>
      <c r="O496">
        <v>19</v>
      </c>
    </row>
    <row r="497" spans="1:15" x14ac:dyDescent="0.25">
      <c r="A497" t="s">
        <v>509</v>
      </c>
      <c r="B497" s="2">
        <v>45508</v>
      </c>
      <c r="C497" s="2">
        <v>45521</v>
      </c>
      <c r="D497" s="4" t="s">
        <v>648</v>
      </c>
      <c r="E497" s="4" t="s">
        <v>660</v>
      </c>
      <c r="F497" s="4" t="s">
        <v>697</v>
      </c>
      <c r="G497" s="4" t="s">
        <v>704</v>
      </c>
      <c r="H497" s="4" t="s">
        <v>707</v>
      </c>
      <c r="I497" s="4" t="s">
        <v>726</v>
      </c>
      <c r="J497" s="4" t="s">
        <v>732</v>
      </c>
      <c r="K497" s="4" t="s">
        <v>1228</v>
      </c>
      <c r="L497">
        <v>352.79</v>
      </c>
      <c r="M497">
        <v>754.22</v>
      </c>
      <c r="N497">
        <v>0.113</v>
      </c>
      <c r="O497">
        <v>7</v>
      </c>
    </row>
    <row r="498" spans="1:15" x14ac:dyDescent="0.25">
      <c r="A498" t="s">
        <v>510</v>
      </c>
      <c r="B498" s="2">
        <v>45097</v>
      </c>
      <c r="C498" s="2">
        <v>45111</v>
      </c>
      <c r="D498" s="4" t="s">
        <v>648</v>
      </c>
      <c r="E498" s="4" t="s">
        <v>655</v>
      </c>
      <c r="F498" s="4" t="s">
        <v>672</v>
      </c>
      <c r="G498" s="4" t="s">
        <v>703</v>
      </c>
      <c r="H498" s="4" t="s">
        <v>711</v>
      </c>
      <c r="I498" s="4" t="s">
        <v>712</v>
      </c>
      <c r="J498" s="4" t="s">
        <v>729</v>
      </c>
      <c r="K498" s="4" t="s">
        <v>1229</v>
      </c>
      <c r="L498">
        <v>1292.8599999999999</v>
      </c>
      <c r="M498">
        <v>2981.01</v>
      </c>
      <c r="N498">
        <v>0.14199999999999999</v>
      </c>
      <c r="O498">
        <v>12</v>
      </c>
    </row>
    <row r="499" spans="1:15" x14ac:dyDescent="0.25">
      <c r="A499" t="s">
        <v>511</v>
      </c>
      <c r="B499" s="2">
        <v>45544</v>
      </c>
      <c r="C499" s="2">
        <v>45548</v>
      </c>
      <c r="D499" s="4" t="s">
        <v>649</v>
      </c>
      <c r="E499" s="4" t="s">
        <v>658</v>
      </c>
      <c r="F499" s="4" t="s">
        <v>683</v>
      </c>
      <c r="G499" s="4" t="s">
        <v>704</v>
      </c>
      <c r="H499" s="4" t="s">
        <v>709</v>
      </c>
      <c r="I499" s="4" t="s">
        <v>721</v>
      </c>
      <c r="J499" s="4" t="s">
        <v>729</v>
      </c>
      <c r="K499" s="4" t="s">
        <v>1230</v>
      </c>
      <c r="L499">
        <v>1133.08</v>
      </c>
      <c r="M499">
        <v>976.17</v>
      </c>
      <c r="N499">
        <v>4.2000000000000003E-2</v>
      </c>
      <c r="O499">
        <v>27</v>
      </c>
    </row>
    <row r="500" spans="1:15" x14ac:dyDescent="0.25">
      <c r="A500" t="s">
        <v>512</v>
      </c>
      <c r="B500" s="2">
        <v>45224</v>
      </c>
      <c r="C500" s="2">
        <v>45227</v>
      </c>
      <c r="D500" s="4" t="s">
        <v>648</v>
      </c>
      <c r="E500" s="4" t="s">
        <v>655</v>
      </c>
      <c r="F500" s="4" t="s">
        <v>672</v>
      </c>
      <c r="G500" s="4" t="s">
        <v>701</v>
      </c>
      <c r="H500" s="4" t="s">
        <v>710</v>
      </c>
      <c r="I500" s="4" t="s">
        <v>716</v>
      </c>
      <c r="J500" s="4" t="s">
        <v>733</v>
      </c>
      <c r="K500" s="4" t="s">
        <v>1231</v>
      </c>
      <c r="L500">
        <v>509.31</v>
      </c>
      <c r="M500">
        <v>1145.9000000000001</v>
      </c>
      <c r="N500">
        <v>5.7000000000000002E-2</v>
      </c>
      <c r="O500">
        <v>8</v>
      </c>
    </row>
    <row r="501" spans="1:15" x14ac:dyDescent="0.25">
      <c r="A501" t="s">
        <v>513</v>
      </c>
      <c r="B501" s="2">
        <v>45908</v>
      </c>
      <c r="C501" s="2">
        <v>45935</v>
      </c>
      <c r="D501" s="4" t="s">
        <v>648</v>
      </c>
      <c r="E501" s="4" t="s">
        <v>655</v>
      </c>
      <c r="F501" s="4" t="s">
        <v>692</v>
      </c>
      <c r="G501" s="4" t="s">
        <v>702</v>
      </c>
      <c r="H501" s="4" t="s">
        <v>708</v>
      </c>
      <c r="I501" s="4" t="s">
        <v>712</v>
      </c>
      <c r="J501" s="4" t="s">
        <v>732</v>
      </c>
      <c r="K501" s="4" t="s">
        <v>1232</v>
      </c>
      <c r="L501">
        <v>660.78</v>
      </c>
      <c r="M501">
        <v>1630.39</v>
      </c>
      <c r="N501">
        <v>0.218</v>
      </c>
      <c r="O501">
        <v>13</v>
      </c>
    </row>
    <row r="502" spans="1:15" x14ac:dyDescent="0.25">
      <c r="A502" t="s">
        <v>514</v>
      </c>
      <c r="B502" s="2">
        <v>45048</v>
      </c>
      <c r="C502" s="2">
        <v>45062</v>
      </c>
      <c r="D502" s="4" t="s">
        <v>647</v>
      </c>
      <c r="E502" s="4" t="s">
        <v>654</v>
      </c>
      <c r="F502" s="4" t="s">
        <v>668</v>
      </c>
      <c r="G502" s="4" t="s">
        <v>703</v>
      </c>
      <c r="H502" s="4" t="s">
        <v>707</v>
      </c>
      <c r="I502" s="4" t="s">
        <v>716</v>
      </c>
      <c r="J502" s="4" t="s">
        <v>732</v>
      </c>
      <c r="K502" s="4" t="s">
        <v>1233</v>
      </c>
      <c r="L502">
        <v>475.37</v>
      </c>
      <c r="M502">
        <v>963.73</v>
      </c>
      <c r="N502">
        <v>4.1000000000000002E-2</v>
      </c>
      <c r="O502">
        <v>22</v>
      </c>
    </row>
    <row r="503" spans="1:15" x14ac:dyDescent="0.25">
      <c r="A503" t="s">
        <v>515</v>
      </c>
      <c r="B503" s="2">
        <v>45408</v>
      </c>
      <c r="C503" s="2">
        <v>45406</v>
      </c>
      <c r="D503" s="4" t="s">
        <v>649</v>
      </c>
      <c r="E503" s="4" t="s">
        <v>658</v>
      </c>
      <c r="F503" s="4" t="s">
        <v>683</v>
      </c>
      <c r="G503" s="4" t="s">
        <v>703</v>
      </c>
      <c r="H503" s="4" t="s">
        <v>710</v>
      </c>
      <c r="I503" s="4" t="s">
        <v>725</v>
      </c>
      <c r="J503" s="4" t="s">
        <v>730</v>
      </c>
      <c r="K503" s="4" t="s">
        <v>1234</v>
      </c>
      <c r="L503">
        <v>1232.77</v>
      </c>
      <c r="M503">
        <v>891.73</v>
      </c>
      <c r="N503">
        <v>0.16700000000000001</v>
      </c>
      <c r="O503">
        <v>10</v>
      </c>
    </row>
    <row r="504" spans="1:15" x14ac:dyDescent="0.25">
      <c r="A504" t="s">
        <v>516</v>
      </c>
      <c r="B504" s="2">
        <v>44980</v>
      </c>
      <c r="C504" s="2">
        <v>45003</v>
      </c>
      <c r="D504" s="4" t="s">
        <v>647</v>
      </c>
      <c r="E504" s="4" t="s">
        <v>659</v>
      </c>
      <c r="F504" s="4" t="s">
        <v>699</v>
      </c>
      <c r="G504" s="4" t="s">
        <v>702</v>
      </c>
      <c r="H504" s="4" t="s">
        <v>710</v>
      </c>
      <c r="I504" s="4" t="s">
        <v>723</v>
      </c>
      <c r="J504" s="4" t="s">
        <v>728</v>
      </c>
      <c r="K504" s="4" t="s">
        <v>1235</v>
      </c>
      <c r="L504">
        <v>770.11</v>
      </c>
      <c r="M504">
        <v>1667.82</v>
      </c>
      <c r="N504">
        <v>6.9000000000000006E-2</v>
      </c>
      <c r="O504">
        <v>7</v>
      </c>
    </row>
    <row r="505" spans="1:15" x14ac:dyDescent="0.25">
      <c r="A505" t="s">
        <v>517</v>
      </c>
      <c r="B505" s="2">
        <v>45740</v>
      </c>
      <c r="C505" s="2">
        <v>45741</v>
      </c>
      <c r="D505" s="4" t="s">
        <v>647</v>
      </c>
      <c r="E505" s="4" t="s">
        <v>659</v>
      </c>
      <c r="F505" s="4" t="s">
        <v>699</v>
      </c>
      <c r="G505" s="4" t="s">
        <v>703</v>
      </c>
      <c r="H505" s="4" t="s">
        <v>708</v>
      </c>
      <c r="I505" s="4" t="s">
        <v>715</v>
      </c>
      <c r="J505" s="4" t="s">
        <v>729</v>
      </c>
      <c r="K505" s="4" t="s">
        <v>1236</v>
      </c>
      <c r="L505">
        <v>1133.03</v>
      </c>
      <c r="M505">
        <v>1921.51</v>
      </c>
      <c r="N505">
        <v>0.10100000000000001</v>
      </c>
      <c r="O505">
        <v>5</v>
      </c>
    </row>
    <row r="506" spans="1:15" x14ac:dyDescent="0.25">
      <c r="A506" t="s">
        <v>518</v>
      </c>
      <c r="B506" s="2">
        <v>45726</v>
      </c>
      <c r="C506" s="2">
        <v>45743</v>
      </c>
      <c r="D506" s="4" t="s">
        <v>648</v>
      </c>
      <c r="E506" s="4" t="s">
        <v>655</v>
      </c>
      <c r="F506" s="4" t="s">
        <v>692</v>
      </c>
      <c r="G506" s="4" t="s">
        <v>706</v>
      </c>
      <c r="H506" s="4" t="s">
        <v>711</v>
      </c>
      <c r="I506" s="4" t="s">
        <v>721</v>
      </c>
      <c r="J506" s="4" t="s">
        <v>729</v>
      </c>
      <c r="K506" s="4" t="s">
        <v>1237</v>
      </c>
      <c r="L506">
        <v>996.73</v>
      </c>
      <c r="M506">
        <v>1217.43</v>
      </c>
      <c r="N506">
        <v>7.0000000000000007E-2</v>
      </c>
      <c r="O506">
        <v>9</v>
      </c>
    </row>
    <row r="507" spans="1:15" x14ac:dyDescent="0.25">
      <c r="A507" t="s">
        <v>519</v>
      </c>
      <c r="B507" s="2">
        <v>45387</v>
      </c>
      <c r="C507" s="2">
        <v>45391</v>
      </c>
      <c r="D507" s="4" t="s">
        <v>646</v>
      </c>
      <c r="E507" s="4" t="s">
        <v>651</v>
      </c>
      <c r="F507" s="4" t="s">
        <v>665</v>
      </c>
      <c r="G507" s="4" t="s">
        <v>703</v>
      </c>
      <c r="H507" s="4" t="s">
        <v>711</v>
      </c>
      <c r="I507" s="4" t="s">
        <v>723</v>
      </c>
      <c r="J507" s="4" t="s">
        <v>727</v>
      </c>
      <c r="K507" s="4" t="s">
        <v>1238</v>
      </c>
      <c r="L507">
        <v>395.07</v>
      </c>
      <c r="M507">
        <v>970.27</v>
      </c>
      <c r="N507">
        <v>0.123</v>
      </c>
      <c r="O507">
        <v>38</v>
      </c>
    </row>
    <row r="508" spans="1:15" x14ac:dyDescent="0.25">
      <c r="A508" t="s">
        <v>520</v>
      </c>
      <c r="B508" s="2">
        <v>45774</v>
      </c>
      <c r="C508" s="2">
        <v>45794</v>
      </c>
      <c r="D508" s="4" t="s">
        <v>648</v>
      </c>
      <c r="E508" s="4" t="s">
        <v>660</v>
      </c>
      <c r="F508" s="4" t="s">
        <v>697</v>
      </c>
      <c r="G508" s="4" t="s">
        <v>701</v>
      </c>
      <c r="H508" s="4" t="s">
        <v>711</v>
      </c>
      <c r="I508" s="4" t="s">
        <v>725</v>
      </c>
      <c r="J508" s="4" t="s">
        <v>730</v>
      </c>
      <c r="K508" s="4" t="s">
        <v>1239</v>
      </c>
      <c r="L508">
        <v>932.26</v>
      </c>
      <c r="M508">
        <v>1624.67</v>
      </c>
      <c r="N508">
        <v>0.23499999999999999</v>
      </c>
      <c r="O508">
        <v>28</v>
      </c>
    </row>
    <row r="509" spans="1:15" x14ac:dyDescent="0.25">
      <c r="A509" t="s">
        <v>521</v>
      </c>
      <c r="B509" s="2">
        <v>45589</v>
      </c>
      <c r="C509" s="2">
        <v>45593</v>
      </c>
      <c r="D509" s="4" t="s">
        <v>647</v>
      </c>
      <c r="E509" s="4" t="s">
        <v>659</v>
      </c>
      <c r="F509" s="4" t="s">
        <v>685</v>
      </c>
      <c r="G509" s="4" t="s">
        <v>705</v>
      </c>
      <c r="H509" s="4" t="s">
        <v>710</v>
      </c>
      <c r="I509" s="4" t="s">
        <v>714</v>
      </c>
      <c r="J509" s="4" t="s">
        <v>729</v>
      </c>
      <c r="K509" s="4" t="s">
        <v>1240</v>
      </c>
      <c r="L509">
        <v>1331.77</v>
      </c>
      <c r="M509">
        <v>2606.11</v>
      </c>
      <c r="N509">
        <v>0.02</v>
      </c>
      <c r="O509">
        <v>6</v>
      </c>
    </row>
    <row r="510" spans="1:15" x14ac:dyDescent="0.25">
      <c r="A510" t="s">
        <v>522</v>
      </c>
      <c r="B510" s="2">
        <v>45029</v>
      </c>
      <c r="C510" s="2">
        <v>45036</v>
      </c>
      <c r="D510" s="4" t="s">
        <v>649</v>
      </c>
      <c r="E510" s="4" t="s">
        <v>657</v>
      </c>
      <c r="F510" s="4" t="s">
        <v>679</v>
      </c>
      <c r="G510" s="4" t="s">
        <v>705</v>
      </c>
      <c r="H510" s="4" t="s">
        <v>708</v>
      </c>
      <c r="I510" s="4" t="s">
        <v>720</v>
      </c>
      <c r="J510" s="4" t="s">
        <v>731</v>
      </c>
      <c r="K510" s="4" t="s">
        <v>1241</v>
      </c>
      <c r="L510">
        <v>227.02</v>
      </c>
      <c r="M510">
        <v>434.72</v>
      </c>
      <c r="N510">
        <v>9.8000000000000004E-2</v>
      </c>
      <c r="O510">
        <v>10</v>
      </c>
    </row>
    <row r="511" spans="1:15" x14ac:dyDescent="0.25">
      <c r="A511" t="s">
        <v>523</v>
      </c>
      <c r="B511" s="2">
        <v>45608</v>
      </c>
      <c r="C511" s="2">
        <v>45617</v>
      </c>
      <c r="D511" s="4" t="s">
        <v>647</v>
      </c>
      <c r="E511" s="4" t="s">
        <v>654</v>
      </c>
      <c r="F511" s="4" t="s">
        <v>691</v>
      </c>
      <c r="G511" s="4" t="s">
        <v>701</v>
      </c>
      <c r="H511" s="4" t="s">
        <v>711</v>
      </c>
      <c r="I511" s="4" t="s">
        <v>722</v>
      </c>
      <c r="J511" s="4" t="s">
        <v>731</v>
      </c>
      <c r="K511" s="4" t="s">
        <v>1242</v>
      </c>
      <c r="L511">
        <v>903.41</v>
      </c>
      <c r="M511">
        <v>1860.41</v>
      </c>
      <c r="N511">
        <v>0.108</v>
      </c>
      <c r="O511">
        <v>5</v>
      </c>
    </row>
    <row r="512" spans="1:15" x14ac:dyDescent="0.25">
      <c r="A512" t="s">
        <v>524</v>
      </c>
      <c r="B512" s="2">
        <v>45056</v>
      </c>
      <c r="C512" s="2">
        <v>45060</v>
      </c>
      <c r="D512" s="4" t="s">
        <v>647</v>
      </c>
      <c r="E512" s="4" t="s">
        <v>654</v>
      </c>
      <c r="F512" s="4" t="s">
        <v>680</v>
      </c>
      <c r="G512" s="4" t="s">
        <v>703</v>
      </c>
      <c r="H512" s="4" t="s">
        <v>710</v>
      </c>
      <c r="I512" s="4" t="s">
        <v>712</v>
      </c>
      <c r="J512" s="4" t="s">
        <v>732</v>
      </c>
      <c r="K512" s="4" t="s">
        <v>1243</v>
      </c>
      <c r="L512">
        <v>622.6</v>
      </c>
      <c r="M512">
        <v>833.69</v>
      </c>
      <c r="N512">
        <v>0.20899999999999999</v>
      </c>
      <c r="O512">
        <v>14</v>
      </c>
    </row>
    <row r="513" spans="1:15" x14ac:dyDescent="0.25">
      <c r="A513" t="s">
        <v>525</v>
      </c>
      <c r="B513" s="2">
        <v>45353</v>
      </c>
      <c r="C513" s="2">
        <v>45374</v>
      </c>
      <c r="D513" s="4" t="s">
        <v>648</v>
      </c>
      <c r="E513" s="4" t="s">
        <v>660</v>
      </c>
      <c r="F513" s="4" t="s">
        <v>677</v>
      </c>
      <c r="G513" s="4" t="s">
        <v>705</v>
      </c>
      <c r="H513" s="4" t="s">
        <v>708</v>
      </c>
      <c r="I513" s="4" t="s">
        <v>721</v>
      </c>
      <c r="J513" s="4" t="s">
        <v>727</v>
      </c>
      <c r="K513" s="4" t="s">
        <v>1244</v>
      </c>
      <c r="L513">
        <v>225.01</v>
      </c>
      <c r="M513">
        <v>333.48</v>
      </c>
      <c r="N513">
        <v>0.11899999999999999</v>
      </c>
      <c r="O513">
        <v>12</v>
      </c>
    </row>
    <row r="514" spans="1:15" x14ac:dyDescent="0.25">
      <c r="A514" t="s">
        <v>526</v>
      </c>
      <c r="B514" s="2">
        <v>45575</v>
      </c>
      <c r="C514" s="2">
        <v>45576</v>
      </c>
      <c r="D514" s="4" t="s">
        <v>649</v>
      </c>
      <c r="E514" s="4" t="s">
        <v>658</v>
      </c>
      <c r="F514" s="4" t="s">
        <v>693</v>
      </c>
      <c r="G514" s="4" t="s">
        <v>703</v>
      </c>
      <c r="H514" s="4" t="s">
        <v>710</v>
      </c>
      <c r="I514" s="4" t="s">
        <v>716</v>
      </c>
      <c r="J514" s="4" t="s">
        <v>727</v>
      </c>
      <c r="K514" s="4" t="s">
        <v>1245</v>
      </c>
      <c r="L514">
        <v>1389.46</v>
      </c>
      <c r="M514">
        <v>1784.7</v>
      </c>
      <c r="N514">
        <v>0.14599999999999999</v>
      </c>
      <c r="O514">
        <v>33</v>
      </c>
    </row>
    <row r="515" spans="1:15" x14ac:dyDescent="0.25">
      <c r="A515" t="s">
        <v>527</v>
      </c>
      <c r="B515" s="2">
        <v>45078</v>
      </c>
      <c r="C515" s="2">
        <v>45085</v>
      </c>
      <c r="D515" s="4" t="s">
        <v>649</v>
      </c>
      <c r="E515" s="4" t="s">
        <v>656</v>
      </c>
      <c r="F515" s="4" t="s">
        <v>698</v>
      </c>
      <c r="G515" s="4" t="s">
        <v>704</v>
      </c>
      <c r="H515" s="4" t="s">
        <v>708</v>
      </c>
      <c r="I515" s="4" t="s">
        <v>720</v>
      </c>
      <c r="J515" s="4" t="s">
        <v>730</v>
      </c>
      <c r="K515" s="4" t="s">
        <v>1246</v>
      </c>
      <c r="L515">
        <v>804.17</v>
      </c>
      <c r="M515">
        <v>1072.29</v>
      </c>
      <c r="N515">
        <v>3.2000000000000001E-2</v>
      </c>
      <c r="O515">
        <v>5</v>
      </c>
    </row>
    <row r="516" spans="1:15" x14ac:dyDescent="0.25">
      <c r="A516" t="s">
        <v>528</v>
      </c>
      <c r="B516" s="2">
        <v>45661</v>
      </c>
      <c r="C516" s="2">
        <v>45662</v>
      </c>
      <c r="D516" s="4" t="s">
        <v>647</v>
      </c>
      <c r="E516" s="4" t="s">
        <v>654</v>
      </c>
      <c r="F516" s="4" t="s">
        <v>680</v>
      </c>
      <c r="G516" s="4" t="s">
        <v>702</v>
      </c>
      <c r="H516" s="4" t="s">
        <v>707</v>
      </c>
      <c r="I516" s="4" t="s">
        <v>714</v>
      </c>
      <c r="J516" s="4" t="s">
        <v>727</v>
      </c>
      <c r="K516" s="4" t="s">
        <v>1247</v>
      </c>
      <c r="L516">
        <v>1428.33</v>
      </c>
      <c r="M516">
        <v>3028.05</v>
      </c>
      <c r="N516">
        <v>0</v>
      </c>
      <c r="O516">
        <v>11</v>
      </c>
    </row>
    <row r="517" spans="1:15" x14ac:dyDescent="0.25">
      <c r="A517" t="s">
        <v>529</v>
      </c>
      <c r="B517" s="2">
        <v>45874</v>
      </c>
      <c r="C517" s="2">
        <v>45897</v>
      </c>
      <c r="D517" s="4" t="s">
        <v>647</v>
      </c>
      <c r="E517" s="4" t="s">
        <v>654</v>
      </c>
      <c r="F517" s="4" t="s">
        <v>691</v>
      </c>
      <c r="G517" s="4" t="s">
        <v>703</v>
      </c>
      <c r="H517" s="4" t="s">
        <v>710</v>
      </c>
      <c r="I517" s="4" t="s">
        <v>725</v>
      </c>
      <c r="J517" s="4" t="s">
        <v>731</v>
      </c>
      <c r="K517" s="4" t="s">
        <v>1248</v>
      </c>
      <c r="L517">
        <v>638.54</v>
      </c>
      <c r="M517">
        <v>987.24</v>
      </c>
      <c r="N517">
        <v>0</v>
      </c>
      <c r="O517">
        <v>11</v>
      </c>
    </row>
    <row r="518" spans="1:15" x14ac:dyDescent="0.25">
      <c r="A518" t="s">
        <v>530</v>
      </c>
      <c r="B518" s="2">
        <v>45199</v>
      </c>
      <c r="C518" s="2">
        <v>45229</v>
      </c>
      <c r="D518" s="4" t="s">
        <v>647</v>
      </c>
      <c r="E518" s="4" t="s">
        <v>652</v>
      </c>
      <c r="F518" s="4" t="s">
        <v>689</v>
      </c>
      <c r="G518" s="4" t="s">
        <v>706</v>
      </c>
      <c r="H518" s="4" t="s">
        <v>708</v>
      </c>
      <c r="I518" s="4" t="s">
        <v>726</v>
      </c>
      <c r="J518" s="4" t="s">
        <v>728</v>
      </c>
      <c r="K518" s="4" t="s">
        <v>1249</v>
      </c>
      <c r="L518">
        <v>649.13</v>
      </c>
      <c r="M518">
        <v>975.43</v>
      </c>
      <c r="N518">
        <v>0.157</v>
      </c>
      <c r="O518">
        <v>27</v>
      </c>
    </row>
    <row r="519" spans="1:15" x14ac:dyDescent="0.25">
      <c r="A519" t="s">
        <v>531</v>
      </c>
      <c r="B519" s="2">
        <v>45794</v>
      </c>
      <c r="C519" s="2">
        <v>45807</v>
      </c>
      <c r="D519" s="4" t="s">
        <v>646</v>
      </c>
      <c r="E519" s="4" t="s">
        <v>651</v>
      </c>
      <c r="F519" s="4" t="s">
        <v>665</v>
      </c>
      <c r="G519" s="4" t="s">
        <v>704</v>
      </c>
      <c r="H519" s="4" t="s">
        <v>710</v>
      </c>
      <c r="I519" s="4" t="s">
        <v>721</v>
      </c>
      <c r="J519" s="4" t="s">
        <v>733</v>
      </c>
      <c r="K519" s="4" t="s">
        <v>1250</v>
      </c>
      <c r="L519">
        <v>66.400000000000006</v>
      </c>
      <c r="M519">
        <v>141.43</v>
      </c>
      <c r="N519">
        <v>0.107</v>
      </c>
      <c r="O519">
        <v>8</v>
      </c>
    </row>
    <row r="520" spans="1:15" x14ac:dyDescent="0.25">
      <c r="A520" t="s">
        <v>532</v>
      </c>
      <c r="B520" s="2">
        <v>45413</v>
      </c>
      <c r="C520" s="2">
        <v>45438</v>
      </c>
      <c r="D520" s="4" t="s">
        <v>649</v>
      </c>
      <c r="E520" s="4" t="s">
        <v>656</v>
      </c>
      <c r="F520" s="4" t="s">
        <v>671</v>
      </c>
      <c r="G520" s="4" t="s">
        <v>703</v>
      </c>
      <c r="H520" s="4" t="s">
        <v>707</v>
      </c>
      <c r="I520" s="4" t="s">
        <v>717</v>
      </c>
      <c r="J520" s="4" t="s">
        <v>729</v>
      </c>
      <c r="K520" s="4" t="s">
        <v>1251</v>
      </c>
      <c r="L520">
        <v>930.71</v>
      </c>
      <c r="M520">
        <v>1625.42</v>
      </c>
      <c r="N520">
        <v>0.13800000000000001</v>
      </c>
      <c r="O520">
        <v>7</v>
      </c>
    </row>
    <row r="521" spans="1:15" x14ac:dyDescent="0.25">
      <c r="A521" t="s">
        <v>533</v>
      </c>
      <c r="B521" s="2">
        <v>45047</v>
      </c>
      <c r="C521" s="2">
        <v>45064</v>
      </c>
      <c r="D521" s="4" t="s">
        <v>646</v>
      </c>
      <c r="E521" s="4" t="s">
        <v>651</v>
      </c>
      <c r="F521" s="4" t="s">
        <v>663</v>
      </c>
      <c r="G521" s="4" t="s">
        <v>701</v>
      </c>
      <c r="H521" s="4" t="s">
        <v>711</v>
      </c>
      <c r="I521" s="4" t="s">
        <v>721</v>
      </c>
      <c r="J521" s="4" t="s">
        <v>727</v>
      </c>
      <c r="K521" s="4" t="s">
        <v>1252</v>
      </c>
      <c r="L521">
        <v>327.97</v>
      </c>
      <c r="M521">
        <v>299.94</v>
      </c>
      <c r="N521">
        <v>4.9000000000000002E-2</v>
      </c>
      <c r="O521">
        <v>3</v>
      </c>
    </row>
    <row r="522" spans="1:15" x14ac:dyDescent="0.25">
      <c r="A522" t="s">
        <v>534</v>
      </c>
      <c r="B522" s="2">
        <v>45482</v>
      </c>
      <c r="C522" s="2">
        <v>45512</v>
      </c>
      <c r="D522" s="4" t="s">
        <v>649</v>
      </c>
      <c r="E522" s="4" t="s">
        <v>657</v>
      </c>
      <c r="F522" s="4" t="s">
        <v>673</v>
      </c>
      <c r="G522" s="4" t="s">
        <v>701</v>
      </c>
      <c r="H522" s="4" t="s">
        <v>711</v>
      </c>
      <c r="I522" s="4" t="s">
        <v>713</v>
      </c>
      <c r="J522" s="4" t="s">
        <v>727</v>
      </c>
      <c r="K522" s="4" t="s">
        <v>1253</v>
      </c>
      <c r="L522">
        <v>1062.3800000000001</v>
      </c>
      <c r="M522">
        <v>1503.96</v>
      </c>
      <c r="N522">
        <v>0.18</v>
      </c>
      <c r="O522">
        <v>6</v>
      </c>
    </row>
    <row r="523" spans="1:15" x14ac:dyDescent="0.25">
      <c r="A523" t="s">
        <v>535</v>
      </c>
      <c r="B523" s="2">
        <v>45056</v>
      </c>
      <c r="C523" s="2">
        <v>45073</v>
      </c>
      <c r="D523" s="4" t="s">
        <v>647</v>
      </c>
      <c r="E523" s="4" t="s">
        <v>654</v>
      </c>
      <c r="F523" s="4" t="s">
        <v>691</v>
      </c>
      <c r="G523" s="4" t="s">
        <v>704</v>
      </c>
      <c r="H523" s="4" t="s">
        <v>707</v>
      </c>
      <c r="I523" s="4" t="s">
        <v>724</v>
      </c>
      <c r="J523" s="4" t="s">
        <v>731</v>
      </c>
      <c r="K523" s="4" t="s">
        <v>1254</v>
      </c>
      <c r="L523">
        <v>1286.1600000000001</v>
      </c>
      <c r="M523">
        <v>3101.11</v>
      </c>
      <c r="N523">
        <v>0.1</v>
      </c>
      <c r="O523">
        <v>23</v>
      </c>
    </row>
    <row r="524" spans="1:15" x14ac:dyDescent="0.25">
      <c r="A524" t="s">
        <v>536</v>
      </c>
      <c r="B524" s="2">
        <v>45482</v>
      </c>
      <c r="C524" s="2">
        <v>45485</v>
      </c>
      <c r="D524" s="4" t="s">
        <v>647</v>
      </c>
      <c r="E524" s="4" t="s">
        <v>659</v>
      </c>
      <c r="F524" s="4" t="s">
        <v>685</v>
      </c>
      <c r="G524" s="4" t="s">
        <v>705</v>
      </c>
      <c r="H524" s="4" t="s">
        <v>707</v>
      </c>
      <c r="I524" s="4" t="s">
        <v>726</v>
      </c>
      <c r="J524" s="4" t="s">
        <v>733</v>
      </c>
      <c r="K524" s="4" t="s">
        <v>1255</v>
      </c>
      <c r="L524">
        <v>748.39</v>
      </c>
      <c r="M524">
        <v>979.42</v>
      </c>
      <c r="N524">
        <v>0</v>
      </c>
      <c r="O524">
        <v>23</v>
      </c>
    </row>
    <row r="525" spans="1:15" x14ac:dyDescent="0.25">
      <c r="A525" t="s">
        <v>537</v>
      </c>
      <c r="B525" s="2">
        <v>45406</v>
      </c>
      <c r="C525" s="2">
        <v>45422</v>
      </c>
      <c r="D525" s="4" t="s">
        <v>646</v>
      </c>
      <c r="E525" s="4" t="s">
        <v>650</v>
      </c>
      <c r="F525" s="4" t="s">
        <v>662</v>
      </c>
      <c r="G525" s="4" t="s">
        <v>703</v>
      </c>
      <c r="H525" s="4" t="s">
        <v>708</v>
      </c>
      <c r="I525" s="4" t="s">
        <v>725</v>
      </c>
      <c r="J525" s="4" t="s">
        <v>732</v>
      </c>
      <c r="K525" s="4" t="s">
        <v>1256</v>
      </c>
      <c r="L525">
        <v>513.30999999999995</v>
      </c>
      <c r="M525">
        <v>1186.26</v>
      </c>
      <c r="N525">
        <v>9.4E-2</v>
      </c>
      <c r="O525">
        <v>15</v>
      </c>
    </row>
    <row r="526" spans="1:15" x14ac:dyDescent="0.25">
      <c r="A526" t="s">
        <v>538</v>
      </c>
      <c r="B526" s="2">
        <v>45304</v>
      </c>
      <c r="C526" s="2">
        <v>45306</v>
      </c>
      <c r="D526" s="4" t="s">
        <v>648</v>
      </c>
      <c r="E526" s="4" t="s">
        <v>660</v>
      </c>
      <c r="F526" s="4" t="s">
        <v>686</v>
      </c>
      <c r="G526" s="4" t="s">
        <v>703</v>
      </c>
      <c r="H526" s="4" t="s">
        <v>711</v>
      </c>
      <c r="I526" s="4" t="s">
        <v>718</v>
      </c>
      <c r="J526" s="4" t="s">
        <v>727</v>
      </c>
      <c r="K526" s="4" t="s">
        <v>1257</v>
      </c>
      <c r="L526">
        <v>1061.3699999999999</v>
      </c>
      <c r="M526">
        <v>1938.33</v>
      </c>
      <c r="N526">
        <v>0.17</v>
      </c>
      <c r="O526">
        <v>4</v>
      </c>
    </row>
    <row r="527" spans="1:15" x14ac:dyDescent="0.25">
      <c r="A527" t="s">
        <v>539</v>
      </c>
      <c r="B527" s="2">
        <v>45398</v>
      </c>
      <c r="C527" s="2">
        <v>45409</v>
      </c>
      <c r="D527" s="4" t="s">
        <v>646</v>
      </c>
      <c r="E527" s="4" t="s">
        <v>650</v>
      </c>
      <c r="F527" s="4" t="s">
        <v>678</v>
      </c>
      <c r="G527" s="4" t="s">
        <v>706</v>
      </c>
      <c r="H527" s="4" t="s">
        <v>708</v>
      </c>
      <c r="I527" s="4" t="s">
        <v>726</v>
      </c>
      <c r="J527" s="4" t="s">
        <v>728</v>
      </c>
      <c r="K527" s="4" t="s">
        <v>1258</v>
      </c>
      <c r="L527">
        <v>401.3</v>
      </c>
      <c r="M527">
        <v>826.47</v>
      </c>
      <c r="N527">
        <v>0.22500000000000001</v>
      </c>
      <c r="O527">
        <v>13</v>
      </c>
    </row>
    <row r="528" spans="1:15" x14ac:dyDescent="0.25">
      <c r="A528" t="s">
        <v>540</v>
      </c>
      <c r="B528" s="2">
        <v>45695</v>
      </c>
      <c r="C528" s="2">
        <v>45704</v>
      </c>
      <c r="D528" s="4" t="s">
        <v>646</v>
      </c>
      <c r="E528" s="4" t="s">
        <v>651</v>
      </c>
      <c r="F528" s="4" t="s">
        <v>665</v>
      </c>
      <c r="G528" s="4" t="s">
        <v>705</v>
      </c>
      <c r="H528" s="4" t="s">
        <v>710</v>
      </c>
      <c r="I528" s="4" t="s">
        <v>712</v>
      </c>
      <c r="J528" s="4" t="s">
        <v>728</v>
      </c>
      <c r="K528" s="4" t="s">
        <v>1259</v>
      </c>
      <c r="L528">
        <v>90.68</v>
      </c>
      <c r="M528">
        <v>118.17</v>
      </c>
      <c r="N528">
        <v>0.13500000000000001</v>
      </c>
      <c r="O528">
        <v>21</v>
      </c>
    </row>
    <row r="529" spans="1:15" x14ac:dyDescent="0.25">
      <c r="A529" t="s">
        <v>541</v>
      </c>
      <c r="B529" s="2">
        <v>44938</v>
      </c>
      <c r="C529" s="2">
        <v>44952</v>
      </c>
      <c r="D529" s="4" t="s">
        <v>647</v>
      </c>
      <c r="E529" s="4" t="s">
        <v>659</v>
      </c>
      <c r="F529" s="4" t="s">
        <v>676</v>
      </c>
      <c r="G529" s="4" t="s">
        <v>703</v>
      </c>
      <c r="H529" s="4" t="s">
        <v>707</v>
      </c>
      <c r="I529" s="4" t="s">
        <v>724</v>
      </c>
      <c r="J529" s="4" t="s">
        <v>728</v>
      </c>
      <c r="K529" s="4" t="s">
        <v>1260</v>
      </c>
      <c r="L529">
        <v>1083.0899999999999</v>
      </c>
      <c r="M529">
        <v>1425.87</v>
      </c>
      <c r="N529">
        <v>0</v>
      </c>
      <c r="O529">
        <v>8</v>
      </c>
    </row>
    <row r="530" spans="1:15" x14ac:dyDescent="0.25">
      <c r="A530" t="s">
        <v>542</v>
      </c>
      <c r="B530" s="2">
        <v>45448</v>
      </c>
      <c r="C530" s="2">
        <v>45466</v>
      </c>
      <c r="D530" s="4" t="s">
        <v>646</v>
      </c>
      <c r="E530" s="4" t="s">
        <v>650</v>
      </c>
      <c r="F530" s="4" t="s">
        <v>664</v>
      </c>
      <c r="G530" s="4" t="s">
        <v>704</v>
      </c>
      <c r="H530" s="4" t="s">
        <v>710</v>
      </c>
      <c r="I530" s="4" t="s">
        <v>726</v>
      </c>
      <c r="J530" s="4" t="s">
        <v>731</v>
      </c>
      <c r="K530" s="4" t="s">
        <v>1261</v>
      </c>
      <c r="L530">
        <v>1208.74</v>
      </c>
      <c r="M530">
        <v>1594.78</v>
      </c>
      <c r="N530">
        <v>5.8999999999999997E-2</v>
      </c>
      <c r="O530">
        <v>39</v>
      </c>
    </row>
    <row r="531" spans="1:15" x14ac:dyDescent="0.25">
      <c r="A531" t="s">
        <v>543</v>
      </c>
      <c r="B531" s="2">
        <v>45162</v>
      </c>
      <c r="C531" s="2">
        <v>45189</v>
      </c>
      <c r="D531" s="4" t="s">
        <v>646</v>
      </c>
      <c r="E531" s="4" t="s">
        <v>661</v>
      </c>
      <c r="F531" s="4" t="s">
        <v>687</v>
      </c>
      <c r="G531" s="4" t="s">
        <v>705</v>
      </c>
      <c r="H531" s="4" t="s">
        <v>709</v>
      </c>
      <c r="I531" s="4" t="s">
        <v>724</v>
      </c>
      <c r="J531" s="4" t="s">
        <v>728</v>
      </c>
      <c r="K531" s="4" t="s">
        <v>1262</v>
      </c>
      <c r="L531">
        <v>1399.64</v>
      </c>
      <c r="M531">
        <v>3342.11</v>
      </c>
      <c r="N531">
        <v>0</v>
      </c>
      <c r="O531">
        <v>10</v>
      </c>
    </row>
    <row r="532" spans="1:15" x14ac:dyDescent="0.25">
      <c r="A532" t="s">
        <v>544</v>
      </c>
      <c r="B532" s="2">
        <v>45316</v>
      </c>
      <c r="C532" s="2">
        <v>45330</v>
      </c>
      <c r="D532" s="4" t="s">
        <v>647</v>
      </c>
      <c r="E532" s="4" t="s">
        <v>652</v>
      </c>
      <c r="F532" s="4" t="s">
        <v>666</v>
      </c>
      <c r="G532" s="4" t="s">
        <v>704</v>
      </c>
      <c r="H532" s="4" t="s">
        <v>709</v>
      </c>
      <c r="I532" s="4" t="s">
        <v>714</v>
      </c>
      <c r="J532" s="4" t="s">
        <v>729</v>
      </c>
      <c r="K532" s="4" t="s">
        <v>1263</v>
      </c>
      <c r="L532">
        <v>937.16</v>
      </c>
      <c r="M532">
        <v>1069.77</v>
      </c>
      <c r="N532">
        <v>3.7999999999999999E-2</v>
      </c>
      <c r="O532">
        <v>9</v>
      </c>
    </row>
    <row r="533" spans="1:15" x14ac:dyDescent="0.25">
      <c r="A533" t="s">
        <v>545</v>
      </c>
      <c r="B533" s="2">
        <v>45727</v>
      </c>
      <c r="C533" s="2">
        <v>45742</v>
      </c>
      <c r="D533" s="4" t="s">
        <v>649</v>
      </c>
      <c r="E533" s="4" t="s">
        <v>656</v>
      </c>
      <c r="F533" s="4" t="s">
        <v>671</v>
      </c>
      <c r="G533" s="4" t="s">
        <v>705</v>
      </c>
      <c r="H533" s="4" t="s">
        <v>708</v>
      </c>
      <c r="I533" s="4" t="s">
        <v>714</v>
      </c>
      <c r="J533" s="4" t="s">
        <v>730</v>
      </c>
      <c r="K533" s="4" t="s">
        <v>1264</v>
      </c>
      <c r="L533">
        <v>116.97</v>
      </c>
      <c r="M533">
        <v>140.82</v>
      </c>
      <c r="N533">
        <v>0.122</v>
      </c>
      <c r="O533">
        <v>5</v>
      </c>
    </row>
    <row r="534" spans="1:15" x14ac:dyDescent="0.25">
      <c r="A534" t="s">
        <v>546</v>
      </c>
      <c r="B534" s="2">
        <v>45769</v>
      </c>
      <c r="C534" s="2">
        <v>45789</v>
      </c>
      <c r="D534" s="4" t="s">
        <v>649</v>
      </c>
      <c r="E534" s="4" t="s">
        <v>657</v>
      </c>
      <c r="F534" s="4" t="s">
        <v>679</v>
      </c>
      <c r="G534" s="4" t="s">
        <v>706</v>
      </c>
      <c r="H534" s="4" t="s">
        <v>709</v>
      </c>
      <c r="I534" s="4" t="s">
        <v>723</v>
      </c>
      <c r="J534" s="4" t="s">
        <v>732</v>
      </c>
      <c r="K534" s="4" t="s">
        <v>1265</v>
      </c>
      <c r="L534">
        <v>59.51</v>
      </c>
      <c r="M534">
        <v>67.040000000000006</v>
      </c>
      <c r="N534">
        <v>0.114</v>
      </c>
      <c r="O534">
        <v>9</v>
      </c>
    </row>
    <row r="535" spans="1:15" x14ac:dyDescent="0.25">
      <c r="A535" t="s">
        <v>547</v>
      </c>
      <c r="B535" s="2">
        <v>45155</v>
      </c>
      <c r="C535" s="2">
        <v>45172</v>
      </c>
      <c r="D535" s="4" t="s">
        <v>646</v>
      </c>
      <c r="E535" s="4" t="s">
        <v>661</v>
      </c>
      <c r="F535" s="4" t="s">
        <v>687</v>
      </c>
      <c r="G535" s="4" t="s">
        <v>706</v>
      </c>
      <c r="H535" s="4" t="s">
        <v>707</v>
      </c>
      <c r="I535" s="4" t="s">
        <v>720</v>
      </c>
      <c r="J535" s="4" t="s">
        <v>730</v>
      </c>
      <c r="K535" s="4" t="s">
        <v>1266</v>
      </c>
      <c r="L535">
        <v>676.37</v>
      </c>
      <c r="M535">
        <v>1276.67</v>
      </c>
      <c r="N535">
        <v>6.6000000000000003E-2</v>
      </c>
      <c r="O535">
        <v>10</v>
      </c>
    </row>
    <row r="536" spans="1:15" x14ac:dyDescent="0.25">
      <c r="A536" t="s">
        <v>548</v>
      </c>
      <c r="B536" s="2">
        <v>45832</v>
      </c>
      <c r="C536" s="2">
        <v>45852</v>
      </c>
      <c r="D536" s="4" t="s">
        <v>646</v>
      </c>
      <c r="E536" s="4" t="s">
        <v>661</v>
      </c>
      <c r="F536" s="4" t="s">
        <v>682</v>
      </c>
      <c r="G536" s="4" t="s">
        <v>706</v>
      </c>
      <c r="H536" s="4" t="s">
        <v>709</v>
      </c>
      <c r="I536" s="4" t="s">
        <v>713</v>
      </c>
      <c r="J536" s="4" t="s">
        <v>731</v>
      </c>
      <c r="K536" s="4" t="s">
        <v>1267</v>
      </c>
      <c r="L536">
        <v>1151.06</v>
      </c>
      <c r="M536">
        <v>2821.36</v>
      </c>
      <c r="N536">
        <v>0.248</v>
      </c>
      <c r="O536">
        <v>20</v>
      </c>
    </row>
    <row r="537" spans="1:15" x14ac:dyDescent="0.25">
      <c r="A537" t="s">
        <v>549</v>
      </c>
      <c r="B537" s="2">
        <v>45667</v>
      </c>
      <c r="C537" s="2">
        <v>45694</v>
      </c>
      <c r="D537" s="4" t="s">
        <v>648</v>
      </c>
      <c r="E537" s="4" t="s">
        <v>655</v>
      </c>
      <c r="F537" s="4" t="s">
        <v>672</v>
      </c>
      <c r="G537" s="4" t="s">
        <v>703</v>
      </c>
      <c r="H537" s="4" t="s">
        <v>707</v>
      </c>
      <c r="I537" s="4" t="s">
        <v>717</v>
      </c>
      <c r="J537" s="4" t="s">
        <v>731</v>
      </c>
      <c r="K537" s="4" t="s">
        <v>1268</v>
      </c>
      <c r="L537">
        <v>725.62</v>
      </c>
      <c r="M537">
        <v>1559.19</v>
      </c>
      <c r="N537">
        <v>0.19</v>
      </c>
      <c r="O537">
        <v>12</v>
      </c>
    </row>
    <row r="538" spans="1:15" x14ac:dyDescent="0.25">
      <c r="A538" t="s">
        <v>550</v>
      </c>
      <c r="B538" s="2">
        <v>45108</v>
      </c>
      <c r="C538" s="2">
        <v>45118</v>
      </c>
      <c r="D538" s="4" t="s">
        <v>649</v>
      </c>
      <c r="E538" s="4" t="s">
        <v>657</v>
      </c>
      <c r="F538" s="4" t="s">
        <v>690</v>
      </c>
      <c r="G538" s="4" t="s">
        <v>701</v>
      </c>
      <c r="H538" s="4" t="s">
        <v>711</v>
      </c>
      <c r="I538" s="4" t="s">
        <v>721</v>
      </c>
      <c r="J538" s="4" t="s">
        <v>729</v>
      </c>
      <c r="K538" s="4" t="s">
        <v>1269</v>
      </c>
      <c r="L538">
        <v>479.5</v>
      </c>
      <c r="M538">
        <v>656.66</v>
      </c>
      <c r="N538">
        <v>0.14899999999999999</v>
      </c>
      <c r="O538">
        <v>14</v>
      </c>
    </row>
    <row r="539" spans="1:15" x14ac:dyDescent="0.25">
      <c r="A539" t="s">
        <v>551</v>
      </c>
      <c r="B539" s="2">
        <v>45520</v>
      </c>
      <c r="C539" s="2">
        <v>45530</v>
      </c>
      <c r="D539" s="4" t="s">
        <v>648</v>
      </c>
      <c r="E539" s="4" t="s">
        <v>660</v>
      </c>
      <c r="F539" s="4" t="s">
        <v>677</v>
      </c>
      <c r="G539" s="4" t="s">
        <v>701</v>
      </c>
      <c r="H539" s="4" t="s">
        <v>710</v>
      </c>
      <c r="I539" s="4" t="s">
        <v>716</v>
      </c>
      <c r="J539" s="4" t="s">
        <v>731</v>
      </c>
      <c r="K539" s="4" t="s">
        <v>1121</v>
      </c>
      <c r="L539">
        <v>1291.7</v>
      </c>
      <c r="M539">
        <v>2657.84</v>
      </c>
      <c r="N539">
        <v>8.6999999999999994E-2</v>
      </c>
      <c r="O539">
        <v>21</v>
      </c>
    </row>
    <row r="540" spans="1:15" x14ac:dyDescent="0.25">
      <c r="A540" t="s">
        <v>552</v>
      </c>
      <c r="B540" s="2">
        <v>45114</v>
      </c>
      <c r="C540" s="2">
        <v>45120</v>
      </c>
      <c r="D540" s="4" t="s">
        <v>646</v>
      </c>
      <c r="E540" s="4" t="s">
        <v>661</v>
      </c>
      <c r="F540" s="4" t="s">
        <v>695</v>
      </c>
      <c r="G540" s="4" t="s">
        <v>705</v>
      </c>
      <c r="H540" s="4" t="s">
        <v>709</v>
      </c>
      <c r="I540" s="4" t="s">
        <v>717</v>
      </c>
      <c r="J540" s="4" t="s">
        <v>733</v>
      </c>
      <c r="K540" s="4" t="s">
        <v>1270</v>
      </c>
      <c r="L540">
        <v>612.59</v>
      </c>
      <c r="M540">
        <v>1424.74</v>
      </c>
      <c r="N540">
        <v>4.3999999999999997E-2</v>
      </c>
      <c r="O540">
        <v>15</v>
      </c>
    </row>
    <row r="541" spans="1:15" x14ac:dyDescent="0.25">
      <c r="A541" t="s">
        <v>553</v>
      </c>
      <c r="B541" s="2">
        <v>45288</v>
      </c>
      <c r="C541" s="2">
        <v>45292</v>
      </c>
      <c r="D541" s="4" t="s">
        <v>646</v>
      </c>
      <c r="E541" s="4" t="s">
        <v>661</v>
      </c>
      <c r="F541" s="4" t="s">
        <v>695</v>
      </c>
      <c r="G541" s="4" t="s">
        <v>702</v>
      </c>
      <c r="H541" s="4" t="s">
        <v>710</v>
      </c>
      <c r="I541" s="4" t="s">
        <v>720</v>
      </c>
      <c r="J541" s="4" t="s">
        <v>728</v>
      </c>
      <c r="K541" s="4" t="s">
        <v>1271</v>
      </c>
      <c r="L541">
        <v>1141.8</v>
      </c>
      <c r="M541">
        <v>2318.7399999999998</v>
      </c>
      <c r="N541">
        <v>0.107</v>
      </c>
      <c r="O541">
        <v>32</v>
      </c>
    </row>
    <row r="542" spans="1:15" x14ac:dyDescent="0.25">
      <c r="A542" t="s">
        <v>554</v>
      </c>
      <c r="B542" s="2">
        <v>44952</v>
      </c>
      <c r="C542" s="2">
        <v>44972</v>
      </c>
      <c r="D542" s="4" t="s">
        <v>649</v>
      </c>
      <c r="E542" s="4" t="s">
        <v>656</v>
      </c>
      <c r="F542" s="4" t="s">
        <v>671</v>
      </c>
      <c r="G542" s="4" t="s">
        <v>705</v>
      </c>
      <c r="H542" s="4" t="s">
        <v>708</v>
      </c>
      <c r="I542" s="4" t="s">
        <v>719</v>
      </c>
      <c r="J542" s="4" t="s">
        <v>729</v>
      </c>
      <c r="K542" s="4" t="s">
        <v>1272</v>
      </c>
      <c r="L542">
        <v>492.62</v>
      </c>
      <c r="M542">
        <v>366.7</v>
      </c>
      <c r="N542">
        <v>8.8999999999999996E-2</v>
      </c>
      <c r="O542">
        <v>10</v>
      </c>
    </row>
    <row r="543" spans="1:15" x14ac:dyDescent="0.25">
      <c r="A543" t="s">
        <v>555</v>
      </c>
      <c r="B543" s="2">
        <v>45115</v>
      </c>
      <c r="C543" s="2">
        <v>45116</v>
      </c>
      <c r="D543" s="4" t="s">
        <v>646</v>
      </c>
      <c r="E543" s="4" t="s">
        <v>650</v>
      </c>
      <c r="F543" s="4" t="s">
        <v>664</v>
      </c>
      <c r="G543" s="4" t="s">
        <v>704</v>
      </c>
      <c r="H543" s="4" t="s">
        <v>708</v>
      </c>
      <c r="I543" s="4" t="s">
        <v>726</v>
      </c>
      <c r="J543" s="4" t="s">
        <v>731</v>
      </c>
      <c r="K543" s="4" t="s">
        <v>1273</v>
      </c>
      <c r="L543">
        <v>1258.72</v>
      </c>
      <c r="M543">
        <v>2797.41</v>
      </c>
      <c r="N543">
        <v>0</v>
      </c>
      <c r="O543">
        <v>7</v>
      </c>
    </row>
    <row r="544" spans="1:15" x14ac:dyDescent="0.25">
      <c r="A544" t="s">
        <v>556</v>
      </c>
      <c r="B544" s="2">
        <v>45450</v>
      </c>
      <c r="C544" s="2">
        <v>45452</v>
      </c>
      <c r="D544" s="4" t="s">
        <v>647</v>
      </c>
      <c r="E544" s="4" t="s">
        <v>659</v>
      </c>
      <c r="F544" s="4" t="s">
        <v>685</v>
      </c>
      <c r="G544" s="4" t="s">
        <v>701</v>
      </c>
      <c r="H544" s="4" t="s">
        <v>707</v>
      </c>
      <c r="I544" s="4" t="s">
        <v>719</v>
      </c>
      <c r="J544" s="4" t="s">
        <v>732</v>
      </c>
      <c r="K544" s="4" t="s">
        <v>1274</v>
      </c>
      <c r="L544">
        <v>1370.28</v>
      </c>
      <c r="M544">
        <v>2209.66</v>
      </c>
      <c r="N544">
        <v>0.13300000000000001</v>
      </c>
      <c r="O544">
        <v>16</v>
      </c>
    </row>
    <row r="545" spans="1:15" x14ac:dyDescent="0.25">
      <c r="A545" t="s">
        <v>557</v>
      </c>
      <c r="B545" s="2">
        <v>44968</v>
      </c>
      <c r="C545" s="2">
        <v>44969</v>
      </c>
      <c r="D545" s="4" t="s">
        <v>646</v>
      </c>
      <c r="E545" s="4" t="s">
        <v>651</v>
      </c>
      <c r="F545" s="4" t="s">
        <v>663</v>
      </c>
      <c r="G545" s="4" t="s">
        <v>703</v>
      </c>
      <c r="H545" s="4" t="s">
        <v>711</v>
      </c>
      <c r="I545" s="4" t="s">
        <v>726</v>
      </c>
      <c r="J545" s="4" t="s">
        <v>733</v>
      </c>
      <c r="K545" s="4" t="s">
        <v>1275</v>
      </c>
      <c r="L545">
        <v>944.61</v>
      </c>
      <c r="M545">
        <v>839.04</v>
      </c>
      <c r="N545">
        <v>5.8999999999999997E-2</v>
      </c>
      <c r="O545">
        <v>6</v>
      </c>
    </row>
    <row r="546" spans="1:15" x14ac:dyDescent="0.25">
      <c r="A546" t="s">
        <v>558</v>
      </c>
      <c r="B546" s="2">
        <v>45108</v>
      </c>
      <c r="C546" s="2">
        <v>45115</v>
      </c>
      <c r="D546" s="4" t="s">
        <v>649</v>
      </c>
      <c r="E546" s="4" t="s">
        <v>656</v>
      </c>
      <c r="F546" s="4" t="s">
        <v>698</v>
      </c>
      <c r="G546" s="4" t="s">
        <v>705</v>
      </c>
      <c r="H546" s="4" t="s">
        <v>710</v>
      </c>
      <c r="I546" s="4" t="s">
        <v>725</v>
      </c>
      <c r="J546" s="4" t="s">
        <v>731</v>
      </c>
      <c r="K546" s="4" t="s">
        <v>1276</v>
      </c>
      <c r="L546">
        <v>460.21</v>
      </c>
      <c r="M546">
        <v>1139.1500000000001</v>
      </c>
      <c r="N546">
        <v>0.115</v>
      </c>
      <c r="O546">
        <v>14</v>
      </c>
    </row>
    <row r="547" spans="1:15" x14ac:dyDescent="0.25">
      <c r="A547" t="s">
        <v>559</v>
      </c>
      <c r="B547" s="2">
        <v>45889</v>
      </c>
      <c r="C547" s="2">
        <v>45895</v>
      </c>
      <c r="D547" s="4" t="s">
        <v>648</v>
      </c>
      <c r="E547" s="4" t="s">
        <v>660</v>
      </c>
      <c r="F547" s="4" t="s">
        <v>700</v>
      </c>
      <c r="G547" s="4" t="s">
        <v>701</v>
      </c>
      <c r="H547" s="4" t="s">
        <v>707</v>
      </c>
      <c r="I547" s="4" t="s">
        <v>724</v>
      </c>
      <c r="J547" s="4" t="s">
        <v>729</v>
      </c>
      <c r="K547" s="4" t="s">
        <v>1277</v>
      </c>
      <c r="L547">
        <v>1304.95</v>
      </c>
      <c r="M547">
        <v>1712.03</v>
      </c>
      <c r="N547">
        <v>0.21199999999999999</v>
      </c>
      <c r="O547">
        <v>8</v>
      </c>
    </row>
    <row r="548" spans="1:15" x14ac:dyDescent="0.25">
      <c r="A548" t="s">
        <v>560</v>
      </c>
      <c r="B548" s="2">
        <v>45355</v>
      </c>
      <c r="C548" s="2">
        <v>45367</v>
      </c>
      <c r="D548" s="4" t="s">
        <v>646</v>
      </c>
      <c r="E548" s="4" t="s">
        <v>661</v>
      </c>
      <c r="F548" s="4" t="s">
        <v>682</v>
      </c>
      <c r="G548" s="4" t="s">
        <v>706</v>
      </c>
      <c r="H548" s="4" t="s">
        <v>710</v>
      </c>
      <c r="I548" s="4" t="s">
        <v>724</v>
      </c>
      <c r="J548" s="4" t="s">
        <v>732</v>
      </c>
      <c r="K548" s="4" t="s">
        <v>1278</v>
      </c>
      <c r="L548">
        <v>441.08</v>
      </c>
      <c r="M548">
        <v>1054.29</v>
      </c>
      <c r="N548">
        <v>0.23699999999999999</v>
      </c>
      <c r="O548">
        <v>6</v>
      </c>
    </row>
    <row r="549" spans="1:15" x14ac:dyDescent="0.25">
      <c r="A549" t="s">
        <v>561</v>
      </c>
      <c r="B549" s="2">
        <v>45177</v>
      </c>
      <c r="C549" s="2">
        <v>45201</v>
      </c>
      <c r="D549" s="4" t="s">
        <v>648</v>
      </c>
      <c r="E549" s="4" t="s">
        <v>653</v>
      </c>
      <c r="F549" s="4" t="s">
        <v>667</v>
      </c>
      <c r="G549" s="4" t="s">
        <v>702</v>
      </c>
      <c r="H549" s="4" t="s">
        <v>711</v>
      </c>
      <c r="I549" s="4" t="s">
        <v>720</v>
      </c>
      <c r="J549" s="4" t="s">
        <v>733</v>
      </c>
      <c r="K549" s="4" t="s">
        <v>1279</v>
      </c>
      <c r="L549">
        <v>1299.03</v>
      </c>
      <c r="M549">
        <v>2451.2199999999998</v>
      </c>
      <c r="N549">
        <v>0.20799999999999999</v>
      </c>
      <c r="O549">
        <v>8</v>
      </c>
    </row>
    <row r="550" spans="1:15" x14ac:dyDescent="0.25">
      <c r="A550" t="s">
        <v>562</v>
      </c>
      <c r="B550" s="2">
        <v>44985</v>
      </c>
      <c r="C550" s="2">
        <v>44991</v>
      </c>
      <c r="D550" s="4" t="s">
        <v>649</v>
      </c>
      <c r="E550" s="4" t="s">
        <v>656</v>
      </c>
      <c r="F550" s="4" t="s">
        <v>698</v>
      </c>
      <c r="G550" s="4" t="s">
        <v>705</v>
      </c>
      <c r="H550" s="4" t="s">
        <v>709</v>
      </c>
      <c r="I550" s="4" t="s">
        <v>726</v>
      </c>
      <c r="J550" s="4" t="s">
        <v>728</v>
      </c>
      <c r="K550" s="4" t="s">
        <v>1280</v>
      </c>
      <c r="L550">
        <v>880.02</v>
      </c>
      <c r="M550">
        <v>1251.21</v>
      </c>
      <c r="N550">
        <v>0.123</v>
      </c>
      <c r="O550">
        <v>29</v>
      </c>
    </row>
    <row r="551" spans="1:15" x14ac:dyDescent="0.25">
      <c r="A551" t="s">
        <v>563</v>
      </c>
      <c r="B551" s="2">
        <v>45486</v>
      </c>
      <c r="C551" s="2">
        <v>45507</v>
      </c>
      <c r="D551" s="4" t="s">
        <v>648</v>
      </c>
      <c r="E551" s="4" t="s">
        <v>655</v>
      </c>
      <c r="F551" s="4" t="s">
        <v>692</v>
      </c>
      <c r="G551" s="4" t="s">
        <v>701</v>
      </c>
      <c r="H551" s="4" t="s">
        <v>709</v>
      </c>
      <c r="I551" s="4" t="s">
        <v>724</v>
      </c>
      <c r="J551" s="4" t="s">
        <v>732</v>
      </c>
      <c r="K551" s="4" t="s">
        <v>1281</v>
      </c>
      <c r="L551">
        <v>702.98</v>
      </c>
      <c r="M551">
        <v>1104.8</v>
      </c>
      <c r="N551">
        <v>0.17499999999999999</v>
      </c>
      <c r="O551">
        <v>12</v>
      </c>
    </row>
    <row r="552" spans="1:15" x14ac:dyDescent="0.25">
      <c r="A552" t="s">
        <v>564</v>
      </c>
      <c r="B552" s="2">
        <v>45633</v>
      </c>
      <c r="C552" s="2">
        <v>45652</v>
      </c>
      <c r="D552" s="4" t="s">
        <v>649</v>
      </c>
      <c r="E552" s="4" t="s">
        <v>658</v>
      </c>
      <c r="F552" s="4" t="s">
        <v>683</v>
      </c>
      <c r="G552" s="4" t="s">
        <v>706</v>
      </c>
      <c r="H552" s="4" t="s">
        <v>708</v>
      </c>
      <c r="I552" s="4" t="s">
        <v>726</v>
      </c>
      <c r="J552" s="4" t="s">
        <v>729</v>
      </c>
      <c r="K552" s="4" t="s">
        <v>1282</v>
      </c>
      <c r="L552">
        <v>1035.24</v>
      </c>
      <c r="M552">
        <v>2383.41</v>
      </c>
      <c r="N552">
        <v>0.17</v>
      </c>
      <c r="O552">
        <v>15</v>
      </c>
    </row>
    <row r="553" spans="1:15" x14ac:dyDescent="0.25">
      <c r="A553" t="s">
        <v>565</v>
      </c>
      <c r="B553" s="2">
        <v>45875</v>
      </c>
      <c r="C553" s="2">
        <v>45892</v>
      </c>
      <c r="D553" s="4" t="s">
        <v>648</v>
      </c>
      <c r="E553" s="4" t="s">
        <v>655</v>
      </c>
      <c r="F553" s="4" t="s">
        <v>672</v>
      </c>
      <c r="G553" s="4" t="s">
        <v>704</v>
      </c>
      <c r="H553" s="4" t="s">
        <v>710</v>
      </c>
      <c r="I553" s="4" t="s">
        <v>720</v>
      </c>
      <c r="J553" s="4" t="s">
        <v>732</v>
      </c>
      <c r="K553" s="4" t="s">
        <v>1283</v>
      </c>
      <c r="L553">
        <v>86.64</v>
      </c>
      <c r="M553">
        <v>213.06</v>
      </c>
      <c r="N553">
        <v>0.21199999999999999</v>
      </c>
      <c r="O553">
        <v>11</v>
      </c>
    </row>
    <row r="554" spans="1:15" x14ac:dyDescent="0.25">
      <c r="A554" t="s">
        <v>566</v>
      </c>
      <c r="B554" s="2">
        <v>44988</v>
      </c>
      <c r="C554" s="2">
        <v>45005</v>
      </c>
      <c r="D554" s="4" t="s">
        <v>647</v>
      </c>
      <c r="E554" s="4" t="s">
        <v>652</v>
      </c>
      <c r="F554" s="4" t="s">
        <v>694</v>
      </c>
      <c r="G554" s="4" t="s">
        <v>705</v>
      </c>
      <c r="H554" s="4" t="s">
        <v>708</v>
      </c>
      <c r="I554" s="4" t="s">
        <v>726</v>
      </c>
      <c r="J554" s="4" t="s">
        <v>729</v>
      </c>
      <c r="K554" s="4" t="s">
        <v>1284</v>
      </c>
      <c r="L554">
        <v>1171.17</v>
      </c>
      <c r="M554">
        <v>2030.64</v>
      </c>
      <c r="N554">
        <v>0.157</v>
      </c>
      <c r="O554">
        <v>11</v>
      </c>
    </row>
    <row r="555" spans="1:15" x14ac:dyDescent="0.25">
      <c r="A555" t="s">
        <v>567</v>
      </c>
      <c r="B555" s="2">
        <v>45704</v>
      </c>
      <c r="C555" s="2">
        <v>45733</v>
      </c>
      <c r="D555" s="4" t="s">
        <v>649</v>
      </c>
      <c r="E555" s="4" t="s">
        <v>656</v>
      </c>
      <c r="F555" s="4" t="s">
        <v>684</v>
      </c>
      <c r="G555" s="4" t="s">
        <v>704</v>
      </c>
      <c r="H555" s="4" t="s">
        <v>707</v>
      </c>
      <c r="I555" s="4" t="s">
        <v>716</v>
      </c>
      <c r="J555" s="4" t="s">
        <v>733</v>
      </c>
      <c r="K555" s="4" t="s">
        <v>1285</v>
      </c>
      <c r="L555">
        <v>730.42</v>
      </c>
      <c r="M555">
        <v>956.7</v>
      </c>
      <c r="N555">
        <v>4.2000000000000003E-2</v>
      </c>
      <c r="O555">
        <v>22</v>
      </c>
    </row>
    <row r="556" spans="1:15" x14ac:dyDescent="0.25">
      <c r="A556" t="s">
        <v>568</v>
      </c>
      <c r="B556" s="2">
        <v>45703</v>
      </c>
      <c r="C556" s="2">
        <v>45717</v>
      </c>
      <c r="D556" s="4" t="s">
        <v>646</v>
      </c>
      <c r="E556" s="4" t="s">
        <v>650</v>
      </c>
      <c r="F556" s="4" t="s">
        <v>675</v>
      </c>
      <c r="G556" s="4" t="s">
        <v>702</v>
      </c>
      <c r="H556" s="4" t="s">
        <v>711</v>
      </c>
      <c r="I556" s="4" t="s">
        <v>716</v>
      </c>
      <c r="J556" s="4" t="s">
        <v>733</v>
      </c>
      <c r="K556" s="4" t="s">
        <v>1286</v>
      </c>
      <c r="L556">
        <v>1162.8599999999999</v>
      </c>
      <c r="M556">
        <v>1447.68</v>
      </c>
      <c r="N556">
        <v>8.6999999999999994E-2</v>
      </c>
      <c r="O556">
        <v>12</v>
      </c>
    </row>
    <row r="557" spans="1:15" x14ac:dyDescent="0.25">
      <c r="A557" t="s">
        <v>569</v>
      </c>
      <c r="B557" s="2">
        <v>45535</v>
      </c>
      <c r="C557" s="2">
        <v>45561</v>
      </c>
      <c r="D557" s="4" t="s">
        <v>647</v>
      </c>
      <c r="E557" s="4" t="s">
        <v>652</v>
      </c>
      <c r="F557" s="4" t="s">
        <v>689</v>
      </c>
      <c r="G557" s="4" t="s">
        <v>702</v>
      </c>
      <c r="H557" s="4" t="s">
        <v>708</v>
      </c>
      <c r="I557" s="4" t="s">
        <v>714</v>
      </c>
      <c r="J557" s="4" t="s">
        <v>730</v>
      </c>
      <c r="K557" s="4" t="s">
        <v>1287</v>
      </c>
      <c r="L557">
        <v>1189.03</v>
      </c>
      <c r="M557">
        <v>2949.62</v>
      </c>
      <c r="N557">
        <v>0.125</v>
      </c>
      <c r="O557">
        <v>13</v>
      </c>
    </row>
    <row r="558" spans="1:15" x14ac:dyDescent="0.25">
      <c r="A558" t="s">
        <v>570</v>
      </c>
      <c r="B558" s="2">
        <v>45053</v>
      </c>
      <c r="C558" s="2">
        <v>45066</v>
      </c>
      <c r="D558" s="4" t="s">
        <v>647</v>
      </c>
      <c r="E558" s="4" t="s">
        <v>654</v>
      </c>
      <c r="F558" s="4" t="s">
        <v>691</v>
      </c>
      <c r="G558" s="4" t="s">
        <v>706</v>
      </c>
      <c r="H558" s="4" t="s">
        <v>707</v>
      </c>
      <c r="I558" s="4" t="s">
        <v>726</v>
      </c>
      <c r="J558" s="4" t="s">
        <v>733</v>
      </c>
      <c r="K558" s="4" t="s">
        <v>1288</v>
      </c>
      <c r="L558">
        <v>1443.28</v>
      </c>
      <c r="M558">
        <v>2580.5700000000002</v>
      </c>
      <c r="N558">
        <v>0</v>
      </c>
      <c r="O558">
        <v>18</v>
      </c>
    </row>
    <row r="559" spans="1:15" x14ac:dyDescent="0.25">
      <c r="A559" t="s">
        <v>571</v>
      </c>
      <c r="B559" s="2">
        <v>45791</v>
      </c>
      <c r="C559" s="2">
        <v>45789</v>
      </c>
      <c r="D559" s="4" t="s">
        <v>648</v>
      </c>
      <c r="E559" s="4" t="s">
        <v>653</v>
      </c>
      <c r="F559" s="4" t="s">
        <v>688</v>
      </c>
      <c r="G559" s="4" t="s">
        <v>703</v>
      </c>
      <c r="H559" s="4" t="s">
        <v>710</v>
      </c>
      <c r="I559" s="4" t="s">
        <v>721</v>
      </c>
      <c r="J559" s="4" t="s">
        <v>728</v>
      </c>
      <c r="K559" s="4" t="s">
        <v>1289</v>
      </c>
      <c r="L559">
        <v>883.5</v>
      </c>
      <c r="M559">
        <v>1978.91</v>
      </c>
      <c r="N559">
        <v>5.3999999999999999E-2</v>
      </c>
      <c r="O559">
        <v>27</v>
      </c>
    </row>
    <row r="560" spans="1:15" x14ac:dyDescent="0.25">
      <c r="A560" t="s">
        <v>572</v>
      </c>
      <c r="B560" s="2">
        <v>45362</v>
      </c>
      <c r="C560" s="2">
        <v>45380</v>
      </c>
      <c r="D560" s="4" t="s">
        <v>648</v>
      </c>
      <c r="E560" s="4" t="s">
        <v>660</v>
      </c>
      <c r="F560" s="4" t="s">
        <v>700</v>
      </c>
      <c r="G560" s="4" t="s">
        <v>701</v>
      </c>
      <c r="H560" s="4" t="s">
        <v>707</v>
      </c>
      <c r="I560" s="4" t="s">
        <v>724</v>
      </c>
      <c r="J560" s="4" t="s">
        <v>732</v>
      </c>
      <c r="K560" s="4" t="s">
        <v>1290</v>
      </c>
      <c r="L560">
        <v>710.98</v>
      </c>
      <c r="M560">
        <v>1481.45</v>
      </c>
      <c r="N560">
        <v>0.21099999999999999</v>
      </c>
      <c r="O560">
        <v>9</v>
      </c>
    </row>
    <row r="561" spans="1:15" x14ac:dyDescent="0.25">
      <c r="A561" t="s">
        <v>573</v>
      </c>
      <c r="B561" s="2">
        <v>45430</v>
      </c>
      <c r="C561" s="2">
        <v>45434</v>
      </c>
      <c r="D561" s="4" t="s">
        <v>646</v>
      </c>
      <c r="E561" s="4" t="s">
        <v>650</v>
      </c>
      <c r="F561" s="4" t="s">
        <v>664</v>
      </c>
      <c r="G561" s="4" t="s">
        <v>701</v>
      </c>
      <c r="H561" s="4" t="s">
        <v>711</v>
      </c>
      <c r="I561" s="4" t="s">
        <v>722</v>
      </c>
      <c r="J561" s="4" t="s">
        <v>733</v>
      </c>
      <c r="K561" s="4" t="s">
        <v>1291</v>
      </c>
      <c r="L561">
        <v>857.42</v>
      </c>
      <c r="M561">
        <v>1658.92</v>
      </c>
      <c r="N561">
        <v>0.122</v>
      </c>
      <c r="O561">
        <v>9</v>
      </c>
    </row>
    <row r="562" spans="1:15" x14ac:dyDescent="0.25">
      <c r="A562" t="s">
        <v>574</v>
      </c>
      <c r="B562" s="2">
        <v>45299</v>
      </c>
      <c r="C562" s="2">
        <v>45303</v>
      </c>
      <c r="D562" s="4" t="s">
        <v>647</v>
      </c>
      <c r="E562" s="4" t="s">
        <v>654</v>
      </c>
      <c r="F562" s="4" t="s">
        <v>668</v>
      </c>
      <c r="G562" s="4" t="s">
        <v>701</v>
      </c>
      <c r="H562" s="4" t="s">
        <v>711</v>
      </c>
      <c r="I562" s="4" t="s">
        <v>718</v>
      </c>
      <c r="J562" s="4" t="s">
        <v>728</v>
      </c>
      <c r="K562" s="4" t="s">
        <v>1292</v>
      </c>
      <c r="L562">
        <v>802.32</v>
      </c>
      <c r="M562">
        <v>602.34</v>
      </c>
      <c r="N562">
        <v>0.12</v>
      </c>
      <c r="O562">
        <v>25</v>
      </c>
    </row>
    <row r="563" spans="1:15" x14ac:dyDescent="0.25">
      <c r="A563" t="s">
        <v>575</v>
      </c>
      <c r="B563" s="2">
        <v>45590</v>
      </c>
      <c r="C563" s="2">
        <v>45601</v>
      </c>
      <c r="D563" s="4" t="s">
        <v>648</v>
      </c>
      <c r="E563" s="4" t="s">
        <v>660</v>
      </c>
      <c r="F563" s="4" t="s">
        <v>700</v>
      </c>
      <c r="G563" s="4" t="s">
        <v>701</v>
      </c>
      <c r="H563" s="4" t="s">
        <v>710</v>
      </c>
      <c r="I563" s="4" t="s">
        <v>725</v>
      </c>
      <c r="J563" s="4" t="s">
        <v>727</v>
      </c>
      <c r="K563" s="4" t="s">
        <v>1293</v>
      </c>
      <c r="L563">
        <v>446.66</v>
      </c>
      <c r="M563">
        <v>527.64</v>
      </c>
      <c r="N563">
        <v>0.14499999999999999</v>
      </c>
      <c r="O563">
        <v>15</v>
      </c>
    </row>
    <row r="564" spans="1:15" x14ac:dyDescent="0.25">
      <c r="A564" t="s">
        <v>576</v>
      </c>
      <c r="B564" s="2">
        <v>45626</v>
      </c>
      <c r="C564" s="2">
        <v>45645</v>
      </c>
      <c r="D564" s="4" t="s">
        <v>646</v>
      </c>
      <c r="E564" s="4" t="s">
        <v>650</v>
      </c>
      <c r="F564" s="4" t="s">
        <v>662</v>
      </c>
      <c r="G564" s="4" t="s">
        <v>701</v>
      </c>
      <c r="H564" s="4" t="s">
        <v>708</v>
      </c>
      <c r="I564" s="4" t="s">
        <v>716</v>
      </c>
      <c r="J564" s="4" t="s">
        <v>730</v>
      </c>
      <c r="K564" s="4" t="s">
        <v>1294</v>
      </c>
      <c r="L564">
        <v>1195.98</v>
      </c>
      <c r="M564">
        <v>1841.9</v>
      </c>
      <c r="N564">
        <v>5.5E-2</v>
      </c>
      <c r="O564">
        <v>19</v>
      </c>
    </row>
    <row r="565" spans="1:15" x14ac:dyDescent="0.25">
      <c r="A565" t="s">
        <v>577</v>
      </c>
      <c r="B565" s="2">
        <v>45029</v>
      </c>
      <c r="C565" s="2">
        <v>45048</v>
      </c>
      <c r="D565" s="4" t="s">
        <v>648</v>
      </c>
      <c r="E565" s="4" t="s">
        <v>653</v>
      </c>
      <c r="F565" s="4" t="s">
        <v>681</v>
      </c>
      <c r="G565" s="4" t="s">
        <v>704</v>
      </c>
      <c r="H565" s="4" t="s">
        <v>710</v>
      </c>
      <c r="I565" s="4" t="s">
        <v>718</v>
      </c>
      <c r="J565" s="4" t="s">
        <v>732</v>
      </c>
      <c r="K565" s="4" t="s">
        <v>1295</v>
      </c>
      <c r="L565">
        <v>671.05</v>
      </c>
      <c r="M565">
        <v>1645.48</v>
      </c>
      <c r="N565">
        <v>0.13700000000000001</v>
      </c>
      <c r="O565">
        <v>6</v>
      </c>
    </row>
    <row r="566" spans="1:15" x14ac:dyDescent="0.25">
      <c r="A566" t="s">
        <v>578</v>
      </c>
      <c r="B566" s="2">
        <v>45692</v>
      </c>
      <c r="C566" s="2">
        <v>45696</v>
      </c>
      <c r="D566" s="4" t="s">
        <v>649</v>
      </c>
      <c r="E566" s="4" t="s">
        <v>658</v>
      </c>
      <c r="F566" s="4" t="s">
        <v>693</v>
      </c>
      <c r="G566" s="4" t="s">
        <v>706</v>
      </c>
      <c r="H566" s="4" t="s">
        <v>709</v>
      </c>
      <c r="I566" s="4" t="s">
        <v>716</v>
      </c>
      <c r="J566" s="4" t="s">
        <v>729</v>
      </c>
      <c r="K566" s="4" t="s">
        <v>1296</v>
      </c>
      <c r="L566">
        <v>586.21</v>
      </c>
      <c r="M566">
        <v>727.22</v>
      </c>
      <c r="N566">
        <v>6.8000000000000005E-2</v>
      </c>
      <c r="O566">
        <v>15</v>
      </c>
    </row>
    <row r="567" spans="1:15" x14ac:dyDescent="0.25">
      <c r="A567" t="s">
        <v>579</v>
      </c>
      <c r="B567" s="2">
        <v>45315</v>
      </c>
      <c r="C567" s="2">
        <v>45326</v>
      </c>
      <c r="D567" s="4" t="s">
        <v>649</v>
      </c>
      <c r="E567" s="4" t="s">
        <v>658</v>
      </c>
      <c r="F567" s="4" t="s">
        <v>693</v>
      </c>
      <c r="G567" s="4" t="s">
        <v>704</v>
      </c>
      <c r="H567" s="4" t="s">
        <v>707</v>
      </c>
      <c r="I567" s="4" t="s">
        <v>717</v>
      </c>
      <c r="J567" s="4" t="s">
        <v>731</v>
      </c>
      <c r="K567" s="4" t="s">
        <v>1297</v>
      </c>
      <c r="L567">
        <v>525.34</v>
      </c>
      <c r="M567">
        <v>1233.79</v>
      </c>
      <c r="N567">
        <v>0.14299999999999999</v>
      </c>
      <c r="O567">
        <v>4</v>
      </c>
    </row>
    <row r="568" spans="1:15" x14ac:dyDescent="0.25">
      <c r="A568" t="s">
        <v>580</v>
      </c>
      <c r="B568" s="2">
        <v>45330</v>
      </c>
      <c r="C568" s="2">
        <v>45331</v>
      </c>
      <c r="D568" s="4" t="s">
        <v>646</v>
      </c>
      <c r="E568" s="4" t="s">
        <v>650</v>
      </c>
      <c r="F568" s="4" t="s">
        <v>675</v>
      </c>
      <c r="G568" s="4" t="s">
        <v>701</v>
      </c>
      <c r="H568" s="4" t="s">
        <v>711</v>
      </c>
      <c r="I568" s="4" t="s">
        <v>721</v>
      </c>
      <c r="J568" s="4" t="s">
        <v>727</v>
      </c>
      <c r="K568" s="4" t="s">
        <v>1298</v>
      </c>
      <c r="L568">
        <v>1233.52</v>
      </c>
      <c r="M568">
        <v>1543.76</v>
      </c>
      <c r="N568">
        <v>0.126</v>
      </c>
      <c r="O568">
        <v>13</v>
      </c>
    </row>
    <row r="569" spans="1:15" x14ac:dyDescent="0.25">
      <c r="A569" t="s">
        <v>581</v>
      </c>
      <c r="B569" s="2">
        <v>45834</v>
      </c>
      <c r="C569" s="2">
        <v>45849</v>
      </c>
      <c r="D569" s="4" t="s">
        <v>646</v>
      </c>
      <c r="E569" s="4" t="s">
        <v>651</v>
      </c>
      <c r="F569" s="4" t="s">
        <v>663</v>
      </c>
      <c r="G569" s="4" t="s">
        <v>705</v>
      </c>
      <c r="H569" s="4" t="s">
        <v>708</v>
      </c>
      <c r="I569" s="4" t="s">
        <v>720</v>
      </c>
      <c r="J569" s="4" t="s">
        <v>731</v>
      </c>
      <c r="K569" s="4" t="s">
        <v>1299</v>
      </c>
      <c r="L569">
        <v>1170.1500000000001</v>
      </c>
      <c r="M569">
        <v>2115.19</v>
      </c>
      <c r="N569">
        <v>9.1999999999999998E-2</v>
      </c>
      <c r="O569">
        <v>23</v>
      </c>
    </row>
    <row r="570" spans="1:15" x14ac:dyDescent="0.25">
      <c r="A570" t="s">
        <v>582</v>
      </c>
      <c r="B570" s="2">
        <v>45600</v>
      </c>
      <c r="C570" s="2">
        <v>45603</v>
      </c>
      <c r="D570" s="4" t="s">
        <v>649</v>
      </c>
      <c r="E570" s="4" t="s">
        <v>657</v>
      </c>
      <c r="F570" s="4" t="s">
        <v>679</v>
      </c>
      <c r="G570" s="4" t="s">
        <v>701</v>
      </c>
      <c r="H570" s="4" t="s">
        <v>708</v>
      </c>
      <c r="I570" s="4" t="s">
        <v>719</v>
      </c>
      <c r="J570" s="4" t="s">
        <v>732</v>
      </c>
      <c r="K570" s="4" t="s">
        <v>1300</v>
      </c>
      <c r="L570">
        <v>740.68</v>
      </c>
      <c r="M570">
        <v>1837.19</v>
      </c>
      <c r="N570">
        <v>0.19700000000000001</v>
      </c>
      <c r="O570">
        <v>17</v>
      </c>
    </row>
    <row r="571" spans="1:15" x14ac:dyDescent="0.25">
      <c r="A571" t="s">
        <v>583</v>
      </c>
      <c r="B571" s="2">
        <v>45342</v>
      </c>
      <c r="C571" s="2">
        <v>45342</v>
      </c>
      <c r="D571" s="4" t="s">
        <v>648</v>
      </c>
      <c r="E571" s="4" t="s">
        <v>660</v>
      </c>
      <c r="F571" s="4" t="s">
        <v>700</v>
      </c>
      <c r="G571" s="4" t="s">
        <v>706</v>
      </c>
      <c r="H571" s="4" t="s">
        <v>708</v>
      </c>
      <c r="I571" s="4" t="s">
        <v>712</v>
      </c>
      <c r="J571" s="4" t="s">
        <v>729</v>
      </c>
      <c r="K571" s="4" t="s">
        <v>1301</v>
      </c>
      <c r="L571">
        <v>1407.05</v>
      </c>
      <c r="M571">
        <v>2858.93</v>
      </c>
      <c r="N571">
        <v>0</v>
      </c>
      <c r="O571">
        <v>12</v>
      </c>
    </row>
    <row r="572" spans="1:15" x14ac:dyDescent="0.25">
      <c r="A572" t="s">
        <v>584</v>
      </c>
      <c r="B572" s="2">
        <v>45760</v>
      </c>
      <c r="C572" s="2">
        <v>45761</v>
      </c>
      <c r="D572" s="4" t="s">
        <v>647</v>
      </c>
      <c r="E572" s="4" t="s">
        <v>652</v>
      </c>
      <c r="F572" s="4" t="s">
        <v>666</v>
      </c>
      <c r="G572" s="4" t="s">
        <v>706</v>
      </c>
      <c r="H572" s="4" t="s">
        <v>708</v>
      </c>
      <c r="I572" s="4" t="s">
        <v>715</v>
      </c>
      <c r="J572" s="4" t="s">
        <v>727</v>
      </c>
      <c r="K572" s="4" t="s">
        <v>1302</v>
      </c>
      <c r="L572">
        <v>138.9</v>
      </c>
      <c r="M572">
        <v>289.92</v>
      </c>
      <c r="N572">
        <v>2.9000000000000001E-2</v>
      </c>
      <c r="O572">
        <v>12</v>
      </c>
    </row>
    <row r="573" spans="1:15" x14ac:dyDescent="0.25">
      <c r="A573" t="s">
        <v>585</v>
      </c>
      <c r="B573" s="2">
        <v>45078</v>
      </c>
      <c r="C573" s="2">
        <v>45078</v>
      </c>
      <c r="D573" s="4" t="s">
        <v>647</v>
      </c>
      <c r="E573" s="4" t="s">
        <v>654</v>
      </c>
      <c r="F573" s="4" t="s">
        <v>668</v>
      </c>
      <c r="G573" s="4" t="s">
        <v>701</v>
      </c>
      <c r="H573" s="4" t="s">
        <v>707</v>
      </c>
      <c r="I573" s="4" t="s">
        <v>718</v>
      </c>
      <c r="J573" s="4" t="s">
        <v>733</v>
      </c>
      <c r="K573" s="4" t="s">
        <v>1303</v>
      </c>
      <c r="L573">
        <v>669.37</v>
      </c>
      <c r="M573">
        <v>997.2</v>
      </c>
      <c r="N573">
        <v>8.2000000000000003E-2</v>
      </c>
      <c r="O573">
        <v>5</v>
      </c>
    </row>
    <row r="574" spans="1:15" x14ac:dyDescent="0.25">
      <c r="A574" t="s">
        <v>586</v>
      </c>
      <c r="B574" s="2">
        <v>45740</v>
      </c>
      <c r="C574" s="2">
        <v>45751</v>
      </c>
      <c r="D574" s="4" t="s">
        <v>647</v>
      </c>
      <c r="E574" s="4" t="s">
        <v>654</v>
      </c>
      <c r="F574" s="4" t="s">
        <v>691</v>
      </c>
      <c r="G574" s="4" t="s">
        <v>702</v>
      </c>
      <c r="H574" s="4" t="s">
        <v>709</v>
      </c>
      <c r="I574" s="4" t="s">
        <v>713</v>
      </c>
      <c r="J574" s="4" t="s">
        <v>730</v>
      </c>
      <c r="K574" s="4" t="s">
        <v>1304</v>
      </c>
      <c r="L574">
        <v>23.83</v>
      </c>
      <c r="M574">
        <v>47.29</v>
      </c>
      <c r="N574">
        <v>6.4000000000000001E-2</v>
      </c>
      <c r="O574">
        <v>19</v>
      </c>
    </row>
    <row r="575" spans="1:15" x14ac:dyDescent="0.25">
      <c r="A575" t="s">
        <v>587</v>
      </c>
      <c r="B575" s="2">
        <v>45293</v>
      </c>
      <c r="C575" s="2">
        <v>45293</v>
      </c>
      <c r="D575" s="4" t="s">
        <v>648</v>
      </c>
      <c r="E575" s="4" t="s">
        <v>653</v>
      </c>
      <c r="F575" s="4" t="s">
        <v>688</v>
      </c>
      <c r="G575" s="4" t="s">
        <v>702</v>
      </c>
      <c r="H575" s="4" t="s">
        <v>711</v>
      </c>
      <c r="I575" s="4" t="s">
        <v>720</v>
      </c>
      <c r="J575" s="4" t="s">
        <v>731</v>
      </c>
      <c r="K575" s="4" t="s">
        <v>1305</v>
      </c>
      <c r="L575">
        <v>444.41</v>
      </c>
      <c r="M575">
        <v>754.24</v>
      </c>
      <c r="N575">
        <v>0.20699999999999999</v>
      </c>
      <c r="O575">
        <v>32</v>
      </c>
    </row>
    <row r="576" spans="1:15" x14ac:dyDescent="0.25">
      <c r="A576" t="s">
        <v>588</v>
      </c>
      <c r="B576" s="2">
        <v>45279</v>
      </c>
      <c r="C576" s="2">
        <v>45292</v>
      </c>
      <c r="D576" s="4" t="s">
        <v>648</v>
      </c>
      <c r="E576" s="4" t="s">
        <v>653</v>
      </c>
      <c r="F576" s="4" t="s">
        <v>667</v>
      </c>
      <c r="G576" s="4" t="s">
        <v>706</v>
      </c>
      <c r="H576" s="4" t="s">
        <v>707</v>
      </c>
      <c r="I576" s="4" t="s">
        <v>723</v>
      </c>
      <c r="J576" s="4" t="s">
        <v>732</v>
      </c>
      <c r="K576" s="4" t="s">
        <v>1306</v>
      </c>
      <c r="L576">
        <v>856.1</v>
      </c>
      <c r="M576">
        <v>901.48</v>
      </c>
      <c r="N576">
        <v>5.6000000000000001E-2</v>
      </c>
      <c r="O576">
        <v>17</v>
      </c>
    </row>
    <row r="577" spans="1:15" x14ac:dyDescent="0.25">
      <c r="A577" t="s">
        <v>589</v>
      </c>
      <c r="B577" s="2">
        <v>45042</v>
      </c>
      <c r="C577" s="2">
        <v>45042</v>
      </c>
      <c r="D577" s="4" t="s">
        <v>649</v>
      </c>
      <c r="E577" s="4" t="s">
        <v>657</v>
      </c>
      <c r="F577" s="4" t="s">
        <v>673</v>
      </c>
      <c r="G577" s="4" t="s">
        <v>704</v>
      </c>
      <c r="H577" s="4" t="s">
        <v>711</v>
      </c>
      <c r="I577" s="4" t="s">
        <v>724</v>
      </c>
      <c r="J577" s="4" t="s">
        <v>727</v>
      </c>
      <c r="K577" s="4" t="s">
        <v>1307</v>
      </c>
      <c r="L577">
        <v>81.489999999999995</v>
      </c>
      <c r="M577">
        <v>113.08</v>
      </c>
      <c r="N577">
        <v>0.121</v>
      </c>
      <c r="O577">
        <v>5</v>
      </c>
    </row>
    <row r="578" spans="1:15" x14ac:dyDescent="0.25">
      <c r="A578" t="s">
        <v>590</v>
      </c>
      <c r="B578" s="2">
        <v>45872</v>
      </c>
      <c r="C578" s="2">
        <v>45885</v>
      </c>
      <c r="D578" s="4" t="s">
        <v>648</v>
      </c>
      <c r="E578" s="4" t="s">
        <v>653</v>
      </c>
      <c r="F578" s="4" t="s">
        <v>681</v>
      </c>
      <c r="G578" s="4" t="s">
        <v>706</v>
      </c>
      <c r="H578" s="4" t="s">
        <v>710</v>
      </c>
      <c r="I578" s="4" t="s">
        <v>719</v>
      </c>
      <c r="J578" s="4" t="s">
        <v>729</v>
      </c>
      <c r="K578" s="4" t="s">
        <v>1308</v>
      </c>
      <c r="L578">
        <v>698.66</v>
      </c>
      <c r="M578">
        <v>868.62</v>
      </c>
      <c r="N578">
        <v>7.1999999999999995E-2</v>
      </c>
      <c r="O578">
        <v>15</v>
      </c>
    </row>
    <row r="579" spans="1:15" x14ac:dyDescent="0.25">
      <c r="A579" t="s">
        <v>591</v>
      </c>
      <c r="B579" s="2">
        <v>45140</v>
      </c>
      <c r="C579" s="2">
        <v>45157</v>
      </c>
      <c r="D579" s="4" t="s">
        <v>648</v>
      </c>
      <c r="E579" s="4" t="s">
        <v>653</v>
      </c>
      <c r="F579" s="4" t="s">
        <v>688</v>
      </c>
      <c r="G579" s="4" t="s">
        <v>701</v>
      </c>
      <c r="H579" s="4" t="s">
        <v>708</v>
      </c>
      <c r="I579" s="4" t="s">
        <v>721</v>
      </c>
      <c r="J579" s="4" t="s">
        <v>729</v>
      </c>
      <c r="K579" s="4" t="s">
        <v>1309</v>
      </c>
      <c r="L579">
        <v>175.38</v>
      </c>
      <c r="M579">
        <v>347.9</v>
      </c>
      <c r="N579">
        <v>7.1999999999999995E-2</v>
      </c>
      <c r="O579">
        <v>43</v>
      </c>
    </row>
    <row r="580" spans="1:15" x14ac:dyDescent="0.25">
      <c r="A580" t="s">
        <v>592</v>
      </c>
      <c r="B580" s="2">
        <v>45092</v>
      </c>
      <c r="C580" s="2">
        <v>45119</v>
      </c>
      <c r="D580" s="4" t="s">
        <v>649</v>
      </c>
      <c r="E580" s="4" t="s">
        <v>658</v>
      </c>
      <c r="F580" s="4" t="s">
        <v>693</v>
      </c>
      <c r="G580" s="4" t="s">
        <v>704</v>
      </c>
      <c r="H580" s="4" t="s">
        <v>711</v>
      </c>
      <c r="I580" s="4" t="s">
        <v>714</v>
      </c>
      <c r="J580" s="4" t="s">
        <v>733</v>
      </c>
      <c r="K580" s="4" t="s">
        <v>1310</v>
      </c>
      <c r="L580">
        <v>751.28</v>
      </c>
      <c r="M580">
        <v>1111.8800000000001</v>
      </c>
      <c r="N580">
        <v>0.13500000000000001</v>
      </c>
      <c r="O580">
        <v>7</v>
      </c>
    </row>
    <row r="581" spans="1:15" x14ac:dyDescent="0.25">
      <c r="A581" t="s">
        <v>593</v>
      </c>
      <c r="B581" s="2">
        <v>45607</v>
      </c>
      <c r="C581" s="2">
        <v>45620</v>
      </c>
      <c r="D581" s="4" t="s">
        <v>649</v>
      </c>
      <c r="E581" s="4" t="s">
        <v>658</v>
      </c>
      <c r="F581" s="4" t="s">
        <v>683</v>
      </c>
      <c r="G581" s="4" t="s">
        <v>701</v>
      </c>
      <c r="H581" s="4" t="s">
        <v>707</v>
      </c>
      <c r="I581" s="4" t="s">
        <v>718</v>
      </c>
      <c r="J581" s="4" t="s">
        <v>729</v>
      </c>
      <c r="K581" s="4" t="s">
        <v>1311</v>
      </c>
      <c r="L581">
        <v>164.53</v>
      </c>
      <c r="M581">
        <v>327.72</v>
      </c>
      <c r="N581">
        <v>6.7000000000000004E-2</v>
      </c>
      <c r="O581">
        <v>14</v>
      </c>
    </row>
    <row r="582" spans="1:15" x14ac:dyDescent="0.25">
      <c r="A582" t="s">
        <v>594</v>
      </c>
      <c r="B582" s="2">
        <v>45849</v>
      </c>
      <c r="C582" s="2">
        <v>45872</v>
      </c>
      <c r="D582" s="4" t="s">
        <v>646</v>
      </c>
      <c r="E582" s="4" t="s">
        <v>650</v>
      </c>
      <c r="F582" s="4" t="s">
        <v>678</v>
      </c>
      <c r="G582" s="4" t="s">
        <v>705</v>
      </c>
      <c r="H582" s="4" t="s">
        <v>707</v>
      </c>
      <c r="I582" s="4" t="s">
        <v>712</v>
      </c>
      <c r="J582" s="4" t="s">
        <v>730</v>
      </c>
      <c r="K582" s="4" t="s">
        <v>1312</v>
      </c>
      <c r="L582">
        <v>389.93</v>
      </c>
      <c r="M582">
        <v>486.13</v>
      </c>
      <c r="N582">
        <v>0.13200000000000001</v>
      </c>
      <c r="O582">
        <v>17</v>
      </c>
    </row>
    <row r="583" spans="1:15" x14ac:dyDescent="0.25">
      <c r="A583" t="s">
        <v>595</v>
      </c>
      <c r="B583" s="2">
        <v>45080</v>
      </c>
      <c r="C583" s="2">
        <v>45108</v>
      </c>
      <c r="D583" s="4" t="s">
        <v>648</v>
      </c>
      <c r="E583" s="4" t="s">
        <v>655</v>
      </c>
      <c r="F583" s="4" t="s">
        <v>672</v>
      </c>
      <c r="G583" s="4" t="s">
        <v>705</v>
      </c>
      <c r="H583" s="4" t="s">
        <v>709</v>
      </c>
      <c r="I583" s="4" t="s">
        <v>720</v>
      </c>
      <c r="J583" s="4" t="s">
        <v>727</v>
      </c>
      <c r="K583" s="4" t="s">
        <v>1313</v>
      </c>
      <c r="L583">
        <v>860.4</v>
      </c>
      <c r="M583">
        <v>2066.6</v>
      </c>
      <c r="N583">
        <v>0.01</v>
      </c>
      <c r="O583">
        <v>3</v>
      </c>
    </row>
    <row r="584" spans="1:15" x14ac:dyDescent="0.25">
      <c r="A584" t="s">
        <v>596</v>
      </c>
      <c r="B584" s="2">
        <v>44955</v>
      </c>
      <c r="C584" s="2">
        <v>44963</v>
      </c>
      <c r="D584" s="4" t="s">
        <v>648</v>
      </c>
      <c r="E584" s="4" t="s">
        <v>655</v>
      </c>
      <c r="F584" s="4" t="s">
        <v>672</v>
      </c>
      <c r="G584" s="4" t="s">
        <v>701</v>
      </c>
      <c r="H584" s="4" t="s">
        <v>709</v>
      </c>
      <c r="I584" s="4" t="s">
        <v>726</v>
      </c>
      <c r="J584" s="4" t="s">
        <v>732</v>
      </c>
      <c r="K584" s="4" t="s">
        <v>1314</v>
      </c>
      <c r="L584">
        <v>41.84</v>
      </c>
      <c r="M584">
        <v>86.2</v>
      </c>
      <c r="N584">
        <v>0.22600000000000001</v>
      </c>
      <c r="O584">
        <v>27</v>
      </c>
    </row>
    <row r="585" spans="1:15" x14ac:dyDescent="0.25">
      <c r="A585" t="s">
        <v>597</v>
      </c>
      <c r="B585" s="2">
        <v>45541</v>
      </c>
      <c r="C585" s="2">
        <v>45539</v>
      </c>
      <c r="D585" s="4" t="s">
        <v>647</v>
      </c>
      <c r="E585" s="4" t="s">
        <v>652</v>
      </c>
      <c r="F585" s="4" t="s">
        <v>666</v>
      </c>
      <c r="G585" s="4" t="s">
        <v>701</v>
      </c>
      <c r="H585" s="4" t="s">
        <v>711</v>
      </c>
      <c r="I585" s="4" t="s">
        <v>720</v>
      </c>
      <c r="J585" s="4" t="s">
        <v>731</v>
      </c>
      <c r="K585" s="4" t="s">
        <v>1315</v>
      </c>
      <c r="L585">
        <v>1368.17</v>
      </c>
      <c r="M585">
        <v>2307.75</v>
      </c>
      <c r="N585">
        <v>0.16300000000000001</v>
      </c>
      <c r="O585">
        <v>21</v>
      </c>
    </row>
    <row r="586" spans="1:15" x14ac:dyDescent="0.25">
      <c r="A586" t="s">
        <v>598</v>
      </c>
      <c r="B586" s="2">
        <v>45507</v>
      </c>
      <c r="C586" s="2">
        <v>45513</v>
      </c>
      <c r="D586" s="4" t="s">
        <v>646</v>
      </c>
      <c r="E586" s="4" t="s">
        <v>650</v>
      </c>
      <c r="F586" s="4" t="s">
        <v>675</v>
      </c>
      <c r="G586" s="4" t="s">
        <v>704</v>
      </c>
      <c r="H586" s="4" t="s">
        <v>709</v>
      </c>
      <c r="I586" s="4" t="s">
        <v>722</v>
      </c>
      <c r="J586" s="4" t="s">
        <v>731</v>
      </c>
      <c r="K586" s="4" t="s">
        <v>1316</v>
      </c>
      <c r="L586">
        <v>643.21</v>
      </c>
      <c r="M586">
        <v>1112.81</v>
      </c>
      <c r="N586">
        <v>0.14099999999999999</v>
      </c>
      <c r="O586">
        <v>4</v>
      </c>
    </row>
    <row r="587" spans="1:15" x14ac:dyDescent="0.25">
      <c r="A587" t="s">
        <v>599</v>
      </c>
      <c r="B587" s="2">
        <v>45764</v>
      </c>
      <c r="C587" s="2">
        <v>45764</v>
      </c>
      <c r="D587" s="4" t="s">
        <v>648</v>
      </c>
      <c r="E587" s="4" t="s">
        <v>655</v>
      </c>
      <c r="F587" s="4" t="s">
        <v>670</v>
      </c>
      <c r="G587" s="4" t="s">
        <v>701</v>
      </c>
      <c r="H587" s="4" t="s">
        <v>710</v>
      </c>
      <c r="I587" s="4" t="s">
        <v>716</v>
      </c>
      <c r="J587" s="4" t="s">
        <v>730</v>
      </c>
      <c r="K587" s="4" t="s">
        <v>1317</v>
      </c>
      <c r="L587">
        <v>719.41</v>
      </c>
      <c r="M587">
        <v>1125.99</v>
      </c>
      <c r="N587">
        <v>4.1000000000000002E-2</v>
      </c>
      <c r="O587">
        <v>21</v>
      </c>
    </row>
    <row r="588" spans="1:15" x14ac:dyDescent="0.25">
      <c r="A588" t="s">
        <v>600</v>
      </c>
      <c r="B588" s="2">
        <v>45049</v>
      </c>
      <c r="C588" s="2">
        <v>45062</v>
      </c>
      <c r="D588" s="4" t="s">
        <v>648</v>
      </c>
      <c r="E588" s="4" t="s">
        <v>660</v>
      </c>
      <c r="F588" s="4" t="s">
        <v>700</v>
      </c>
      <c r="G588" s="4" t="s">
        <v>701</v>
      </c>
      <c r="H588" s="4" t="s">
        <v>709</v>
      </c>
      <c r="I588" s="4" t="s">
        <v>716</v>
      </c>
      <c r="J588" s="4" t="s">
        <v>730</v>
      </c>
      <c r="K588" s="4" t="s">
        <v>1318</v>
      </c>
      <c r="L588">
        <v>64.5</v>
      </c>
      <c r="M588">
        <v>123.62</v>
      </c>
      <c r="N588">
        <v>0</v>
      </c>
      <c r="O588">
        <v>3</v>
      </c>
    </row>
    <row r="589" spans="1:15" x14ac:dyDescent="0.25">
      <c r="A589" t="s">
        <v>601</v>
      </c>
      <c r="B589" s="2">
        <v>45364</v>
      </c>
      <c r="C589" s="2">
        <v>45388</v>
      </c>
      <c r="D589" s="4" t="s">
        <v>646</v>
      </c>
      <c r="E589" s="4" t="s">
        <v>651</v>
      </c>
      <c r="F589" s="4" t="s">
        <v>669</v>
      </c>
      <c r="G589" s="4" t="s">
        <v>704</v>
      </c>
      <c r="H589" s="4" t="s">
        <v>710</v>
      </c>
      <c r="I589" s="4" t="s">
        <v>716</v>
      </c>
      <c r="J589" s="4" t="s">
        <v>727</v>
      </c>
      <c r="K589" s="4" t="s">
        <v>1319</v>
      </c>
      <c r="L589">
        <v>1232.78</v>
      </c>
      <c r="M589">
        <v>1731.75</v>
      </c>
      <c r="N589">
        <v>9.2999999999999999E-2</v>
      </c>
      <c r="O589">
        <v>16</v>
      </c>
    </row>
    <row r="590" spans="1:15" x14ac:dyDescent="0.25">
      <c r="A590" t="s">
        <v>602</v>
      </c>
      <c r="B590" s="2">
        <v>45459</v>
      </c>
      <c r="C590" s="2">
        <v>45464</v>
      </c>
      <c r="D590" s="4" t="s">
        <v>647</v>
      </c>
      <c r="E590" s="4" t="s">
        <v>652</v>
      </c>
      <c r="F590" s="4" t="s">
        <v>689</v>
      </c>
      <c r="G590" s="4" t="s">
        <v>705</v>
      </c>
      <c r="H590" s="4" t="s">
        <v>710</v>
      </c>
      <c r="I590" s="4" t="s">
        <v>721</v>
      </c>
      <c r="J590" s="4" t="s">
        <v>730</v>
      </c>
      <c r="K590" s="4" t="s">
        <v>1320</v>
      </c>
      <c r="L590">
        <v>1367.13</v>
      </c>
      <c r="M590">
        <v>3062.01</v>
      </c>
      <c r="N590">
        <v>0.10299999999999999</v>
      </c>
      <c r="O590">
        <v>25</v>
      </c>
    </row>
    <row r="591" spans="1:15" x14ac:dyDescent="0.25">
      <c r="A591" t="s">
        <v>603</v>
      </c>
      <c r="B591" s="2">
        <v>45703</v>
      </c>
      <c r="C591" s="2">
        <v>45715</v>
      </c>
      <c r="D591" s="4" t="s">
        <v>649</v>
      </c>
      <c r="E591" s="4" t="s">
        <v>657</v>
      </c>
      <c r="F591" s="4" t="s">
        <v>679</v>
      </c>
      <c r="G591" s="4" t="s">
        <v>703</v>
      </c>
      <c r="H591" s="4" t="s">
        <v>711</v>
      </c>
      <c r="I591" s="4" t="s">
        <v>723</v>
      </c>
      <c r="J591" s="4" t="s">
        <v>733</v>
      </c>
      <c r="K591" s="4" t="s">
        <v>1321</v>
      </c>
      <c r="L591">
        <v>1027.26</v>
      </c>
      <c r="M591">
        <v>2200.41</v>
      </c>
      <c r="N591">
        <v>8.7999999999999995E-2</v>
      </c>
      <c r="O591">
        <v>6</v>
      </c>
    </row>
    <row r="592" spans="1:15" x14ac:dyDescent="0.25">
      <c r="A592" t="s">
        <v>604</v>
      </c>
      <c r="B592" s="2">
        <v>45019</v>
      </c>
      <c r="C592" s="2">
        <v>45032</v>
      </c>
      <c r="D592" s="4" t="s">
        <v>649</v>
      </c>
      <c r="E592" s="4" t="s">
        <v>657</v>
      </c>
      <c r="F592" s="4" t="s">
        <v>673</v>
      </c>
      <c r="G592" s="4" t="s">
        <v>703</v>
      </c>
      <c r="H592" s="4" t="s">
        <v>709</v>
      </c>
      <c r="I592" s="4" t="s">
        <v>724</v>
      </c>
      <c r="J592" s="4" t="s">
        <v>733</v>
      </c>
      <c r="K592" s="4" t="s">
        <v>1322</v>
      </c>
      <c r="L592">
        <v>790.54</v>
      </c>
      <c r="M592">
        <v>601.49</v>
      </c>
      <c r="N592">
        <v>0</v>
      </c>
      <c r="O592">
        <v>15</v>
      </c>
    </row>
    <row r="593" spans="1:15" x14ac:dyDescent="0.25">
      <c r="A593" t="s">
        <v>605</v>
      </c>
      <c r="B593" s="2">
        <v>45899</v>
      </c>
      <c r="C593" s="2">
        <v>45922</v>
      </c>
      <c r="D593" s="4" t="s">
        <v>649</v>
      </c>
      <c r="E593" s="4" t="s">
        <v>657</v>
      </c>
      <c r="F593" s="4" t="s">
        <v>673</v>
      </c>
      <c r="G593" s="4" t="s">
        <v>701</v>
      </c>
      <c r="H593" s="4" t="s">
        <v>711</v>
      </c>
      <c r="I593" s="4" t="s">
        <v>718</v>
      </c>
      <c r="J593" s="4" t="s">
        <v>727</v>
      </c>
      <c r="K593" s="4" t="s">
        <v>1323</v>
      </c>
      <c r="L593">
        <v>663.9</v>
      </c>
      <c r="M593">
        <v>947.77</v>
      </c>
      <c r="N593">
        <v>0.17399999999999999</v>
      </c>
      <c r="O593">
        <v>15</v>
      </c>
    </row>
    <row r="594" spans="1:15" x14ac:dyDescent="0.25">
      <c r="A594" t="s">
        <v>606</v>
      </c>
      <c r="B594" s="2">
        <v>44984</v>
      </c>
      <c r="C594" s="2">
        <v>44983</v>
      </c>
      <c r="D594" s="4" t="s">
        <v>648</v>
      </c>
      <c r="E594" s="4" t="s">
        <v>660</v>
      </c>
      <c r="F594" s="4" t="s">
        <v>686</v>
      </c>
      <c r="G594" s="4" t="s">
        <v>703</v>
      </c>
      <c r="H594" s="4" t="s">
        <v>708</v>
      </c>
      <c r="I594" s="4" t="s">
        <v>716</v>
      </c>
      <c r="J594" s="4" t="s">
        <v>729</v>
      </c>
      <c r="K594" s="4" t="s">
        <v>1324</v>
      </c>
      <c r="L594">
        <v>1015.91</v>
      </c>
      <c r="M594">
        <v>2331.48</v>
      </c>
      <c r="N594">
        <v>0.14599999999999999</v>
      </c>
      <c r="O594">
        <v>26</v>
      </c>
    </row>
    <row r="595" spans="1:15" x14ac:dyDescent="0.25">
      <c r="A595" t="s">
        <v>607</v>
      </c>
      <c r="B595" s="2">
        <v>45504</v>
      </c>
      <c r="C595" s="2">
        <v>45519</v>
      </c>
      <c r="D595" s="4" t="s">
        <v>647</v>
      </c>
      <c r="E595" s="4" t="s">
        <v>652</v>
      </c>
      <c r="F595" s="4" t="s">
        <v>689</v>
      </c>
      <c r="G595" s="4" t="s">
        <v>701</v>
      </c>
      <c r="H595" s="4" t="s">
        <v>709</v>
      </c>
      <c r="I595" s="4" t="s">
        <v>721</v>
      </c>
      <c r="J595" s="4" t="s">
        <v>732</v>
      </c>
      <c r="K595" s="4" t="s">
        <v>1325</v>
      </c>
      <c r="L595">
        <v>1252.52</v>
      </c>
      <c r="M595">
        <v>1417.24</v>
      </c>
      <c r="N595">
        <v>0.192</v>
      </c>
      <c r="O595">
        <v>5</v>
      </c>
    </row>
    <row r="596" spans="1:15" x14ac:dyDescent="0.25">
      <c r="A596" t="s">
        <v>608</v>
      </c>
      <c r="B596" s="2">
        <v>45823</v>
      </c>
      <c r="C596" s="2">
        <v>45850</v>
      </c>
      <c r="D596" s="4" t="s">
        <v>649</v>
      </c>
      <c r="E596" s="4" t="s">
        <v>657</v>
      </c>
      <c r="F596" s="4" t="s">
        <v>673</v>
      </c>
      <c r="G596" s="4" t="s">
        <v>704</v>
      </c>
      <c r="H596" s="4" t="s">
        <v>711</v>
      </c>
      <c r="I596" s="4" t="s">
        <v>712</v>
      </c>
      <c r="J596" s="4" t="s">
        <v>733</v>
      </c>
      <c r="K596" s="4" t="s">
        <v>1326</v>
      </c>
      <c r="L596">
        <v>318.83</v>
      </c>
      <c r="M596">
        <v>699.5</v>
      </c>
      <c r="N596">
        <v>0.08</v>
      </c>
      <c r="O596">
        <v>13</v>
      </c>
    </row>
    <row r="597" spans="1:15" x14ac:dyDescent="0.25">
      <c r="A597" t="s">
        <v>609</v>
      </c>
      <c r="B597" s="2">
        <v>45473</v>
      </c>
      <c r="C597" s="2">
        <v>45494</v>
      </c>
      <c r="D597" s="4" t="s">
        <v>646</v>
      </c>
      <c r="E597" s="4" t="s">
        <v>650</v>
      </c>
      <c r="F597" s="4" t="s">
        <v>662</v>
      </c>
      <c r="G597" s="4" t="s">
        <v>705</v>
      </c>
      <c r="H597" s="4" t="s">
        <v>707</v>
      </c>
      <c r="I597" s="4" t="s">
        <v>723</v>
      </c>
      <c r="J597" s="4" t="s">
        <v>731</v>
      </c>
      <c r="K597" s="4" t="s">
        <v>1327</v>
      </c>
      <c r="L597">
        <v>753.43</v>
      </c>
      <c r="M597">
        <v>1787.2</v>
      </c>
      <c r="N597">
        <v>7.2999999999999995E-2</v>
      </c>
      <c r="O597">
        <v>9</v>
      </c>
    </row>
    <row r="598" spans="1:15" x14ac:dyDescent="0.25">
      <c r="A598" t="s">
        <v>610</v>
      </c>
      <c r="B598" s="2">
        <v>45705</v>
      </c>
      <c r="C598" s="2">
        <v>45703</v>
      </c>
      <c r="D598" s="4" t="s">
        <v>648</v>
      </c>
      <c r="E598" s="4" t="s">
        <v>653</v>
      </c>
      <c r="F598" s="4" t="s">
        <v>667</v>
      </c>
      <c r="G598" s="4" t="s">
        <v>705</v>
      </c>
      <c r="H598" s="4" t="s">
        <v>707</v>
      </c>
      <c r="I598" s="4" t="s">
        <v>726</v>
      </c>
      <c r="J598" s="4" t="s">
        <v>727</v>
      </c>
      <c r="K598" s="4" t="s">
        <v>1328</v>
      </c>
      <c r="L598">
        <v>1133.47</v>
      </c>
      <c r="M598">
        <v>1698.75</v>
      </c>
      <c r="N598">
        <v>4.2999999999999997E-2</v>
      </c>
      <c r="O598">
        <v>5</v>
      </c>
    </row>
    <row r="599" spans="1:15" x14ac:dyDescent="0.25">
      <c r="A599" t="s">
        <v>611</v>
      </c>
      <c r="B599" s="2">
        <v>44933</v>
      </c>
      <c r="C599" s="2">
        <v>44956</v>
      </c>
      <c r="D599" s="4" t="s">
        <v>646</v>
      </c>
      <c r="E599" s="4" t="s">
        <v>661</v>
      </c>
      <c r="F599" s="4" t="s">
        <v>695</v>
      </c>
      <c r="G599" s="4" t="s">
        <v>704</v>
      </c>
      <c r="H599" s="4" t="s">
        <v>708</v>
      </c>
      <c r="I599" s="4" t="s">
        <v>720</v>
      </c>
      <c r="J599" s="4" t="s">
        <v>728</v>
      </c>
      <c r="K599" s="4" t="s">
        <v>1329</v>
      </c>
      <c r="L599">
        <v>299.02</v>
      </c>
      <c r="M599">
        <v>724.7</v>
      </c>
      <c r="N599">
        <v>0.14000000000000001</v>
      </c>
      <c r="O599">
        <v>5</v>
      </c>
    </row>
    <row r="600" spans="1:15" x14ac:dyDescent="0.25">
      <c r="A600" t="s">
        <v>612</v>
      </c>
      <c r="B600" s="2">
        <v>45726</v>
      </c>
      <c r="C600" s="2">
        <v>45751</v>
      </c>
      <c r="D600" s="4" t="s">
        <v>647</v>
      </c>
      <c r="E600" s="4" t="s">
        <v>652</v>
      </c>
      <c r="F600" s="4" t="s">
        <v>666</v>
      </c>
      <c r="G600" s="4" t="s">
        <v>701</v>
      </c>
      <c r="H600" s="4" t="s">
        <v>711</v>
      </c>
      <c r="I600" s="4" t="s">
        <v>722</v>
      </c>
      <c r="J600" s="4" t="s">
        <v>728</v>
      </c>
      <c r="K600" s="4" t="s">
        <v>1330</v>
      </c>
      <c r="L600">
        <v>783.72</v>
      </c>
      <c r="M600">
        <v>1355.94</v>
      </c>
      <c r="N600">
        <v>0.187</v>
      </c>
      <c r="O600">
        <v>4</v>
      </c>
    </row>
    <row r="601" spans="1:15" x14ac:dyDescent="0.25">
      <c r="A601" t="s">
        <v>613</v>
      </c>
      <c r="B601" s="2">
        <v>45521</v>
      </c>
      <c r="C601" s="2">
        <v>45519</v>
      </c>
      <c r="D601" s="4" t="s">
        <v>648</v>
      </c>
      <c r="E601" s="4" t="s">
        <v>655</v>
      </c>
      <c r="F601" s="4" t="s">
        <v>692</v>
      </c>
      <c r="G601" s="4" t="s">
        <v>704</v>
      </c>
      <c r="H601" s="4" t="s">
        <v>711</v>
      </c>
      <c r="I601" s="4" t="s">
        <v>724</v>
      </c>
      <c r="J601" s="4" t="s">
        <v>732</v>
      </c>
      <c r="K601" s="4" t="s">
        <v>1331</v>
      </c>
      <c r="L601">
        <v>165.3</v>
      </c>
      <c r="M601">
        <v>275.07</v>
      </c>
      <c r="N601">
        <v>0.13300000000000001</v>
      </c>
      <c r="O601">
        <v>25</v>
      </c>
    </row>
    <row r="602" spans="1:15" x14ac:dyDescent="0.25">
      <c r="A602" t="s">
        <v>614</v>
      </c>
      <c r="B602" s="2">
        <v>45360</v>
      </c>
      <c r="C602" s="2">
        <v>45373</v>
      </c>
      <c r="D602" s="4" t="s">
        <v>649</v>
      </c>
      <c r="E602" s="4" t="s">
        <v>658</v>
      </c>
      <c r="F602" s="4" t="s">
        <v>693</v>
      </c>
      <c r="G602" s="4" t="s">
        <v>704</v>
      </c>
      <c r="H602" s="4" t="s">
        <v>708</v>
      </c>
      <c r="I602" s="4" t="s">
        <v>718</v>
      </c>
      <c r="J602" s="4" t="s">
        <v>731</v>
      </c>
      <c r="K602" s="4" t="s">
        <v>1332</v>
      </c>
      <c r="L602">
        <v>985.45</v>
      </c>
      <c r="M602">
        <v>1802.44</v>
      </c>
      <c r="N602">
        <v>8.9999999999999993E-3</v>
      </c>
      <c r="O602">
        <v>19</v>
      </c>
    </row>
    <row r="603" spans="1:15" x14ac:dyDescent="0.25">
      <c r="A603" t="s">
        <v>615</v>
      </c>
      <c r="B603" s="2">
        <v>45523</v>
      </c>
      <c r="C603" s="2">
        <v>45537</v>
      </c>
      <c r="D603" s="4" t="s">
        <v>648</v>
      </c>
      <c r="E603" s="4" t="s">
        <v>653</v>
      </c>
      <c r="F603" s="4" t="s">
        <v>667</v>
      </c>
      <c r="G603" s="4" t="s">
        <v>704</v>
      </c>
      <c r="H603" s="4" t="s">
        <v>710</v>
      </c>
      <c r="I603" s="4" t="s">
        <v>712</v>
      </c>
      <c r="J603" s="4" t="s">
        <v>728</v>
      </c>
      <c r="K603" s="4" t="s">
        <v>1333</v>
      </c>
      <c r="L603">
        <v>1337.01</v>
      </c>
      <c r="M603">
        <v>1269.78</v>
      </c>
      <c r="N603">
        <v>0.16</v>
      </c>
      <c r="O603">
        <v>7</v>
      </c>
    </row>
    <row r="604" spans="1:15" x14ac:dyDescent="0.25">
      <c r="A604" t="s">
        <v>616</v>
      </c>
      <c r="B604" s="2">
        <v>45880</v>
      </c>
      <c r="C604" s="2">
        <v>45897</v>
      </c>
      <c r="D604" s="4" t="s">
        <v>649</v>
      </c>
      <c r="E604" s="4" t="s">
        <v>657</v>
      </c>
      <c r="F604" s="4" t="s">
        <v>690</v>
      </c>
      <c r="G604" s="4" t="s">
        <v>702</v>
      </c>
      <c r="H604" s="4" t="s">
        <v>708</v>
      </c>
      <c r="I604" s="4" t="s">
        <v>721</v>
      </c>
      <c r="J604" s="4" t="s">
        <v>729</v>
      </c>
      <c r="K604" s="4" t="s">
        <v>1334</v>
      </c>
      <c r="L604">
        <v>416.16</v>
      </c>
      <c r="M604">
        <v>571.9</v>
      </c>
      <c r="N604">
        <v>7.0999999999999994E-2</v>
      </c>
      <c r="O604">
        <v>2</v>
      </c>
    </row>
    <row r="605" spans="1:15" x14ac:dyDescent="0.25">
      <c r="A605" t="s">
        <v>617</v>
      </c>
      <c r="B605" s="2">
        <v>45793</v>
      </c>
      <c r="C605" s="2">
        <v>45795</v>
      </c>
      <c r="D605" s="4" t="s">
        <v>647</v>
      </c>
      <c r="E605" s="4" t="s">
        <v>652</v>
      </c>
      <c r="F605" s="4" t="s">
        <v>689</v>
      </c>
      <c r="G605" s="4" t="s">
        <v>706</v>
      </c>
      <c r="H605" s="4" t="s">
        <v>707</v>
      </c>
      <c r="I605" s="4" t="s">
        <v>713</v>
      </c>
      <c r="J605" s="4" t="s">
        <v>728</v>
      </c>
      <c r="K605" s="4" t="s">
        <v>1335</v>
      </c>
      <c r="L605">
        <v>1144.3800000000001</v>
      </c>
      <c r="M605">
        <v>2755.04</v>
      </c>
      <c r="N605">
        <v>0.15</v>
      </c>
      <c r="O605">
        <v>17</v>
      </c>
    </row>
    <row r="606" spans="1:15" x14ac:dyDescent="0.25">
      <c r="A606" t="s">
        <v>618</v>
      </c>
      <c r="B606" s="2">
        <v>45026</v>
      </c>
      <c r="C606" s="2">
        <v>45041</v>
      </c>
      <c r="D606" s="4" t="s">
        <v>649</v>
      </c>
      <c r="E606" s="4" t="s">
        <v>658</v>
      </c>
      <c r="F606" s="4" t="s">
        <v>683</v>
      </c>
      <c r="G606" s="4" t="s">
        <v>705</v>
      </c>
      <c r="H606" s="4" t="s">
        <v>707</v>
      </c>
      <c r="I606" s="4" t="s">
        <v>726</v>
      </c>
      <c r="J606" s="4" t="s">
        <v>728</v>
      </c>
      <c r="K606" s="4" t="s">
        <v>1336</v>
      </c>
      <c r="L606">
        <v>405.66</v>
      </c>
      <c r="M606">
        <v>962.51</v>
      </c>
      <c r="N606">
        <v>0.19</v>
      </c>
      <c r="O606">
        <v>7</v>
      </c>
    </row>
    <row r="607" spans="1:15" x14ac:dyDescent="0.25">
      <c r="A607" t="s">
        <v>619</v>
      </c>
      <c r="B607" s="2">
        <v>45186</v>
      </c>
      <c r="C607" s="2">
        <v>45201</v>
      </c>
      <c r="D607" s="4" t="s">
        <v>648</v>
      </c>
      <c r="E607" s="4" t="s">
        <v>655</v>
      </c>
      <c r="F607" s="4" t="s">
        <v>692</v>
      </c>
      <c r="G607" s="4" t="s">
        <v>705</v>
      </c>
      <c r="H607" s="4" t="s">
        <v>707</v>
      </c>
      <c r="I607" s="4" t="s">
        <v>717</v>
      </c>
      <c r="J607" s="4" t="s">
        <v>731</v>
      </c>
      <c r="K607" s="4" t="s">
        <v>1337</v>
      </c>
      <c r="L607">
        <v>689.33</v>
      </c>
      <c r="M607">
        <v>668.27</v>
      </c>
      <c r="N607">
        <v>0.186</v>
      </c>
      <c r="O607">
        <v>13</v>
      </c>
    </row>
    <row r="608" spans="1:15" x14ac:dyDescent="0.25">
      <c r="A608" t="s">
        <v>620</v>
      </c>
      <c r="B608" s="2">
        <v>45038</v>
      </c>
      <c r="C608" s="2">
        <v>45060</v>
      </c>
      <c r="D608" s="4" t="s">
        <v>647</v>
      </c>
      <c r="E608" s="4" t="s">
        <v>652</v>
      </c>
      <c r="F608" s="4" t="s">
        <v>694</v>
      </c>
      <c r="G608" s="4" t="s">
        <v>706</v>
      </c>
      <c r="H608" s="4" t="s">
        <v>707</v>
      </c>
      <c r="I608" s="4" t="s">
        <v>720</v>
      </c>
      <c r="J608" s="4" t="s">
        <v>733</v>
      </c>
      <c r="K608" s="4" t="s">
        <v>1338</v>
      </c>
      <c r="L608">
        <v>1209.22</v>
      </c>
      <c r="M608">
        <v>1404.33</v>
      </c>
      <c r="N608">
        <v>0.10299999999999999</v>
      </c>
      <c r="O608">
        <v>11</v>
      </c>
    </row>
    <row r="609" spans="1:15" x14ac:dyDescent="0.25">
      <c r="A609" t="s">
        <v>621</v>
      </c>
      <c r="B609" s="2">
        <v>45827</v>
      </c>
      <c r="C609" s="2">
        <v>45829</v>
      </c>
      <c r="D609" s="4" t="s">
        <v>646</v>
      </c>
      <c r="E609" s="4" t="s">
        <v>661</v>
      </c>
      <c r="F609" s="4" t="s">
        <v>682</v>
      </c>
      <c r="G609" s="4" t="s">
        <v>705</v>
      </c>
      <c r="I609" s="4" t="s">
        <v>722</v>
      </c>
      <c r="J609" s="4" t="s">
        <v>730</v>
      </c>
      <c r="K609" s="4" t="s">
        <v>1339</v>
      </c>
      <c r="L609">
        <v>1466.27</v>
      </c>
      <c r="M609">
        <v>3589.89</v>
      </c>
      <c r="N609">
        <v>9.7000000000000003E-2</v>
      </c>
      <c r="O609">
        <v>9</v>
      </c>
    </row>
    <row r="610" spans="1:15" x14ac:dyDescent="0.25">
      <c r="A610" t="s">
        <v>622</v>
      </c>
      <c r="B610" s="2">
        <v>45623</v>
      </c>
      <c r="C610" s="2">
        <v>45650</v>
      </c>
      <c r="D610" s="4" t="s">
        <v>646</v>
      </c>
      <c r="E610" s="4" t="s">
        <v>650</v>
      </c>
      <c r="F610" s="4" t="s">
        <v>675</v>
      </c>
      <c r="G610" s="4" t="s">
        <v>701</v>
      </c>
      <c r="H610" s="4" t="s">
        <v>710</v>
      </c>
      <c r="I610" s="4" t="s">
        <v>717</v>
      </c>
      <c r="J610" s="4" t="s">
        <v>728</v>
      </c>
      <c r="K610" s="4" t="s">
        <v>1340</v>
      </c>
      <c r="L610">
        <v>143.33000000000001</v>
      </c>
      <c r="M610">
        <v>233.51</v>
      </c>
      <c r="N610">
        <v>0.16300000000000001</v>
      </c>
      <c r="O610">
        <v>14</v>
      </c>
    </row>
    <row r="611" spans="1:15" x14ac:dyDescent="0.25">
      <c r="A611" t="s">
        <v>623</v>
      </c>
      <c r="B611" s="2">
        <v>45319</v>
      </c>
      <c r="C611" s="2">
        <v>45318</v>
      </c>
      <c r="D611" s="4" t="s">
        <v>646</v>
      </c>
      <c r="E611" s="4" t="s">
        <v>661</v>
      </c>
      <c r="F611" s="4" t="s">
        <v>695</v>
      </c>
      <c r="G611" s="4" t="s">
        <v>706</v>
      </c>
      <c r="H611" s="4" t="s">
        <v>711</v>
      </c>
      <c r="I611" s="4" t="s">
        <v>719</v>
      </c>
      <c r="J611" s="4" t="s">
        <v>727</v>
      </c>
      <c r="K611" s="4" t="s">
        <v>1341</v>
      </c>
      <c r="L611">
        <v>109.75</v>
      </c>
      <c r="M611">
        <v>124.25</v>
      </c>
      <c r="N611">
        <v>0.12</v>
      </c>
      <c r="O611">
        <v>19</v>
      </c>
    </row>
    <row r="612" spans="1:15" x14ac:dyDescent="0.25">
      <c r="A612" t="s">
        <v>624</v>
      </c>
      <c r="B612" s="2">
        <v>45032</v>
      </c>
      <c r="C612" s="2">
        <v>45039</v>
      </c>
      <c r="D612" s="4" t="s">
        <v>648</v>
      </c>
      <c r="E612" s="4" t="s">
        <v>660</v>
      </c>
      <c r="F612" s="4" t="s">
        <v>697</v>
      </c>
      <c r="G612" s="4" t="s">
        <v>701</v>
      </c>
      <c r="H612" s="4" t="s">
        <v>710</v>
      </c>
      <c r="I612" s="4" t="s">
        <v>719</v>
      </c>
      <c r="J612" s="4" t="s">
        <v>728</v>
      </c>
      <c r="K612" s="4" t="s">
        <v>1342</v>
      </c>
      <c r="L612">
        <v>1099.1500000000001</v>
      </c>
      <c r="M612">
        <v>1431.37</v>
      </c>
      <c r="N612">
        <v>0.104</v>
      </c>
      <c r="O612">
        <v>8</v>
      </c>
    </row>
    <row r="613" spans="1:15" x14ac:dyDescent="0.25">
      <c r="A613" t="s">
        <v>625</v>
      </c>
      <c r="B613" s="2">
        <v>45323</v>
      </c>
      <c r="C613" s="2">
        <v>45323</v>
      </c>
      <c r="D613" s="4" t="s">
        <v>648</v>
      </c>
      <c r="E613" s="4" t="s">
        <v>660</v>
      </c>
      <c r="F613" s="4" t="s">
        <v>697</v>
      </c>
      <c r="G613" s="4" t="s">
        <v>704</v>
      </c>
      <c r="H613" s="4" t="s">
        <v>710</v>
      </c>
      <c r="I613" s="4" t="s">
        <v>722</v>
      </c>
      <c r="J613" s="4" t="s">
        <v>728</v>
      </c>
      <c r="K613" s="4" t="s">
        <v>1343</v>
      </c>
      <c r="L613">
        <v>714.43</v>
      </c>
      <c r="M613">
        <v>1595.52</v>
      </c>
      <c r="N613">
        <v>0.19400000000000001</v>
      </c>
      <c r="O613">
        <v>14</v>
      </c>
    </row>
    <row r="614" spans="1:15" x14ac:dyDescent="0.25">
      <c r="A614" t="s">
        <v>626</v>
      </c>
      <c r="B614" s="2">
        <v>45584</v>
      </c>
      <c r="C614" s="2">
        <v>45602</v>
      </c>
      <c r="D614" s="4" t="s">
        <v>648</v>
      </c>
      <c r="E614" s="4" t="s">
        <v>660</v>
      </c>
      <c r="F614" s="4" t="s">
        <v>677</v>
      </c>
      <c r="G614" s="4" t="s">
        <v>702</v>
      </c>
      <c r="I614" s="4" t="s">
        <v>712</v>
      </c>
      <c r="J614" s="4" t="s">
        <v>732</v>
      </c>
      <c r="K614" s="4" t="s">
        <v>1344</v>
      </c>
      <c r="L614">
        <v>942.02</v>
      </c>
      <c r="M614">
        <v>1028.46</v>
      </c>
      <c r="N614">
        <v>0</v>
      </c>
      <c r="O614">
        <v>9</v>
      </c>
    </row>
    <row r="615" spans="1:15" x14ac:dyDescent="0.25">
      <c r="A615" t="s">
        <v>627</v>
      </c>
      <c r="B615" s="2">
        <v>45468</v>
      </c>
      <c r="C615" s="2">
        <v>45473</v>
      </c>
      <c r="D615" s="4" t="s">
        <v>646</v>
      </c>
      <c r="E615" s="4" t="s">
        <v>650</v>
      </c>
      <c r="F615" s="4" t="s">
        <v>662</v>
      </c>
      <c r="G615" s="4" t="s">
        <v>702</v>
      </c>
      <c r="H615" s="4" t="s">
        <v>711</v>
      </c>
      <c r="I615" s="4" t="s">
        <v>724</v>
      </c>
      <c r="J615" s="4" t="s">
        <v>729</v>
      </c>
      <c r="K615" s="4" t="s">
        <v>1345</v>
      </c>
      <c r="L615">
        <v>1323.55</v>
      </c>
      <c r="M615">
        <v>3230.35</v>
      </c>
      <c r="N615">
        <v>2.1999999999999999E-2</v>
      </c>
      <c r="O615">
        <v>26</v>
      </c>
    </row>
    <row r="616" spans="1:15" x14ac:dyDescent="0.25">
      <c r="A616" t="s">
        <v>628</v>
      </c>
      <c r="B616" s="2">
        <v>45137</v>
      </c>
      <c r="C616" s="2">
        <v>45157</v>
      </c>
      <c r="D616" s="4" t="s">
        <v>649</v>
      </c>
      <c r="E616" s="4" t="s">
        <v>657</v>
      </c>
      <c r="F616" s="4" t="s">
        <v>690</v>
      </c>
      <c r="G616" s="4" t="s">
        <v>706</v>
      </c>
      <c r="H616" s="4" t="s">
        <v>709</v>
      </c>
      <c r="I616" s="4" t="s">
        <v>715</v>
      </c>
      <c r="J616" s="4" t="s">
        <v>729</v>
      </c>
      <c r="K616" s="4" t="s">
        <v>1346</v>
      </c>
      <c r="L616">
        <v>1418.51</v>
      </c>
      <c r="M616">
        <v>2789.61</v>
      </c>
      <c r="N616">
        <v>0.17100000000000001</v>
      </c>
      <c r="O616">
        <v>8</v>
      </c>
    </row>
    <row r="617" spans="1:15" x14ac:dyDescent="0.25">
      <c r="A617" t="s">
        <v>629</v>
      </c>
      <c r="B617" s="2">
        <v>45727</v>
      </c>
      <c r="C617" s="2">
        <v>45743</v>
      </c>
      <c r="D617" s="4" t="s">
        <v>647</v>
      </c>
      <c r="E617" s="4" t="s">
        <v>652</v>
      </c>
      <c r="F617" s="4" t="s">
        <v>689</v>
      </c>
      <c r="G617" s="4" t="s">
        <v>706</v>
      </c>
      <c r="H617" s="4" t="s">
        <v>710</v>
      </c>
      <c r="I617" s="4" t="s">
        <v>717</v>
      </c>
      <c r="J617" s="4" t="s">
        <v>728</v>
      </c>
      <c r="K617" s="4" t="s">
        <v>1347</v>
      </c>
      <c r="L617">
        <v>1317.58</v>
      </c>
      <c r="M617">
        <v>1897.74</v>
      </c>
      <c r="N617">
        <v>8.1000000000000003E-2</v>
      </c>
      <c r="O617">
        <v>6</v>
      </c>
    </row>
    <row r="618" spans="1:15" x14ac:dyDescent="0.25">
      <c r="A618" t="s">
        <v>630</v>
      </c>
      <c r="B618" s="2">
        <v>45208</v>
      </c>
      <c r="C618" s="2">
        <v>45210</v>
      </c>
      <c r="D618" s="4" t="s">
        <v>646</v>
      </c>
      <c r="E618" s="4" t="s">
        <v>651</v>
      </c>
      <c r="F618" s="4" t="s">
        <v>663</v>
      </c>
      <c r="G618" s="4" t="s">
        <v>702</v>
      </c>
      <c r="H618" s="4" t="s">
        <v>709</v>
      </c>
      <c r="I618" s="4" t="s">
        <v>723</v>
      </c>
      <c r="J618" s="4" t="s">
        <v>729</v>
      </c>
      <c r="K618" s="4" t="s">
        <v>1348</v>
      </c>
      <c r="L618">
        <v>391.16</v>
      </c>
      <c r="M618">
        <v>902.47</v>
      </c>
      <c r="N618">
        <v>4.0000000000000001E-3</v>
      </c>
      <c r="O618">
        <v>12</v>
      </c>
    </row>
    <row r="619" spans="1:15" x14ac:dyDescent="0.25">
      <c r="A619" t="s">
        <v>631</v>
      </c>
      <c r="B619" s="2">
        <v>45643</v>
      </c>
      <c r="C619" s="2">
        <v>45673</v>
      </c>
      <c r="D619" s="4" t="s">
        <v>649</v>
      </c>
      <c r="E619" s="4" t="s">
        <v>658</v>
      </c>
      <c r="F619" s="4" t="s">
        <v>693</v>
      </c>
      <c r="G619" s="4" t="s">
        <v>701</v>
      </c>
      <c r="H619" s="4" t="s">
        <v>707</v>
      </c>
      <c r="I619" s="4" t="s">
        <v>726</v>
      </c>
      <c r="J619" s="4" t="s">
        <v>732</v>
      </c>
      <c r="K619" s="4" t="s">
        <v>1349</v>
      </c>
      <c r="L619">
        <v>722.87</v>
      </c>
      <c r="M619">
        <v>-33.659999999999997</v>
      </c>
      <c r="N619">
        <v>0.10199999999999999</v>
      </c>
      <c r="O619">
        <v>28</v>
      </c>
    </row>
    <row r="620" spans="1:15" x14ac:dyDescent="0.25">
      <c r="A620" t="s">
        <v>632</v>
      </c>
      <c r="B620" s="2">
        <v>45849</v>
      </c>
      <c r="C620" s="2">
        <v>45854</v>
      </c>
      <c r="D620" s="4" t="s">
        <v>649</v>
      </c>
      <c r="E620" s="4" t="s">
        <v>658</v>
      </c>
      <c r="F620" s="4" t="s">
        <v>683</v>
      </c>
      <c r="G620" s="4" t="s">
        <v>706</v>
      </c>
      <c r="H620" s="4" t="s">
        <v>708</v>
      </c>
      <c r="I620" s="4" t="s">
        <v>723</v>
      </c>
      <c r="J620" s="4" t="s">
        <v>728</v>
      </c>
      <c r="K620" s="4" t="s">
        <v>1350</v>
      </c>
      <c r="L620">
        <v>930.03</v>
      </c>
      <c r="M620">
        <v>1086.68</v>
      </c>
      <c r="N620">
        <v>0.109</v>
      </c>
      <c r="O620">
        <v>26</v>
      </c>
    </row>
    <row r="621" spans="1:15" x14ac:dyDescent="0.25">
      <c r="A621" t="s">
        <v>633</v>
      </c>
      <c r="B621" s="2">
        <v>45578</v>
      </c>
      <c r="C621" s="2">
        <v>45589</v>
      </c>
      <c r="D621" s="4" t="s">
        <v>649</v>
      </c>
      <c r="E621" s="4" t="s">
        <v>657</v>
      </c>
      <c r="F621" s="4" t="s">
        <v>690</v>
      </c>
      <c r="G621" s="4" t="s">
        <v>702</v>
      </c>
      <c r="H621" s="4" t="s">
        <v>710</v>
      </c>
      <c r="I621" s="4" t="s">
        <v>721</v>
      </c>
      <c r="J621" s="4" t="s">
        <v>727</v>
      </c>
      <c r="K621" s="4" t="s">
        <v>1351</v>
      </c>
      <c r="L621">
        <v>816.7</v>
      </c>
      <c r="M621">
        <v>1010.75</v>
      </c>
      <c r="N621">
        <v>4.7E-2</v>
      </c>
      <c r="O621">
        <v>43</v>
      </c>
    </row>
    <row r="622" spans="1:15" x14ac:dyDescent="0.25">
      <c r="A622" t="s">
        <v>634</v>
      </c>
      <c r="B622" s="2">
        <v>45177</v>
      </c>
      <c r="C622" s="2">
        <v>45183</v>
      </c>
      <c r="D622" s="4" t="s">
        <v>646</v>
      </c>
      <c r="E622" s="4" t="s">
        <v>650</v>
      </c>
      <c r="F622" s="4" t="s">
        <v>678</v>
      </c>
      <c r="G622" s="4" t="s">
        <v>702</v>
      </c>
      <c r="H622" s="4" t="s">
        <v>711</v>
      </c>
      <c r="I622" s="4" t="s">
        <v>714</v>
      </c>
      <c r="J622" s="4" t="s">
        <v>733</v>
      </c>
      <c r="K622" s="4" t="s">
        <v>1352</v>
      </c>
      <c r="L622">
        <v>251.03</v>
      </c>
      <c r="M622">
        <v>411.48</v>
      </c>
      <c r="N622">
        <v>0.16500000000000001</v>
      </c>
      <c r="O622">
        <v>3</v>
      </c>
    </row>
    <row r="623" spans="1:15" x14ac:dyDescent="0.25">
      <c r="A623" t="s">
        <v>635</v>
      </c>
      <c r="B623" s="2">
        <v>45764</v>
      </c>
      <c r="C623" s="2">
        <v>45780</v>
      </c>
      <c r="D623" s="4" t="s">
        <v>648</v>
      </c>
      <c r="E623" s="4" t="s">
        <v>655</v>
      </c>
      <c r="F623" s="4" t="s">
        <v>692</v>
      </c>
      <c r="G623" s="4" t="s">
        <v>704</v>
      </c>
      <c r="H623" s="4" t="s">
        <v>709</v>
      </c>
      <c r="I623" s="4" t="s">
        <v>713</v>
      </c>
      <c r="J623" s="4" t="s">
        <v>729</v>
      </c>
      <c r="K623" s="4" t="s">
        <v>1353</v>
      </c>
      <c r="L623">
        <v>168.68</v>
      </c>
      <c r="M623">
        <v>413.34</v>
      </c>
      <c r="N623">
        <v>0.186</v>
      </c>
      <c r="O623">
        <v>7</v>
      </c>
    </row>
    <row r="624" spans="1:15" x14ac:dyDescent="0.25">
      <c r="A624" t="s">
        <v>636</v>
      </c>
      <c r="B624" s="2">
        <v>45501</v>
      </c>
      <c r="C624" s="2">
        <v>45527</v>
      </c>
      <c r="D624" s="4" t="s">
        <v>647</v>
      </c>
      <c r="E624" s="4" t="s">
        <v>654</v>
      </c>
      <c r="F624" s="4" t="s">
        <v>696</v>
      </c>
      <c r="G624" s="4" t="s">
        <v>701</v>
      </c>
      <c r="H624" s="4" t="s">
        <v>707</v>
      </c>
      <c r="I624" s="4" t="s">
        <v>713</v>
      </c>
      <c r="J624" s="4" t="s">
        <v>729</v>
      </c>
      <c r="K624" s="4" t="s">
        <v>1354</v>
      </c>
      <c r="L624">
        <v>1339.24</v>
      </c>
      <c r="M624">
        <v>1558.89</v>
      </c>
      <c r="N624">
        <v>0.192</v>
      </c>
      <c r="O624">
        <v>24</v>
      </c>
    </row>
    <row r="625" spans="1:15" x14ac:dyDescent="0.25">
      <c r="A625" t="s">
        <v>637</v>
      </c>
      <c r="B625" s="2">
        <v>45857</v>
      </c>
      <c r="C625" s="2">
        <v>45869</v>
      </c>
      <c r="D625" s="4" t="s">
        <v>646</v>
      </c>
      <c r="E625" s="4" t="s">
        <v>650</v>
      </c>
      <c r="F625" s="4" t="s">
        <v>664</v>
      </c>
      <c r="G625" s="4" t="s">
        <v>705</v>
      </c>
      <c r="H625" s="4" t="s">
        <v>709</v>
      </c>
      <c r="I625" s="4" t="s">
        <v>719</v>
      </c>
      <c r="J625" s="4" t="s">
        <v>733</v>
      </c>
      <c r="K625" s="4" t="s">
        <v>1355</v>
      </c>
      <c r="L625">
        <v>619.64</v>
      </c>
      <c r="M625">
        <v>861.16</v>
      </c>
      <c r="N625">
        <v>0.113</v>
      </c>
      <c r="O625">
        <v>14</v>
      </c>
    </row>
    <row r="626" spans="1:15" x14ac:dyDescent="0.25">
      <c r="A626" t="s">
        <v>638</v>
      </c>
      <c r="B626" s="2">
        <v>45141</v>
      </c>
      <c r="C626" s="2">
        <v>45140</v>
      </c>
      <c r="D626" s="4" t="s">
        <v>647</v>
      </c>
      <c r="E626" s="4" t="s">
        <v>659</v>
      </c>
      <c r="F626" s="4" t="s">
        <v>685</v>
      </c>
      <c r="G626" s="4" t="s">
        <v>703</v>
      </c>
      <c r="H626" s="4" t="s">
        <v>711</v>
      </c>
      <c r="I626" s="4" t="s">
        <v>713</v>
      </c>
      <c r="J626" s="4" t="s">
        <v>729</v>
      </c>
      <c r="K626" s="4" t="s">
        <v>1356</v>
      </c>
      <c r="L626">
        <v>1021.97</v>
      </c>
      <c r="M626">
        <v>2296.25</v>
      </c>
      <c r="N626">
        <v>0.161</v>
      </c>
      <c r="O626">
        <v>26</v>
      </c>
    </row>
    <row r="627" spans="1:15" x14ac:dyDescent="0.25">
      <c r="A627" t="s">
        <v>639</v>
      </c>
      <c r="B627" s="2">
        <v>45249</v>
      </c>
      <c r="C627" s="2">
        <v>45272</v>
      </c>
      <c r="D627" s="4" t="s">
        <v>647</v>
      </c>
      <c r="E627" s="4" t="s">
        <v>654</v>
      </c>
      <c r="F627" s="4" t="s">
        <v>680</v>
      </c>
      <c r="G627" s="4" t="s">
        <v>705</v>
      </c>
      <c r="H627" s="4" t="s">
        <v>711</v>
      </c>
      <c r="I627" s="4" t="s">
        <v>712</v>
      </c>
      <c r="J627" s="4" t="s">
        <v>729</v>
      </c>
      <c r="K627" s="4" t="s">
        <v>1357</v>
      </c>
      <c r="L627">
        <v>1349.04</v>
      </c>
      <c r="M627">
        <v>2636.6</v>
      </c>
      <c r="N627">
        <v>0.114</v>
      </c>
      <c r="O627">
        <v>14</v>
      </c>
    </row>
    <row r="628" spans="1:15" x14ac:dyDescent="0.25">
      <c r="A628" t="s">
        <v>640</v>
      </c>
      <c r="B628" s="2">
        <v>45282</v>
      </c>
      <c r="C628" s="2">
        <v>45307</v>
      </c>
      <c r="D628" s="4" t="s">
        <v>647</v>
      </c>
      <c r="E628" s="4" t="s">
        <v>654</v>
      </c>
      <c r="F628" s="4" t="s">
        <v>696</v>
      </c>
      <c r="G628" s="4" t="s">
        <v>705</v>
      </c>
      <c r="H628" s="4" t="s">
        <v>707</v>
      </c>
      <c r="I628" s="4" t="s">
        <v>720</v>
      </c>
      <c r="J628" s="4" t="s">
        <v>727</v>
      </c>
      <c r="K628" s="4" t="s">
        <v>1358</v>
      </c>
      <c r="L628">
        <v>1346.81</v>
      </c>
      <c r="M628">
        <v>978.09</v>
      </c>
      <c r="N628">
        <v>0.159</v>
      </c>
      <c r="O628">
        <v>17</v>
      </c>
    </row>
    <row r="629" spans="1:15" x14ac:dyDescent="0.25">
      <c r="A629" t="s">
        <v>641</v>
      </c>
      <c r="B629" s="2">
        <v>45141</v>
      </c>
      <c r="C629" s="2">
        <v>45168</v>
      </c>
      <c r="D629" s="4" t="s">
        <v>647</v>
      </c>
      <c r="E629" s="4" t="s">
        <v>659</v>
      </c>
      <c r="F629" s="4" t="s">
        <v>685</v>
      </c>
      <c r="G629" s="4" t="s">
        <v>704</v>
      </c>
      <c r="H629" s="4" t="s">
        <v>710</v>
      </c>
      <c r="I629" s="4" t="s">
        <v>725</v>
      </c>
      <c r="J629" s="4" t="s">
        <v>732</v>
      </c>
      <c r="K629" s="4" t="s">
        <v>1359</v>
      </c>
      <c r="L629">
        <v>226.04</v>
      </c>
      <c r="M629">
        <v>545.72</v>
      </c>
      <c r="N629">
        <v>0.151</v>
      </c>
      <c r="O629">
        <v>11</v>
      </c>
    </row>
    <row r="630" spans="1:15" x14ac:dyDescent="0.25">
      <c r="A630" t="s">
        <v>642</v>
      </c>
      <c r="B630" s="2">
        <v>45100</v>
      </c>
      <c r="C630" s="2">
        <v>45125</v>
      </c>
      <c r="D630" s="4" t="s">
        <v>648</v>
      </c>
      <c r="E630" s="4" t="s">
        <v>653</v>
      </c>
      <c r="F630" s="4" t="s">
        <v>688</v>
      </c>
      <c r="G630" s="4" t="s">
        <v>706</v>
      </c>
      <c r="H630" s="4" t="s">
        <v>708</v>
      </c>
      <c r="I630" s="4" t="s">
        <v>725</v>
      </c>
      <c r="J630" s="4" t="s">
        <v>730</v>
      </c>
      <c r="K630" s="4" t="s">
        <v>1360</v>
      </c>
      <c r="L630">
        <v>807.02</v>
      </c>
      <c r="M630">
        <v>1435.54</v>
      </c>
      <c r="N630">
        <v>0</v>
      </c>
      <c r="O630">
        <v>23</v>
      </c>
    </row>
    <row r="631" spans="1:15" x14ac:dyDescent="0.25">
      <c r="A631" t="s">
        <v>643</v>
      </c>
      <c r="B631" s="2">
        <v>45267</v>
      </c>
      <c r="C631" s="2">
        <v>45293</v>
      </c>
      <c r="D631" s="4" t="s">
        <v>649</v>
      </c>
      <c r="E631" s="4" t="s">
        <v>656</v>
      </c>
      <c r="F631" s="4" t="s">
        <v>698</v>
      </c>
      <c r="G631" s="4" t="s">
        <v>706</v>
      </c>
      <c r="H631" s="4" t="s">
        <v>710</v>
      </c>
      <c r="I631" s="4" t="s">
        <v>718</v>
      </c>
      <c r="J631" s="4" t="s">
        <v>727</v>
      </c>
      <c r="K631" s="4" t="s">
        <v>1361</v>
      </c>
      <c r="L631">
        <v>1071.99</v>
      </c>
      <c r="M631">
        <v>2397.3000000000002</v>
      </c>
      <c r="N631">
        <v>6.2E-2</v>
      </c>
      <c r="O631">
        <v>18</v>
      </c>
    </row>
    <row r="632" spans="1:15" x14ac:dyDescent="0.25">
      <c r="A632" t="s">
        <v>644</v>
      </c>
      <c r="B632" s="2">
        <v>45249</v>
      </c>
      <c r="C632" s="2">
        <v>45279</v>
      </c>
      <c r="D632" s="4" t="s">
        <v>647</v>
      </c>
      <c r="E632" s="4" t="s">
        <v>652</v>
      </c>
      <c r="F632" s="4" t="s">
        <v>694</v>
      </c>
      <c r="G632" s="4" t="s">
        <v>704</v>
      </c>
      <c r="H632" s="4" t="s">
        <v>707</v>
      </c>
      <c r="J632" s="4" t="s">
        <v>730</v>
      </c>
      <c r="K632" s="4" t="s">
        <v>1362</v>
      </c>
      <c r="L632">
        <v>807.11</v>
      </c>
      <c r="M632">
        <v>1853.86</v>
      </c>
      <c r="N632">
        <v>0.13900000000000001</v>
      </c>
      <c r="O632">
        <v>8</v>
      </c>
    </row>
    <row r="633" spans="1:15" x14ac:dyDescent="0.25">
      <c r="A633" t="s">
        <v>645</v>
      </c>
      <c r="B633" s="2">
        <v>45716</v>
      </c>
      <c r="C633" s="2">
        <v>45726</v>
      </c>
      <c r="D633" s="4" t="s">
        <v>647</v>
      </c>
      <c r="E633" s="4" t="s">
        <v>652</v>
      </c>
      <c r="F633" s="4" t="s">
        <v>666</v>
      </c>
      <c r="G633" s="4" t="s">
        <v>702</v>
      </c>
      <c r="H633" s="4" t="s">
        <v>710</v>
      </c>
      <c r="I633" s="4" t="s">
        <v>725</v>
      </c>
      <c r="J633" s="4" t="s">
        <v>731</v>
      </c>
      <c r="K633" s="4" t="s">
        <v>1363</v>
      </c>
      <c r="L633">
        <v>51.86</v>
      </c>
      <c r="M633">
        <v>45.98</v>
      </c>
      <c r="N633">
        <v>0.17299999999999999</v>
      </c>
      <c r="O633">
        <v>7</v>
      </c>
    </row>
  </sheetData>
  <autoFilter ref="A1:O633" xr:uid="{00000000-0001-0000-0000-000000000000}"/>
  <conditionalFormatting sqref="A1:A1048576">
    <cfRule type="duplicateValues" dxfId="1822"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Visualization</vt:lpstr>
      <vt:lpstr>Dashboard Pivots</vt:lpstr>
      <vt:lpstr>Analysis 2</vt:lpstr>
      <vt:lpstr>Analysis</vt:lpstr>
      <vt:lpstr>Working Data</vt:lpstr>
      <vt:lpstr>Brief</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Grace Mwangi</cp:lastModifiedBy>
  <dcterms:created xsi:type="dcterms:W3CDTF">2025-09-28T10:49:35Z</dcterms:created>
  <dcterms:modified xsi:type="dcterms:W3CDTF">2026-02-01T19:34:35Z</dcterms:modified>
</cp:coreProperties>
</file>